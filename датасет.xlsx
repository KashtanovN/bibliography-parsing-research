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6e9ae6a0064766" /></Relationships>
</file>

<file path=xl/workbook.xml><?xml version="1.0" encoding="utf-8"?>
<x:workbook xmlns:x="http://schemas.openxmlformats.org/spreadsheetml/2006/main">
  <x:sheets>
    <x:sheet xmlns:r="http://schemas.openxmlformats.org/officeDocument/2006/relationships" name="Датасет" sheetId="1" r:id="R5eb34e0727fb4ef3"/>
    <x:sheet xmlns:r="http://schemas.openxmlformats.org/officeDocument/2006/relationships" name="Контроль100" sheetId="2" r:id="R2440702fb35b4340"/>
    <x:sheet xmlns:r="http://schemas.openxmlformats.org/officeDocument/2006/relationships" name="Исключения" sheetId="3" r:id="R53f75886ffa5435b"/>
    <x:sheet xmlns:r="http://schemas.openxmlformats.org/officeDocument/2006/relationships" name="Методика" sheetId="4" r:id="R9f12e2cad7ec4ca5"/>
  </x:sheets>
</x:workbook>
</file>

<file path=xl/sharedStrings.xml><?xml version="1.0" encoding="utf-8"?>
<x:sst xmlns:x="http://schemas.openxmlformats.org/spreadsheetml/2006/main">
  <x:si>
    <x:t xml:space="preserve">ID</x:t>
  </x:si>
  <x:si>
    <x:t xml:space="preserve">Исходная ссылка</x:t>
  </x:si>
  <x:si>
    <x:t xml:space="preserve">Вариант оформления</x:t>
  </x:si>
  <x:si>
    <x:t xml:space="preserve">Вид документа</x:t>
  </x:si>
  <x:si>
    <x:t xml:space="preserve">Применяемый ГОСТ</x:t>
  </x:si>
  <x:si>
    <x:t xml:space="preserve">Авторы</x:t>
  </x:si>
  <x:si>
    <x:t xml:space="preserve">Заглавие</x:t>
  </x:si>
  <x:si>
    <x:t xml:space="preserve">Содержащее издание</x:t>
  </x:si>
  <x:si>
    <x:t xml:space="preserve">Год</x:t>
  </x:si>
  <x:si>
    <x:t xml:space="preserve">Том</x:t>
  </x:si>
  <x:si>
    <x:t xml:space="preserve">Номер или выпуск</x:t>
  </x:si>
  <x:si>
    <x:t xml:space="preserve">Страницы или объём</x:t>
  </x:si>
  <x:si>
    <x:t xml:space="preserve">Значение страниц</x:t>
  </x:si>
  <x:si>
    <x:t xml:space="preserve">Издатель</x:t>
  </x:si>
  <x:si>
    <x:t xml:space="preserve">Место издания</x:t>
  </x:si>
  <x:si>
    <x:t xml:space="preserve">Сведения об издании</x:t>
  </x:si>
  <x:si>
    <x:t xml:space="preserve">ISBN</x:t>
  </x:si>
  <x:si>
    <x:t xml:space="preserve">URL из исходной строки</x:t>
  </x:si>
  <x:si>
    <x:t xml:space="preserve">Дата обращения из строки</x:t>
  </x:si>
  <x:si>
    <x:t xml:space="preserve">Способ сбора</x:t>
  </x:si>
  <x:si>
    <x:t xml:space="preserve">Источник списка литературы</x:t>
  </x:si>
  <x:si>
    <x:t xml:space="preserve">Номер пункта в источнике</x:t>
  </x:si>
  <x:si>
    <x:t xml:space="preserve">Примечания к разметке</x:t>
  </x:si>
  <x:si>
    <x:t xml:space="preserve">Основание разметки</x:t>
  </x:si>
  <x:si>
    <x:t xml:space="preserve">DOI из исходной строки</x:t>
  </x:si>
  <x:si>
    <x:t xml:space="preserve">Документ с исходным списком</x:t>
  </x:si>
  <x:si>
    <x:t xml:space="preserve">Год документа с исходным списком</x:t>
  </x:si>
  <x:si>
    <x:t xml:space="preserve">Дата обращения для оформления</x:t>
  </x:si>
  <x:si>
    <x:t xml:space="preserve">Основание даты для оформления</x:t>
  </x:si>
  <x:si>
    <x:t xml:space="preserve">EDN</x:t>
  </x:si>
  <x:si>
    <x:t xml:space="preserve">Часть набора</x:t>
  </x:si>
  <x:si>
    <x:t xml:space="preserve">Группа разделения</x:t>
  </x:si>
  <x:si>
    <x:t xml:space="preserve">Статус варианта оформления</x:t>
  </x:si>
  <x:si>
    <x:t xml:space="preserve">Независимый проверяющий</x:t>
  </x:si>
  <x:si>
    <x:t xml:space="preserve">Дата независимой проверки</x:t>
  </x:si>
  <x:si>
    <x:t xml:space="preserve">Тип исходного списка</x:t>
  </x:si>
  <x:si>
    <x:t xml:space="preserve">Организация исходного списка</x:t>
  </x:si>
  <x:si>
    <x:t xml:space="preserve">Страница PDF</x:t>
  </x:si>
  <x:si>
    <x:t xml:space="preserve">Основание выбора ГОСТ</x:t>
  </x:si>
  <x:si>
    <x:t xml:space="preserve">Профиль до текущей проверки</x:t>
  </x:si>
  <x:si>
    <x:t xml:space="preserve">Иные сведения об ответственности</x:t>
  </x:si>
  <x:si>
    <x:t xml:space="preserve">Проверка исходного текста</x:t>
  </x:si>
  <x:si>
    <x:t xml:space="preserve">Вид повторной проверки</x:t>
  </x:si>
  <x:si>
    <x:t xml:space="preserve">URL выбранной сетевой версии</x:t>
  </x:si>
  <x:si>
    <x:t xml:space="preserve">Подтверждение сетевого объекта</x:t>
  </x:si>
  <x:si>
    <x:t xml:space="preserve">Проверка сетевого адреса 27.10.2026</x:t>
  </x:si>
  <x:si>
    <x:t xml:space="preserve">Прежняя дата для оформления</x:t>
  </x:si>
  <x:si>
    <x:t xml:space="preserve">Происхождение прежней даты</x:t>
  </x:si>
  <x:si>
    <x:t xml:space="preserve">В выборке контроля 100</x:t>
  </x:si>
  <x:si>
    <x:t xml:space="preserve">Дополнительное подтверждение</x:t>
  </x:si>
  <x:si>
    <x:t xml:space="preserve">R001</x:t>
  </x:si>
  <x:si>
    <x:t xml:space="preserve">Лядова А.В., Новоселова Е.Н. Социально-экологические риски урбанизации и развитие Московской агломерации: сравнительный анализ зарубежного опыта // Экология и промышленность России. 2017. Т. 21, № 10. С. 55-61. https://doi.org/10.18412/1816-0395-2017-10-55-61 EDN: ZQODSX</x:t>
  </x:si>
  <x:si>
    <x:t xml:space="preserve">Лядова А. В., Новоселова Е. Н. Социально-экологические риски урбанизации и развитие Московской агломерации : сравнительный анализ зарубежного опыта // Экология и промышленность России. — 2017. — Т. 21. — № 10. — С. 55–61. — URL: https://www.ecology-kalvis.ru/jour/article/view/940 (дата обращения: 27.10.2026).</x:t>
  </x:si>
  <x:si>
    <x:t xml:space="preserve">Сетевая журнальная статья</x:t>
  </x:si>
  <x:si>
    <x:t xml:space="preserve">ГОСТ Р 7.0.108–2022</x:t>
  </x:si>
  <x:si>
    <x:t xml:space="preserve">Лядова А. В. | Новоселова Е. Н.</x:t>
  </x:si>
  <x:si>
    <x:t xml:space="preserve">Социально-экологические риски урбанизации и развитие Московской агломерации: сравнительный анализ зарубежного опыта</x:t>
  </x:si>
  <x:si>
    <x:t xml:space="preserve">Экология и промышленность России</x:t>
  </x:si>
  <x:si>
    <x:t xml:space="preserve">21</x:t>
  </x:si>
  <x:si>
    <x:t xml:space="preserve">10</x:t>
  </x:si>
  <x:si>
    <x:t xml:space="preserve">55–61</x:t>
  </x:si>
  <x:si>
    <x:t xml:space="preserve">Указатель страниц</x:t>
  </x:si>
  <x:si>
    <x:t xml:space="preserve">https://doi.org/10.18412/1816-0395-2017-10-55-61</x:t>
  </x:si>
  <x:si>
    <x:t xml:space="preserve">Опубликованный список литературы (HTML)</x:t>
  </x:si>
  <x:si>
    <x:t xml:space="preserve">https://journals.rudn.ru/ecology/article/view/45746?setLocale=ru_RU#articleCitations</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</x:si>
  <x:si>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x:t>
  </x:si>
  <x:si>
    <x:t xml:space="preserve">Поля извлекаются из исходной строки; отсутствующие реквизиты не выдумываются. Контекст форматирования хранится отдельно.</x:t>
  </x:si>
  <x:si>
    <x:t xml:space="preserve">10.18412/1816-0395-2017-10-55-61</x:t>
  </x:si>
  <x:si>
    <x:t xml:space="preserve">Floristic composition and structure of soil vegetation cover in pine stands of Moscow</x:t>
  </x:si>
  <x:si>
    <x:t xml:space="preserve">Внешний контекст: соответствующая страница/версия проверена 27.10.2026; это не предсказанное поле исходной строки.</x:t>
  </x:si>
  <x:si>
    <x:t xml:space="preserve">ZQODSX</x:t>
  </x:si>
  <x:si>
    <x:t xml:space="preserve">dev</x:t>
  </x:si>
  <x:si>
    <x:t xml:space="preserve">https://journals.rudn.ru/ecology/article/view/45746</x:t>
  </x:si>
  <x:si>
    <x:t xml:space="preserve">Журнальная статья</x:t>
  </x:si>
  <x:si>
    <x:t xml:space="preserve">РУДН (издание с исходным списком)</x:t>
  </x:si>
  <x:si>
    <x:t xml:space="preserve">Объект форматирования — проверенная сетевая версия конкретной публикации/страницы. Профиль 7.0.108 выбран после открытия и проверки объекта, а не из-за самого DOI.</x:t>
  </x:si>
  <x:si>
    <x:t xml:space="preserve">ГОСТ Р 7.0.5–2008</x:t>
  </x:si>
  <x:si>
    <x:t xml:space="preserve">Сверено с сохранённым HTML-пунктом опубликованного списка</x:t>
  </x:si>
  <x:si>
    <x:t xml:space="preserve">https://www.ecology-kalvis.ru/jour/article/view/940</x:t>
  </x:si>
  <x:si>
    <x:t xml:space="preserve">Социально-экологические риски урбанизации и развитие московской агломерации: сравнительный анализ зарубежного опыта | Лядова | Экология и промышленность России | Социально-экологические риски урбанизации и развитие московской агломерации: сравнительный анализ зарубежного опыта | Socio-Ecological Urban Risks and the Moscow Agglomeration Development: the Comparative International Study | Социально-экологические риски урбанизации и развитие московской агломерации: сравнительный анализ зарубежного опыта | Социально-экологические риски урбанизации и развитие московской агломерации: сравнительный анализ зарубежного опыта | Лядова | Экология и промышленность России</x:t>
  </x:si>
  <x:si>
    <x:t xml:space="preserve">HTTP 200; проверка объекта 27.10.2026; https://www.ecology-kalvis.ru/jour/article/view/940</x:t>
  </x:si>
  <x:si>
    <x:t xml:space="preserve">Внешний контекст; успешное открытие URL при подготовке набора; после пересмотра профиля 7.0.5 дата не используется в оформлении и не считается извлечённым полем.</x:t>
  </x:si>
  <x:si>
    <x:t xml:space="preserve">Нет</x:t>
  </x:si>
  <x:si>
    <x:t xml:space="preserve">R002</x:t>
  </x:si>
  <x:si>
    <x:t xml:space="preserve">Коротков С.А. Смена состава древостоев и устойчивость защитных лесов центральной части Русской равнины. Москва : АНО «Доблесть Эпох», 2023. 168 с. EDN: TTHPPA</x:t>
  </x:si>
  <x:si>
    <x:t xml:space="preserve">Коротков С. А. Смена состава древостоев и устойчивость защитных лесов центральной части Русской равнины. — Москва : АНО «Доблесть Эпох», 2023. — 168 с.</x:t>
  </x:si>
  <x:si>
    <x:t xml:space="preserve">Книга</x:t>
  </x:si>
  <x:si>
    <x:t xml:space="preserve">Коротков С. А.</x:t>
  </x:si>
  <x:si>
    <x:t xml:space="preserve">Смена состава древостоев и устойчивость защитных лесов центральной части Русской равнины</x:t>
  </x:si>
  <x:si>
    <x:t xml:space="preserve">168</x:t>
  </x:si>
  <x:si>
    <x:t xml:space="preserve">Общий объём</x:t>
  </x:si>
  <x:si>
    <x:t xml:space="preserve">АНО «Доблесть Эпох»</x:t>
  </x:si>
  <x:si>
    <x:t xml:space="preserve">Москва</x:t>
  </x:si>
  <x:si>
    <x:t xml:space="preserve">В текущем профиле 7.0.5 не используется; прежняя дата и её происхождение сохранены в журнале изменений.</x:t>
  </x:si>
  <x:si>
    <x:t xml:space="preserve">TTHPPA</x:t>
  </x:si>
  <x:si>
    <x:t xml:space="preserve">Для краткой ссылки выбран документ/составная часть по выходным данным издания. Отдельная проверенная сетевая версия в контекст форматирования не включена. DOI сам по себе не определяет профиль.</x:t>
  </x:si>
  <x:si>
    <x:t xml:space="preserve">Не утверждается бумажный носитель: фиксируется объект и состав краткой ссылки по выходным данным.</x:t>
  </x:si>
  <x:si>
    <x:t xml:space="preserve">Входного URL нет; сетевая версия не выбиралась</x:t>
  </x:si>
  <x:si>
    <x:t xml:space="preserve">Не применимо</x:t>
  </x:si>
  <x:si>
    <x:t xml:space="preserve">R003</x:t>
  </x:si>
  <x:si>
    <x:t xml:space="preserve">Зозулина Г.М. Исторические свиты растительности Европейской части СССР // Ботанический журнал. 1973. Т. 58, № 8. С. 1081-1092.</x:t>
  </x:si>
  <x:si>
    <x:t xml:space="preserve">Зозулина Г. М. Исторические свиты растительности Европейской части СССР // Ботанический журнал. — 1973. — Т. 58. — № 8. — С. 1081–1092.</x:t>
  </x:si>
  <x:si>
    <x:t xml:space="preserve">Зозулина Г. М.</x:t>
  </x:si>
  <x:si>
    <x:t xml:space="preserve">Исторические свиты растительности Европейской части СССР</x:t>
  </x:si>
  <x:si>
    <x:t xml:space="preserve">Ботанический журнал</x:t>
  </x:si>
  <x:si>
    <x:t xml:space="preserve">58</x:t>
  </x:si>
  <x:si>
    <x:t xml:space="preserve">8</x:t>
  </x:si>
  <x:si>
    <x:t xml:space="preserve">1081–1092</x:t>
  </x:si>
  <x:si>
    <x:t xml:space="preserve">R004</x:t>
  </x:si>
  <x:si>
    <x:t xml:space="preserve">Сазыкина Т.Г., Крышев А.И., Крышев И.И. Моделирование радиоэкологических процессов в окружающей среде. Москва : Маска, 2022. 638 с. EDN: AFREHA</x:t>
  </x:si>
  <x:si>
    <x:t xml:space="preserve">Сазыкина Т. Г., Крышев А. И., Крышев И. И. Моделирование радиоэкологических процессов в окружающей среде. — Москва : Маска, 2022. — 638 с.</x:t>
  </x:si>
  <x:si>
    <x:t xml:space="preserve">Сазыкина Т. Г. | Крышев А. И. | Крышев И. И.</x:t>
  </x:si>
  <x:si>
    <x:t xml:space="preserve">Моделирование радиоэкологических процессов в окружающей среде</x:t>
  </x:si>
  <x:si>
    <x:t xml:space="preserve">638</x:t>
  </x:si>
  <x:si>
    <x:t xml:space="preserve">Маска</x:t>
  </x:si>
  <x:si>
    <x:t xml:space="preserve">https://journals.rudn.ru/ecology/article/view/45747?setLocale=ru_RU#articleCitations</x:t>
  </x:si>
  <x:si>
    <x:t xml:space="preserve">Radioecological assessment of the marine environment in the area of the sinking of the nuclear submarine K-159 based on the results of the scientific research expedition in 2023</x:t>
  </x:si>
  <x:si>
    <x:t xml:space="preserve">AFREHA</x:t>
  </x:si>
  <x:si>
    <x:t xml:space="preserve">test</x:t>
  </x:si>
  <x:si>
    <x:t xml:space="preserve">https://journals.rudn.ru/ecology/article/view/45747</x:t>
  </x:si>
  <x:si>
    <x:t xml:space="preserve">R005</x:t>
  </x:si>
  <x:si>
    <x:t xml:space="preserve">Величкин Э. М. О распространении омелы белой (Viscum аlbum L., Loranthaceae) в Брянской области // Вестник Брянского государственного университета. 2012. № 4-2. С. 124-126. EDN: RDGVIJ</x:t>
  </x:si>
  <x:si>
    <x:t xml:space="preserve">Величкин Э. М. О распространении омелы белой (Viscum аlbum L., Loranthaceae) в Брянской области // Вестник Брянского государственного университета. — 2012. — № 4-2. — С. 124–126.</x:t>
  </x:si>
  <x:si>
    <x:t xml:space="preserve">Величкин Э. М.</x:t>
  </x:si>
  <x:si>
    <x:t xml:space="preserve">О распространении омелы белой (Viscum аlbum L., Loranthaceae) в Брянской области</x:t>
  </x:si>
  <x:si>
    <x:t xml:space="preserve">Вестник Брянского государственного университета</x:t>
  </x:si>
  <x:si>
    <x:t xml:space="preserve">4-2</x:t>
  </x:si>
  <x:si>
    <x:t xml:space="preserve">124–126</x:t>
  </x:si>
  <x:si>
    <x:t xml:space="preserve">https://journals.rudn.ru/ecology/article/view/45748?setLocale=ru_RU#articleCitations</x:t>
  </x:si>
  <x:si>
    <x:t xml:space="preserve">Limiting factors of Viscum album L. spread and bioindication characteristics of alien species biomass in the Bryansk region</x:t>
  </x:si>
  <x:si>
    <x:t xml:space="preserve">RDGVIJ</x:t>
  </x:si>
  <x:si>
    <x:t xml:space="preserve">https://journals.rudn.ru/ecology/article/view/45748</x:t>
  </x:si>
  <x:si>
    <x:t xml:space="preserve">R006</x:t>
  </x:si>
  <x:si>
    <x:t xml:space="preserve">Алексеенко В.А., Алексеенко А.В. Химические элементы в городских почвах. Москва : Логос, 2014. 310 с. EDN: UDFTJD</x:t>
  </x:si>
  <x:si>
    <x:t xml:space="preserve">Алексеенко В. А., Алексеенко А. В. Химические элементы в городских почвах. — Москва : Логос, 2014. — 310 с.</x:t>
  </x:si>
  <x:si>
    <x:t xml:space="preserve">Алексеенко В. А. | Алексеенко А. В.</x:t>
  </x:si>
  <x:si>
    <x:t xml:space="preserve">Химические элементы в городских почвах</x:t>
  </x:si>
  <x:si>
    <x:t xml:space="preserve">310</x:t>
  </x:si>
  <x:si>
    <x:t xml:space="preserve">Логос</x:t>
  </x:si>
  <x:si>
    <x:t xml:space="preserve">https://journals.rudn.ru/ecology/article/view/45749?setLocale=ru_RU#articleCitations</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</x:si>
  <x:si>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x:t>
  </x:si>
  <x:si>
    <x:t xml:space="preserve">Ecological and hygienic assessment of soil pollution of urbocenoses of the Central Chernozem region with priority ecotoxicants</x:t>
  </x:si>
  <x:si>
    <x:t xml:space="preserve">UDFTJD</x:t>
  </x:si>
  <x:si>
    <x:t xml:space="preserve">https://journals.rudn.ru/ecology/article/view/45749</x:t>
  </x:si>
  <x:si>
    <x:t xml:space="preserve">Проверен вторым разметчиком в рамках заданного краткого профиля; нормативная библиотечная экспертиза не заявляется</x:t>
  </x:si>
  <x:si>
    <x:t xml:space="preserve">Михаил Саяпин</x:t>
  </x:si>
  <x:si>
    <x:t xml:space="preserve">Да</x:t>
  </x:si>
  <x:si>
    <x:t xml:space="preserve">Проверка оформления Михаилом: достаточно данных — Да. Исходный вариант Михаила до последующего переноса: Алексеенко, В. А. Химические элементы в городских почвах / В. А. Алексеенко, А. В. Алексеенко. — Москва : Логос, 2014. — 310 с.</x:t>
  </x:si>
  <x:si>
    <x:t xml:space="preserve">R007</x:t>
  </x:si>
  <x:si>
    <x:t xml:space="preserve">Дьякова Н.А., Епринцев С.А., Клепиков О.В., Виноградов П.М. Эколого-гигиеническая оценка верхних слоев почв антропогенно нарушенных территорий средней полосы России по содержанию подвижных форм тяжелых металлов // Грозненский естественнонаучный бюллетень. 2024. № 2 (36). С. 19-26. EDN: CUXYRN</x:t>
  </x:si>
  <x:si>
    <x:t xml:space="preserve">Эколого-гигиеническая оценка верхних слоев почв антропогенно нарушенных территорий средней полосы России по содержанию подвижных форм тяжелых металлов / Н. А. Дьякова, С. А. Епринцев, О. В. Клепиков, П. М. Виноградов // Грозненский естественнонаучный бюллетень. — 2024. — № 2 (36). — С. 19–26.</x:t>
  </x:si>
  <x:si>
    <x:t xml:space="preserve">Дьякова Н. А. | Епринцев С. А. | Клепиков О. В. | Виноградов П. М.</x:t>
  </x:si>
  <x:si>
    <x:t xml:space="preserve">Эколого-гигиеническая оценка верхних слоев почв антропогенно нарушенных территорий средней полосы России по содержанию подвижных форм тяжелых металлов</x:t>
  </x:si>
  <x:si>
    <x:t xml:space="preserve">Грозненский естественнонаучный бюллетень</x:t>
  </x:si>
  <x:si>
    <x:t xml:space="preserve">2 (36)</x:t>
  </x:si>
  <x:si>
    <x:t xml:space="preserve">19–26</x:t>
  </x:si>
  <x:si>
    <x:t xml:space="preserve">CUXYRN</x:t>
  </x:si>
  <x:si>
    <x:t xml:space="preserve">R008</x:t>
  </x:si>
  <x:si>
    <x:t xml:space="preserve">Балыкин Д.Н., Пузанов А.В., Балыкин С.Н., Салтыков А.В., Рождественская Т.А. Радионуклиды 238U, 232TH, 40K, 137CS в почвах и донных отложениях территории космодрома «Восточный» (Амурская область) // Известия Алтайского отделения Русского географического общества. 2019. № 3 (54). С. 98-104. EDN: RHBZJO</x:t>
  </x:si>
  <x:si>
    <x:t xml:space="preserve">Радионуклиды 238U, 232TH, 40K, 137CS в почвах и донных отложениях территории космодрома «Восточный» (Амурская область) / Д. Н. Балыкин, А. В. Пузанов, С. Н. Балыкин, А. В. Салтыков, Т. А. Рождественская // Известия Алтайского отделения Русского географического общества. — 2019. — № 3 (54). — С. 98–104.</x:t>
  </x:si>
  <x:si>
    <x:t xml:space="preserve">Балыкин Д. Н. | Пузанов А. В. | Балыкин С. Н. | Салтыков А. В. | Рождественская Т. А.</x:t>
  </x:si>
  <x:si>
    <x:t xml:space="preserve">Радионуклиды 238U, 232TH, 40K, 137CS в почвах и донных отложениях территории космодрома «Восточный» (Амурская область)</x:t>
  </x:si>
  <x:si>
    <x:t xml:space="preserve">Известия Алтайского отделения Русского географического общества</x:t>
  </x:si>
  <x:si>
    <x:t xml:space="preserve">3 (54)</x:t>
  </x:si>
  <x:si>
    <x:t xml:space="preserve">98–104</x:t>
  </x:si>
  <x:si>
    <x:t xml:space="preserve">RHBZJO</x:t>
  </x:si>
  <x:si>
    <x:t xml:space="preserve">R009</x:t>
  </x:si>
  <x:si>
    <x:t xml:space="preserve">Никишов В.Д. Комплексное использование древесины. Москва : Лесн. пром-сть, 1985. 264 с.</x:t>
  </x:si>
  <x:si>
    <x:t xml:space="preserve">Никишов В. Д. Комплексное использование древесины. — Москва : Лесн. пром-сть, 1985. — 264 с.</x:t>
  </x:si>
  <x:si>
    <x:t xml:space="preserve">Никишов В. Д.</x:t>
  </x:si>
  <x:si>
    <x:t xml:space="preserve">Комплексное использование древесины</x:t>
  </x:si>
  <x:si>
    <x:t xml:space="preserve">264</x:t>
  </x:si>
  <x:si>
    <x:t xml:space="preserve">Лесн. пром-сть</x:t>
  </x:si>
  <x:si>
    <x:t xml:space="preserve">https://journals.rudn.ru/ecology/article/view/45750?setLocale=ru_RU#articleCitations</x:t>
  </x:si>
  <x:si>
    <x:t xml:space="preserve">Assessment of the possibility of using hydrolysis lignin for biological reclamation</x:t>
  </x:si>
  <x:si>
    <x:t xml:space="preserve">https://journals.rudn.ru/ecology/article/view/45750</x:t>
  </x:si>
  <x:si>
    <x:t xml:space="preserve">R010</x:t>
  </x:si>
  <x:si>
    <x:t xml:space="preserve">Валюжинич М.А. Сжигание гидролизного лигнина и фрезерного торфа в котельной установке с предтопком кипящего слоя // Новости теплоснабжения. 2011. № 4. С. 33–38.</x:t>
  </x:si>
  <x:si>
    <x:t xml:space="preserve">Валюжинич М. А. Сжигание гидролизного лигнина и фрезерного торфа в котельной установке с предтопком кипящего слоя // Новости теплоснабжения. — 2011. — № 4. — С. 33–38.</x:t>
  </x:si>
  <x:si>
    <x:t xml:space="preserve">Валюжинич М. А.</x:t>
  </x:si>
  <x:si>
    <x:t xml:space="preserve">Сжигание гидролизного лигнина и фрезерного торфа в котельной установке с предтопком кипящего слоя</x:t>
  </x:si>
  <x:si>
    <x:t xml:space="preserve">Новости теплоснабжения</x:t>
  </x:si>
  <x:si>
    <x:t xml:space="preserve">4</x:t>
  </x:si>
  <x:si>
    <x:t xml:space="preserve">33–38</x:t>
  </x:si>
  <x:si>
    <x:t xml:space="preserve">R011</x:t>
  </x:si>
  <x:si>
    <x:t xml:space="preserve">Беляев Е.Ю. Получение и применение древесных активированных углей в экологических целях // Химия растительного сырья. 2000. № 2. С. 5–15. EDN: HYRHSB</x:t>
  </x:si>
  <x:si>
    <x:t xml:space="preserve">Беляев Е. Ю. Получение и применение древесных активированных углей в экологических целях // Химия растительного сырья. — 2000. — № 2. — С. 5–15.</x:t>
  </x:si>
  <x:si>
    <x:t xml:space="preserve">Беляев Е. Ю.</x:t>
  </x:si>
  <x:si>
    <x:t xml:space="preserve">Получение и применение древесных активированных углей в экологических целях</x:t>
  </x:si>
  <x:si>
    <x:t xml:space="preserve">Химия растительного сырья</x:t>
  </x:si>
  <x:si>
    <x:t xml:space="preserve">2</x:t>
  </x:si>
  <x:si>
    <x:t xml:space="preserve">5–15</x:t>
  </x:si>
  <x:si>
    <x:t xml:space="preserve">HYRHSB</x:t>
  </x:si>
  <x:si>
    <x:t xml:space="preserve">R012</x:t>
  </x:si>
  <x:si>
    <x:t xml:space="preserve">Михайлов А.В. Открытая разработка хранилища лигнина // Записки Горного института. 2017. Т. 223. С. 44–50. https://doi.org/10.18454/PMI.2017.1.44 EDN: YGCWLJ</x:t>
  </x:si>
  <x:si>
    <x:t xml:space="preserve">Михайлов А. В. Открытая разработка хранилища лигнина // Записки Горного института. — 2017. — Т. 223. — С. 44–50. — URL: https://pmi.spmi.ru/index.php/pmi/article/view/9393 (дата обращения: 27.10.2026).</x:t>
  </x:si>
  <x:si>
    <x:t xml:space="preserve">Михайлов А. В.</x:t>
  </x:si>
  <x:si>
    <x:t xml:space="preserve">Открытая разработка хранилища лигнина</x:t>
  </x:si>
  <x:si>
    <x:t xml:space="preserve">Записки Горного института</x:t>
  </x:si>
  <x:si>
    <x:t xml:space="preserve">223</x:t>
  </x:si>
  <x:si>
    <x:t xml:space="preserve">44–50</x:t>
  </x:si>
  <x:si>
    <x:t xml:space="preserve">https://doi.org/10.18454/PMI.2017.1.44</x:t>
  </x:si>
  <x:si>
    <x:t xml:space="preserve">10.18454/PMI.2017.1.44</x:t>
  </x:si>
  <x:si>
    <x:t xml:space="preserve">YGCWLJ</x:t>
  </x:si>
  <x:si>
    <x:t xml:space="preserve">https://pmi.spmi.ru/index.php/pmi/article/view/9393</x:t>
  </x:si>
  <x:si>
    <x:t xml:space="preserve">Открытая разработка хранилища лигнина | Открытая разработка хранилища лигнина | Открытая разработка хранилища лигнина | 
                  		Открытая разработка хранилища лигнина
				 | А. В. Михайлов | Записки Горного института</x:t>
  </x:si>
  <x:si>
    <x:t xml:space="preserve">HTTP 200; проверка объекта 27.10.2026; https://pmi.spmi.ru/index.php/pmi/article/view/9393</x:t>
  </x:si>
  <x:si>
    <x:t xml:space="preserve">R013</x:t>
  </x:si>
  <x:si>
    <x:t xml:space="preserve">Пашкевич М.А., Петрова Т.А., Рудзиш Э. Оценка потенциальной возможности использования лигнин-шламов для лесохозяйственной рекультивации нарушенных земель // Записки Горного института. 2019. Т. 235. С. 106–112. https://doi.org/10.31897/PMI.2019.1.106 EDN: BJFLBU</x:t>
  </x:si>
  <x:si>
    <x:t xml:space="preserve">Пашкевич М. А., Петрова Т. А., Рудзиш Э. Оценка потенциальной возможности использования лигнин-шламов для лесохозяйственной рекультивации нарушенных земель // Записки Горного института. — 2019. — Т. 235. — С. 106–112. — URL: https://pmi.spmi.ru/index.php/pmi/article/view/13172 (дата обращения: 27.10.2026).</x:t>
  </x:si>
  <x:si>
    <x:t xml:space="preserve">Пашкевич М. А. | Петрова Т. А. | Рудзиш Э.</x:t>
  </x:si>
  <x:si>
    <x:t xml:space="preserve">Оценка потенциальной возможности использования лигнин-шламов для лесохозяйственной рекультивации нарушенных земель</x:t>
  </x:si>
  <x:si>
    <x:t xml:space="preserve">235</x:t>
  </x:si>
  <x:si>
    <x:t xml:space="preserve">106–112</x:t>
  </x:si>
  <x:si>
    <x:t xml:space="preserve">https://doi.org/10.31897/PMI.2019.1.106</x:t>
  </x:si>
  <x:si>
    <x:t xml:space="preserve">10.31897/PMI.2019.1.106</x:t>
  </x:si>
  <x:si>
    <x:t xml:space="preserve">BJFLBU</x:t>
  </x:si>
  <x:si>
    <x:t xml:space="preserve">https://pmi.spmi.ru/index.php/pmi/article/view/13172</x:t>
  </x:si>
  <x:si>
    <x:t xml:space="preserve">Оценка потенциальной возможности использования лигнин-шламов для лесохозяйственной рекультивации нарушенных земель | Оценка потенциальной возможности использования лигнин-шламов для лесохозяйственной рекультивации нарушенных земель | Оценка потенциальной возможности использования лигнин-шламов для лесохозяйственной рекультивации нарушенных земель | 
                  		Оценка потенциальной возможности использования лигнин-шламов для лесохозяйственной рекультивации нарушенных земель
				 | М. А. Пашкевич | Записки Горного института</x:t>
  </x:si>
  <x:si>
    <x:t xml:space="preserve">HTTP 200; проверка объекта 27.10.2026; https://pmi.spmi.ru/index.php/pmi/article/view/13172</x:t>
  </x:si>
  <x:si>
    <x:t xml:space="preserve">R014</x:t>
  </x:si>
  <x:si>
    <x:t xml:space="preserve">Вавилов В.Д., Суконкин А.Н. Обзор отечественных и зарубежных сигнализаторов обледенения // Труды НГТУ им. Р.Е. Алексеева. 2013. № 4 (101). С. 297–310. EDN: SEZXGN</x:t>
  </x:si>
  <x:si>
    <x:t xml:space="preserve">Вавилов В. Д., Суконкин А. Н. Обзор отечественных и зарубежных сигнализаторов обледенения // Труды НГТУ им. Р.Е. Алексеева. — 2013. — № 4 (101). — С. 297–310.</x:t>
  </x:si>
  <x:si>
    <x:t xml:space="preserve">Вавилов В. Д. | Суконкин А. Н.</x:t>
  </x:si>
  <x:si>
    <x:t xml:space="preserve">Обзор отечественных и зарубежных сигнализаторов обледенения</x:t>
  </x:si>
  <x:si>
    <x:t xml:space="preserve">Труды НГТУ им. Р.Е. Алексеева</x:t>
  </x:si>
  <x:si>
    <x:t xml:space="preserve">4 (101)</x:t>
  </x:si>
  <x:si>
    <x:t xml:space="preserve">297–310</x:t>
  </x:si>
  <x:si>
    <x:t xml:space="preserve">https://journals.rudn.ru/ecology/article/view/45751?setLocale=ru_RU#articleCitations</x:t>
  </x:si>
  <x:si>
    <x:t xml:space="preserve">Some aspects of adaptation of measuring instruments for instrumental emission control using UAVs</x:t>
  </x:si>
  <x:si>
    <x:t xml:space="preserve">SEZXGN</x:t>
  </x:si>
  <x:si>
    <x:t xml:space="preserve">https://journals.rudn.ru/ecology/article/view/45751</x:t>
  </x:si>
  <x:si>
    <x:t xml:space="preserve">Проверка оформления Михаилом: достаточно данных — Да. Исходный вариант Михаила до последующего переноса: Вавилов, В. Д. Обзор отечественных и зарубежных сигнализаторов обледенения / В. Д. Вавилов, А. Н. Суконкин // Труды НГТУ им. Р.Е. Алексеева. — 2013. — № 4 (101). — С. 297–310.</x:t>
  </x:si>
  <x:si>
    <x:t xml:space="preserve">R015</x:t>
  </x:si>
  <x:si>
    <x:t xml:space="preserve">Гу П., Авсиевич А.М., Лобатый А.А. Математическая модель оценки влияния вибраций на элементы мультикоптера // Системный анализ и прикладная информатика. 2024. № 1. С. 37–42. https://doi.org/10.21122/2309-4923-2024-1-37-42 EDN: TPPEKS</x:t>
  </x:si>
  <x:si>
    <x:t xml:space="preserve">Гу П., Авсиевич А. М., Лобатый А. А. Математическая модель оценки влияния вибраций на элементы мультикоптера // Системный анализ и прикладная информатика. — 2024. — № 1. — С. 37–42. — URL: https://sapi.bntu.by/jour/article/view/658 (дата обращения: 27.10.2026).</x:t>
  </x:si>
  <x:si>
    <x:t xml:space="preserve">Гу П. | Авсиевич А. М. | Лобатый А. А.</x:t>
  </x:si>
  <x:si>
    <x:t xml:space="preserve">Математическая модель оценки влияния вибраций на элементы мультикоптера</x:t>
  </x:si>
  <x:si>
    <x:t xml:space="preserve">Системный анализ и прикладная информатика</x:t>
  </x:si>
  <x:si>
    <x:t xml:space="preserve">1</x:t>
  </x:si>
  <x:si>
    <x:t xml:space="preserve">37–42</x:t>
  </x:si>
  <x:si>
    <x:t xml:space="preserve">https://doi.org/10.21122/2309-4923-2024-1-37-42</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</x:si>
  <x:si>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DOI дан как URL: полный адрес в P, идентификатор в R.</x:t>
  </x:si>
  <x:si>
    <x:t xml:space="preserve">10.21122/2309-4923-2024-1-37-42</x:t>
  </x:si>
  <x:si>
    <x:t xml:space="preserve">TPPEKS</x:t>
  </x:si>
  <x:si>
    <x:t xml:space="preserve">https://sapi.bntu.by/jour/article/view/658</x:t>
  </x:si>
  <x:si>
    <x:t xml:space="preserve">Математическая модель оценки влияния вибраций на элементы мультикоптера | Гу | Системный анализ и прикладная информатика | Математическая модель оценки влияния вибраций на элементы мультикоптера | Mathematical model for assessing the influence of vibrations for multicopter elements | Математическая модель оценки влияния вибраций на элементы мультикоптера | Математическая модель оценки влияния вибраций на элементы мультикоптера | Гу | Системный анализ и прикладная информатика</x:t>
  </x:si>
  <x:si>
    <x:t xml:space="preserve">HTTP 200; проверка объекта 27.10.2026; https://sapi.bntu.by/jour/article/view/658</x:t>
  </x:si>
  <x:si>
    <x:t xml:space="preserve">Проверка оформления Михаилом: достаточно данных — Да. Открылась страница статьи; DOI на странице совпал с DOI строки. Источник: Подтверждения_28_10_2026.html. Исходный вариант Михаила до последующего переноса: Гу, П. Математическая модель оценки влияния вибраций на элементы мультикоптера / П. Гу, А. М. Авсиевич, А. А. Лобатый // Системный анализ и прикладная информатика. — 2024. — № 1. — С. 37–42. — URL: https://sapi.bntu.by/jour/article/view/658 (дата обращения: 27.10.2026).</x:t>
  </x:si>
  <x:si>
    <x:t xml:space="preserve">R016</x:t>
  </x:si>
  <x:si>
    <x:t xml:space="preserve">Гапеева М.В., Законнов В.В. Геохимическая характеристика экосистемы Угличского водохранилища // Труды ИБВВ РАН. 2016. Вып. 75 (78). С. 41-46. http://doi.org/10.24411/0320-3557-2016-10019 EDN: YRNVGX</x:t>
  </x:si>
  <x:si>
    <x:t xml:space="preserve">Гапеева М. В., Законнов В. В. Геохимическая характеристика экосистемы Угличского водохранилища // Труды ИБВВ РАН. — 2016. — № 75 (78). — С. 41–46. — URL: https://cyberleninka.ru/article/n/geohimicheskaya-harakteristika-ekosistemy-uglichskogo-vodohranilischa/pdf (дата обращения: 27.10.2026).</x:t>
  </x:si>
  <x:si>
    <x:t xml:space="preserve">Гапеева М. В. | Законнов В. В.</x:t>
  </x:si>
  <x:si>
    <x:t xml:space="preserve">Геохимическая характеристика экосистемы Угличского водохранилища</x:t>
  </x:si>
  <x:si>
    <x:t xml:space="preserve">Труды ИБВВ РАН</x:t>
  </x:si>
  <x:si>
    <x:t xml:space="preserve">75 (78)</x:t>
  </x:si>
  <x:si>
    <x:t xml:space="preserve">41–46</x:t>
  </x:si>
  <x:si>
    <x:t xml:space="preserve">http://doi.org/10.24411/0320-3557-2016-10019</x:t>
  </x:si>
  <x:si>
    <x:t xml:space="preserve">https://journals.rudn.ru/ecology/article/view/45754?setLocale=ru_RU#articleCitations</x:t>
  </x:si>
  <x:si>
    <x:t xml:space="preserve">10.24411/0320-3557-2016-10019</x:t>
  </x:si>
  <x:si>
    <x:t xml:space="preserve">Hydrological Stability of Coastal Ecosystems Under the Transformation of Small Towns</x:t>
  </x:si>
  <x:si>
    <x:t xml:space="preserve">YRNVGX</x:t>
  </x:si>
  <x:si>
    <x:t xml:space="preserve">https://journals.rudn.ru/ecology/article/view/45754</x:t>
  </x:si>
  <x:si>
    <x:t xml:space="preserve">https://cyberleninka.ru/article/n/geohimicheskaya-harakteristika-ekosistemy-uglichskogo-vodohranilischa/pdf</x:t>
  </x:si>
  <x:si>
    <x:t xml:space="preserve">41 
УДК 550.4+574.64 
ГЕОХИМИЧЕСКАЯ ХАРАКТЕРИСТИКА ЭКОСИСТЕМЫ  
УГЛИЧСКОГО ВОДОХРАНИЛИЩА 
М. В. Гапеева, В. В. Законнов 
Институт биологии внутренних вод им. И. Д. Папанина РАН 
152742 пос. Борок, Ярославская обл., Некоузский р-н, e-mail: gmv@ibiw.ya</x:t>
  </x:si>
  <x:si>
    <x:t xml:space="preserve">HTTP 200; проверка объекта 27.10.2026; https://cyberleninka.ru/article/n/geohimicheskaya-harakteristika-ekosistemy-uglichskogo-vodohranilischa/pdf</x:t>
  </x:si>
  <x:si>
    <x:t xml:space="preserve">R017</x:t>
  </x:si>
  <x:si>
    <x:t xml:space="preserve">Волкова В.Д., Федосеева Е.В., Терехова В.А. Сорбционная активность микромицетов Alternaria alternata (Fr.) Keissl. и Fusarium oxysporum Schltdl. по отношению к меди // Поволжский экологический журнал. 2024. № 1. С. 20-35. https://doi.org/10.35885/1684-7318-2024-1-20-35 EDN: QYXVQF</x:t>
  </x:si>
  <x:si>
    <x:t xml:space="preserve">Волкова В. Д., Федосеева Е. В., Терехова В. А. Сорбционная активность микромицетов Alternaria alternata (Fr.) Keissl. и Fusarium oxysporum Schltdl. по отношению к меди // Поволжский экологический журнал. — 2024. — № 1. — С. 20–35. — URL: https://sevin.elpub.ru/jour/article/view/521 (дата обращения: 27.10.2026).</x:t>
  </x:si>
  <x:si>
    <x:t xml:space="preserve">Волкова В. Д. | Федосеева Е. В. | Терехова В. А.</x:t>
  </x:si>
  <x:si>
    <x:t xml:space="preserve">Сорбционная активность микромицетов Alternaria alternata (Fr.) Keissl. и Fusarium oxysporum Schltdl. по отношению к меди</x:t>
  </x:si>
  <x:si>
    <x:t xml:space="preserve">Поволжский экологический журнал</x:t>
  </x:si>
  <x:si>
    <x:t xml:space="preserve">20–35</x:t>
  </x:si>
  <x:si>
    <x:t xml:space="preserve">https://doi.org/10.35885/1684-7318-2024-1-20-35</x:t>
  </x:si>
  <x:si>
    <x:t xml:space="preserve">https://journals.rudn.ru/ecology/article/view/45755?setLocale=ru_RU#articleCitations</x:t>
  </x:si>
  <x:si>
    <x:t xml:space="preserve">10.35885/1684-7318-2024-1-20-35</x:t>
  </x:si>
  <x:si>
    <x:t xml:space="preserve">Influence of polymeric materials on mobile forms of heavy metals at different levels of polymetallic pollution of sod-podzolic soil</x:t>
  </x:si>
  <x:si>
    <x:t xml:space="preserve">QYXVQF</x:t>
  </x:si>
  <x:si>
    <x:t xml:space="preserve">https://journals.rudn.ru/ecology/article/view/45755</x:t>
  </x:si>
  <x:si>
    <x:t xml:space="preserve">https://sevin.elpub.ru/jour/article/view/521</x:t>
  </x:si>
  <x:si>
    <x:t xml:space="preserve">Сорбционная активность микромицетов Alternaria alternata (Fr.) Keissl. и Fusarium oxysporum Schltdl. по отношению к меди | Волкова | ПОВОЛЖСКИЙ ЭКОЛОГИЧЕСКИЙ ЖУРНАЛ | Сорбционная активность микромицетов Alternaria alternata (Fr.) Keissl. и Fusarium oxysporum Schltdl. по отношению к меди | Copper ion sorption ability of  Alternaria alternata (Fr.) Keissl. and  Fusarium oxysporum  Schltdl. micromycetes | Сорбционная активность микромицетов Alternaria alternata (Fr.) Keissl. и Fusarium oxysporum Schltdl. по отношению к меди | Сорбционная активность микромицетов Alternaria alternata (Fr.) Keissl. и Fusarium oxysporum Schltdl. по отношению к меди | Волкова | ПОВОЛЖСКИЙ ЭКОЛОГИЧЕСКИЙ ЖУРНАЛ</x:t>
  </x:si>
  <x:si>
    <x:t xml:space="preserve">HTTP 200; проверка объекта 27.10.2026; https://sevin.elpub.ru/jour/article/view/521</x:t>
  </x:si>
  <x:si>
    <x:t xml:space="preserve">R018</x:t>
  </x:si>
  <x:si>
    <x:t xml:space="preserve">Дорохина Е.Ю., Кучер Д.Е., Харченко С.Г. Экономика замкнутых циклов: тенденции и перспективы : монография. Москва : МАКС Пресс, 2023. 128 с. EDN: WRUZQH</x:t>
  </x:si>
  <x:si>
    <x:t xml:space="preserve">Дорохина Е. Ю., Кучер Д. Е., Харченко С. Г. Экономика замкнутых циклов : тенденции и перспективы : монография. — Москва : МАКС Пресс, 2023. — 128 с.</x:t>
  </x:si>
  <x:si>
    <x:t xml:space="preserve">Дорохина Е. Ю. | Кучер Д. Е. | Харченко С. Г.</x:t>
  </x:si>
  <x:si>
    <x:t xml:space="preserve">Экономика замкнутых циклов: тенденции и перспективы : монография</x:t>
  </x:si>
  <x:si>
    <x:t xml:space="preserve">128</x:t>
  </x:si>
  <x:si>
    <x:t xml:space="preserve">МАКС Пресс</x:t>
  </x:si>
  <x:si>
    <x:t xml:space="preserve">https://journals.rudn.ru/ecology/article/view/47547?setLocale=ru_RU#articleCitations</x:t>
  </x:si>
  <x:si>
    <x:t xml:space="preserve">An environmentally friendly and cost-effective approach: obtaining lubricants from waste oils</x:t>
  </x:si>
  <x:si>
    <x:t xml:space="preserve">WRUZQH</x:t>
  </x:si>
  <x:si>
    <x:t xml:space="preserve">https://journals.rudn.ru/ecology/article/view/47547</x:t>
  </x:si>
  <x:si>
    <x:t xml:space="preserve">R019</x:t>
  </x:si>
  <x:si>
    <x:t xml:space="preserve">Ефимов Д.С., Абдуллаева А.М. Влияние выбросов мусоросжигательных заводов на окружающую среду города // Российский журнал проблемы ветеринарной санитарии, гигиены и экологии. 2023. № 2 (46). С. 212-216. https://doi.org/10.36871/vet.san.hyg.ecol.202302013 EDN: MHIBSH</x:t>
  </x:si>
  <x:si>
    <x:t xml:space="preserve">Ефимов Д. С., Абдуллаева А. М. Влияние выбросов мусоросжигательных заводов на окружающую среду города // Российский журнал проблемы ветеринарной санитарии, гигиены и экологии. — 2023. — № 2 (46). — С. 212–216. — URL: https://s-lib.com/en/issues/pvsge_2023_02_a13/ (дата обращения: 27.10.2026).</x:t>
  </x:si>
  <x:si>
    <x:t xml:space="preserve">Ефимов Д. С. | Абдуллаева А. М.</x:t>
  </x:si>
  <x:si>
    <x:t xml:space="preserve">Влияние выбросов мусоросжигательных заводов на окружающую среду города</x:t>
  </x:si>
  <x:si>
    <x:t xml:space="preserve">Российский журнал проблемы ветеринарной санитарии, гигиены и экологии</x:t>
  </x:si>
  <x:si>
    <x:t xml:space="preserve">2 (46)</x:t>
  </x:si>
  <x:si>
    <x:t xml:space="preserve">212–216</x:t>
  </x:si>
  <x:si>
    <x:t xml:space="preserve">https://doi.org/10.36871/vet.san.hyg.ecol.202302013</x:t>
  </x:si>
  <x:si>
    <x:t xml:space="preserve">https://journals.rudn.ru/ecology/article/view/47551?setLocale=ru_RU#articleCitations</x:t>
  </x:si>
  <x:si>
    <x:t xml:space="preserve">10.36871/vet.san.hyg.ecol.202302013</x:t>
  </x:si>
  <x:si>
    <x:t xml:space="preserve">Identification of pollution of incinerators in atmospheric emissions: case study of moscow and the region</x:t>
  </x:si>
  <x:si>
    <x:t xml:space="preserve">MHIBSH</x:t>
  </x:si>
  <x:si>
    <x:t xml:space="preserve">https://journals.rudn.ru/ecology/article/view/47551</x:t>
  </x:si>
  <x:si>
    <x:t xml:space="preserve">https://s-lib.com/en/issues/pvsge_2023_02_a13/</x:t>
  </x:si>
  <x:si>
    <x:t xml:space="preserve">IMPACT OF EMISSIONS FROM INCINERATION PLANT
ON THE ENVIRONMENT | IMPACT OF EMISSIONS FROM INCINERATION PLANT
ON THE ENVIRONMENT</x:t>
  </x:si>
  <x:si>
    <x:t xml:space="preserve">HTTP 200; проверка объекта 27.10.2026; https://s-lib.com/en/issues/pvsge_2023_02_a13/</x:t>
  </x:si>
  <x:si>
    <x:t xml:space="preserve">R020</x:t>
  </x:si>
  <x:si>
    <x:t xml:space="preserve">Ожегов Э.А., Гадышев В.А., Щербаков О.В. Изучение возможности использования полиароматических углеводородов нефти для идентификации нефтяных загрязнений // Научно-аналитический журнал «Вестник Санкт-Петербургского университета ГПС МЧС России». 2013. № 2. С. 22–28. URL: https://journals.igps.ru/ru/nauka/article/67963/view (дата обращения: 11.08.2025).</x:t>
  </x:si>
  <x:si>
    <x:t xml:space="preserve">Ожегов Э. А., Гадышев В. А., Щербаков О. В. Изучение возможности использования полиароматических углеводородов нефти для идентификации нефтяных загрязнений // Научно-аналитический журнал «Вестник Санкт-Петербургского университета ГПС МЧС России». — 2013. — № 2. — С. 22–28. — URL: https://journals.igps.ru/ru/nauka/publications/article/6a9c151f32807fdbab866843/izuchenie-vozmozhnosti-ispol-zovaniya-poliaromaticheskih-uglevodorodov-nefti-dlya-identifikacii-neftyanyh-zagryazneniy/view (дата обращения: 27.10.2026).</x:t>
  </x:si>
  <x:si>
    <x:t xml:space="preserve">Ожегов Э. А. | Гадышев В. А. | Щербаков О. В.</x:t>
  </x:si>
  <x:si>
    <x:t xml:space="preserve">Изучение возможности использования полиароматических углеводородов нефти для идентификации нефтяных загрязнений</x:t>
  </x:si>
  <x:si>
    <x:t xml:space="preserve">Научно-аналитический журнал «Вестник Санкт-Петербургского университета ГПС МЧС России»</x:t>
  </x:si>
  <x:si>
    <x:t xml:space="preserve">22–28</x:t>
  </x:si>
  <x:si>
    <x:t xml:space="preserve">https://journals.igps.ru/ru/nauka/article/67963/view</x:t>
  </x:si>
  <x:si>
    <x:t xml:space="preserve">https://journals.rudn.ru/ecology/article/view/47552?setLocale=ru_RU#articleCitations</x:t>
  </x:si>
  <x:si>
    <x:t xml:space="preserve">“Environmental fingerprinting” of waste combustion products based on polycyclic aromatic hydrocarbon concentrations</x:t>
  </x:si>
  <x:si>
    <x:t xml:space="preserve">https://journals.rudn.ru/ecology/article/view/47552</x:t>
  </x:si>
  <x:si>
    <x:t xml:space="preserve">https://journals.igps.ru/ru/nauka/publications/article/6a9c151f32807fdbab866843/izuchenie-vozmozhnosti-ispol-zovaniya-poliaromaticheskih-uglevodorodov-nefti-dlya-identifikacii-neftyanyh-zagryazneniy/view</x:t>
  </x:si>
  <x:si>
    <x:t xml:space="preserve">ИЗУЧЕНИЕ ВОЗМОЖНОСТИ ИСПОЛЬЗОВАНИЯ ПОЛИАРОМАТИЧЕСКИХ УГЛЕВОДОРОДОВ НЕФТИ ДЛЯ ИДЕНТИФИКАЦИИ НЕФТЯНЫХ ЗАГРЯЗНЕНИЙ | Научно-аналитический журнал "Вестник Санкт-Петербургского университета ГПС МЧС России" | ИЗУЧЕНИЕ ВОЗМОЖНОСТИ ИСПОЛЬЗОВАНИЯ ПОЛИАРОМАТИЧЕСКИХ УГЛЕВОДОРОДОВ НЕФТИ ДЛЯ ИДЕНТИФИКАЦИИ НЕФТЯНЫХ ЗАГРЯЗНЕНИЙ | ИЗУЧЕНИЕ ВОЗМОЖНОСТИ ИСПОЛЬЗОВАНИЯ ПОЛИАРОМАТИЧЕСКИХ УГЛЕВОДОРОДОВ НЕФТИ ДЛЯ ИДЕНТИФИКАЦИИ НЕФТЯНЫХ ЗАГРЯЗНЕНИЙ | ИЗУЧЕНИЕ ВОЗМОЖНОСТИ ИСПОЛЬЗОВАНИЯ ПОЛИАРОМАТИЧЕСКИХ УГЛЕВОДОРОДОВ НЕФТИ ДЛЯ ИДЕНТИФИКАЦИИ НЕФТЯНЫХ ЗАГРЯЗНЕНИЙ | Научно-аналитический журнал "Вестник Санкт-Петербургского университета ГПС МЧС России"</x:t>
  </x:si>
  <x:si>
    <x:t xml:space="preserve">HTTP 200; проверка объекта 27.10.2026; https://journals.igps.ru/ru/nauka/publications/article/6a9c151f32807fdbab866843/izuchenie-vozmozhnosti-ispol-zovaniya-poliaromaticheskih-uglevodorodov-nefti-dlya-identifikacii-neftyanyh-zagryazneniy/view</x:t>
  </x:si>
  <x:si>
    <x:t xml:space="preserve">Указана в опубликованной строке</x:t>
  </x:si>
  <x:si>
    <x:t xml:space="preserve">R021</x:t>
  </x:si>
  <x:si>
    <x:t xml:space="preserve">Хаустов А.П., Редина М.М. «Отходы — в энергию»: оценка экологических последствий с учётом супертоксичных выбросов // Энергобезопасность и энергосбережение. 2015. № 1. С. 18–24. EDN: TKCFQR</x:t>
  </x:si>
  <x:si>
    <x:t xml:space="preserve">Хаустов А. П., Редина М. М. «Отходы — в энергию» : оценка экологических последствий с учётом супертоксичных выбросов // Энергобезопасность и энергосбережение. — 2015. — № 1. — С. 18–24.</x:t>
  </x:si>
  <x:si>
    <x:t xml:space="preserve">Хаустов А. П. | Редина М. М.</x:t>
  </x:si>
  <x:si>
    <x:t xml:space="preserve">«Отходы — в энергию»: оценка экологических последствий с учётом супертоксичных выбросов</x:t>
  </x:si>
  <x:si>
    <x:t xml:space="preserve">Энергобезопасность и энергосбережение</x:t>
  </x:si>
  <x:si>
    <x:t xml:space="preserve">18–24</x:t>
  </x:si>
  <x:si>
    <x:t xml:space="preserve">TKCFQR</x:t>
  </x:si>
  <x:si>
    <x:t xml:space="preserve">Проверка оформления Михаилом: достаточно данных — Да. Исходный вариант Михаила до последующего переноса: Хаустов, А. П. «Отходы — в энергию»: оценка экологических последствий с учётом супертоксичных выбросов / А. П. Хаустов, М. М. Редина // Энергобезопасность и энергосбережение. — 2015. — № 1. — С. 18–24.</x:t>
  </x:si>
  <x:si>
    <x:t xml:space="preserve">R022</x:t>
  </x:si>
  <x:si>
    <x:t xml:space="preserve">Адарченко И., Курбатова А., Поротникова Н., Савенкова Е., Кумар В., Скороходова Ю. Передовые технологии для биоэкономики: кейс продукции из микроводорослей // Форсайт и управление НТИ. 2024. Т. 18, № 2. С. 69-83. https://doi.org/10.17323/2500-2597.2024.2.69.83 EDN: YORTXJ</x:t>
  </x:si>
  <x:si>
    <x:t xml:space="preserve">Передовые технологии для биоэкономики : кейс продукции из микроводорослей / И. Адарченко, А. Курбатова, Н. Поротникова, Е. Савенкова, В. Кумар, Ю. Скороходова // Форсайт и управление НТИ. — 2024. — Т. 18. — № 2. — С. 69–83. — URL: https://foresight-journal.hse.ru/en/article/view/21917 (дата обращения: 27.10.2026).</x:t>
  </x:si>
  <x:si>
    <x:t xml:space="preserve">Адарченко И. | Курбатова А. | Поротникова Н. | Савенкова Е. | Кумар В. | Скороходова Ю.</x:t>
  </x:si>
  <x:si>
    <x:t xml:space="preserve">Передовые технологии для биоэкономики: кейс продукции из микроводорослей</x:t>
  </x:si>
  <x:si>
    <x:t xml:space="preserve">Форсайт и управление НТИ</x:t>
  </x:si>
  <x:si>
    <x:t xml:space="preserve">18</x:t>
  </x:si>
  <x:si>
    <x:t xml:space="preserve">69–83</x:t>
  </x:si>
  <x:si>
    <x:t xml:space="preserve">https://doi.org/10.17323/2500-2597.2024.2.69.83</x:t>
  </x:si>
  <x:si>
    <x:t xml:space="preserve">https://journals.rudn.ru/ecology/article/view/47554?setLocale=ru_RU#articleCitations</x:t>
  </x:si>
  <x:si>
    <x:t xml:space="preserve">10.17323/2500-2597.2024.2.69.83</x:t>
  </x:si>
  <x:si>
    <x:t xml:space="preserve">Possibility of using biomass of microscopic algae cultivated under flue gas conditions as an organic fertilizer</x:t>
  </x:si>
  <x:si>
    <x:t xml:space="preserve">YORTXJ</x:t>
  </x:si>
  <x:si>
    <x:t xml:space="preserve">https://journals.rudn.ru/ecology/article/view/47554</x:t>
  </x:si>
  <x:si>
    <x:t xml:space="preserve">https://foresight-journal.hse.ru/en/article/view/21917</x:t>
  </x:si>
  <x:si>
    <x:t xml:space="preserve">Advanced Technologies for Bioeconomy: The Case of Microalgae Production | Advanced Technologies for Bioeconomy: The Case of Microalgae Production | 
		Advanced Technologies for Bioeconomy: The Case of Microalgae Production
							| Foresight and STI Governance</x:t>
  </x:si>
  <x:si>
    <x:t xml:space="preserve">HTTP 200; проверка объекта 27.10.2026; https://foresight-journal.hse.ru/en/article/view/21917</x:t>
  </x:si>
  <x:si>
    <x:t xml:space="preserve">R023</x:t>
  </x:si>
  <x:si>
    <x:t xml:space="preserve">Глазунова Д.М., Галицкая П.Ю., Селивановская С.Ю. Секвестрация углерода атмосферы с использованием микроводорослей // Ученые записки Казанского университета. Серия: Естественные науки. 2024. Т. 166. № 1. С. 82-125. http://doi.org/10.26907/2542-064X.2024.1.82-125 EDN: BEWUAK</x:t>
  </x:si>
  <x:si>
    <x:t xml:space="preserve">Глазунова Д. М., Галицкая П. Ю., Селивановская С. Ю. Секвестрация углерода атмосферы с использованием микроводорослей // Ученые записки Казанского университета. Серия: Естественные науки. — 2024. — Т. 166. — № 1. — С. 82–125. — URL: https://uzakuesc.elpub.ru/jour/article/view/69 (дата обращения: 27.10.2026).</x:t>
  </x:si>
  <x:si>
    <x:t xml:space="preserve">Глазунова Д. М. | Галицкая П. Ю. | Селивановская С. Ю.</x:t>
  </x:si>
  <x:si>
    <x:t xml:space="preserve">Секвестрация углерода атмосферы с использованием микроводорослей</x:t>
  </x:si>
  <x:si>
    <x:t xml:space="preserve">Ученые записки Казанского университета. Серия: Естественные науки</x:t>
  </x:si>
  <x:si>
    <x:t xml:space="preserve">166</x:t>
  </x:si>
  <x:si>
    <x:t xml:space="preserve">82–125</x:t>
  </x:si>
  <x:si>
    <x:t xml:space="preserve">http://doi.org/10.26907/2542-064X.2024.1.82-125</x:t>
  </x:si>
  <x:si>
    <x:t xml:space="preserve">10.26907/2542-064X.2024.1.82-125</x:t>
  </x:si>
  <x:si>
    <x:t xml:space="preserve">BEWUAK</x:t>
  </x:si>
  <x:si>
    <x:t xml:space="preserve">https://uzakuesc.elpub.ru/jour/article/view/69</x:t>
  </x:si>
  <x:si>
    <x:t xml:space="preserve">Секвестрация углерода атмосферы с использованием микроводорослей | Глазунова | Ученые записки Казанского университета. Серия Естественные науки | Секвестрация углерода атмосферы с использованием микроводорослей | Atmospheric Carbon Sequestration Using Microalgae | Секвестрация углерода атмосферы с использованием микроводорослей | Секвестрация углерода атмосферы с использованием микроводорослей | Глазунова | Ученые записки Казанского университета. Серия Естественные науки</x:t>
  </x:si>
  <x:si>
    <x:t xml:space="preserve">HTTP 200; проверка объекта 27.10.2026; https://uzakuesc.elpub.ru/jour/article/view/69</x:t>
  </x:si>
  <x:si>
    <x:t xml:space="preserve">R024</x:t>
  </x:si>
  <x:si>
    <x:t xml:space="preserve">Булавина М.К., Абашина Т.Н., Сузина Н.Е., Поливцева В.Н., Зимин А.А. Биоаккумуляция бактериофагов Т4 и RB43 пресноводными двустворчатыми моллюсками в стерильной аквариумной воде // Вестник Российского университета дружбы народов. Серия: Экология и безопасность жизнедеятельности. 2025. Т. 33. № 1. С. 7-20. https://doi.org/10.22363/2313-2310-2025-33-1-7-20 EDN: AEMDOT</x:t>
  </x:si>
  <x:si>
    <x:t xml:space="preserve">Биоаккумуляция бактериофагов Т4 и RB43 пресноводными двустворчатыми моллюсками в стерильной аквариумной воде / М. К. Булавина, Т. Н. Абашина, Н. Е. Сузина, В. Н. Поливцева, А. А. Зимин // Вестник Российского университета дружбы народов. Серия: Экология и безопасность жизнедеятельности. — 2025. — Т. 33. — № 1. — С. 7–20. — URL: https://journals.rudn.ru/ecology/article/view/43653 (дата обращения: 27.10.2026).</x:t>
  </x:si>
  <x:si>
    <x:t xml:space="preserve">Булавина М. К. | Абашина Т. Н. | Сузина Н. Е. | Поливцева В. Н. | Зимин А. А.</x:t>
  </x:si>
  <x:si>
    <x:t xml:space="preserve">Биоаккумуляция бактериофагов Т4 и RB43 пресноводными двустворчатыми моллюсками в стерильной аквариумной воде</x:t>
  </x:si>
  <x:si>
    <x:t xml:space="preserve">Вестник Российского университета дружбы народов. Серия: Экология и безопасность жизнедеятельности</x:t>
  </x:si>
  <x:si>
    <x:t xml:space="preserve">33</x:t>
  </x:si>
  <x:si>
    <x:t xml:space="preserve">7–20</x:t>
  </x:si>
  <x:si>
    <x:t xml:space="preserve">https://doi.org/10.22363/2313-2310-2025-33-1-7-20</x:t>
  </x:si>
  <x:si>
    <x:t xml:space="preserve">https://journals.rudn.ru/ecology/article/view/48719?setLocale=ru_RU#articleCitations</x:t>
  </x:si>
  <x:si>
    <x:t xml:space="preserve">10.22363/2313-2310-2025-33-1-7-20</x:t>
  </x:si>
  <x:si>
    <x:t xml:space="preserve">Bioaccumulation of bacteriophages T4 and RB43 in Unionidae mollusks: a comparative analysis</x:t>
  </x:si>
  <x:si>
    <x:t xml:space="preserve">AEMDOT</x:t>
  </x:si>
  <x:si>
    <x:t xml:space="preserve">https://journals.rudn.ru/ecology/article/view/48719</x:t>
  </x:si>
  <x:si>
    <x:t xml:space="preserve">https://journals.rudn.ru/ecology/article/view/43653</x:t>
  </x:si>
  <x:si>
    <x:t xml:space="preserve">Bioaccumulation of bacteriophages T4 and RB43 by freshwater bivalves in sterile aquarium water | Bioaccumulation of bacteriophages T4 and RB43 by freshwater bivalves in sterile aquarium water | Биоаккумуляция бактериофагов Т4 и RB43 пресноводными двустворчатыми моллюсками в стерильной аквариумной воде | Bioaccumulation of bacteriophages T4 and RB43 by freshwater bivalves in sterile aquarium water | Биоаккумуляция бактериофагов Т4 и RB43 пресноводными двустворчатыми моллюсками в стерильной аквариумной воде | Bioaccumulation of bacteriophages T4 and RB43 by freshwater bivalves in sterile aquarium water - Bulavina - RUDN Journal of Ecology and Life Safety</x:t>
  </x:si>
  <x:si>
    <x:t xml:space="preserve">HTTP 200; проверка объекта 27.10.2026; https://journals.rudn.ru/ecology/article/view/43653</x:t>
  </x:si>
  <x:si>
    <x:t xml:space="preserve">R025</x:t>
  </x:si>
  <x:si>
    <x:t xml:space="preserve">Думитришко Н.В., Антонов Б.А., Ширинов Н.Ш. Общая характеристика и история развития рельефа Кавказа. Москва : Наука, 1977. 288 с.</x:t>
  </x:si>
  <x:si>
    <x:t xml:space="preserve">Думитришко Н. В., Антонов Б. А., Ширинов Н. Ш. Общая характеристика и история развития рельефа Кавказа. — Москва : Наука, 1977. — 288 с.</x:t>
  </x:si>
  <x:si>
    <x:t xml:space="preserve">Думитришко Н. В. | Антонов Б. А. | Ширинов Н. Ш.</x:t>
  </x:si>
  <x:si>
    <x:t xml:space="preserve">Общая характеристика и история развития рельефа Кавказа</x:t>
  </x:si>
  <x:si>
    <x:t xml:space="preserve">288</x:t>
  </x:si>
  <x:si>
    <x:t xml:space="preserve">Наука</x:t>
  </x:si>
  <x:si>
    <x:t xml:space="preserve">https://journals.rudn.ru/ecology/article/view/48720?setLocale=ru_RU#articleCitations</x:t>
  </x:si>
  <x:si>
    <x:t xml:space="preserve">New locations of a Rare Species Ostrya carpinifolia Scop. in the Western caucasus</x:t>
  </x:si>
  <x:si>
    <x:t xml:space="preserve">https://journals.rudn.ru/ecology/article/view/48720</x:t>
  </x:si>
  <x:si>
    <x:t xml:space="preserve">R026</x:t>
  </x:si>
  <x:si>
    <x:t xml:space="preserve">Атрохин В.Г. Лесоводство и дендрология. Москва : Лесная промышленность, 1982. 368 с.</x:t>
  </x:si>
  <x:si>
    <x:t xml:space="preserve">Атрохин В. Г. Лесоводство и дендрология. — Москва : Лесная промышленность, 1982. — 368 с.</x:t>
  </x:si>
  <x:si>
    <x:t xml:space="preserve">Атрохин В. Г.</x:t>
  </x:si>
  <x:si>
    <x:t xml:space="preserve">Лесоводство и дендрология</x:t>
  </x:si>
  <x:si>
    <x:t xml:space="preserve">368</x:t>
  </x:si>
  <x:si>
    <x:t xml:space="preserve">Лесная промышленность</x:t>
  </x:si>
  <x:si>
    <x:t xml:space="preserve">Проверка оформления Михаилом: достаточно данных — Да. Исходный вариант Михаила до последующего переноса: Атрохин, В. Г. Лесоводство и дендрология. — Москва : Лесная промышленность, 1982. — 368 с.</x:t>
  </x:si>
  <x:si>
    <x:t xml:space="preserve">R027</x:t>
  </x:si>
  <x:si>
    <x:t xml:space="preserve">Вылкован А.И., Венцюлис Л.С. Современные методы и средства борьбы с разливами нефти. Санкт-Петербург : Центр-Техинформ, 2009. 208 с.</x:t>
  </x:si>
  <x:si>
    <x:t xml:space="preserve">Вылкован А. И., Венцюлис Л. С. Современные методы и средства борьбы с разливами нефти. — Санкт-Петербург : Центр-Техинформ, 2009. — 208 с.</x:t>
  </x:si>
  <x:si>
    <x:t xml:space="preserve">Вылкован А. И. | Венцюлис Л. С.</x:t>
  </x:si>
  <x:si>
    <x:t xml:space="preserve">Современные методы и средства борьбы с разливами нефти</x:t>
  </x:si>
  <x:si>
    <x:t xml:space="preserve">208</x:t>
  </x:si>
  <x:si>
    <x:t xml:space="preserve">Центр-Техинформ</x:t>
  </x:si>
  <x:si>
    <x:t xml:space="preserve">Санкт-Петербург</x:t>
  </x:si>
  <x:si>
    <x:t xml:space="preserve">https://journals.rudn.ru/ecology/article/view/48721?setLocale=ru_RU#articleCitations</x:t>
  </x:si>
  <x:si>
    <x:t xml:space="preserve">Author’s innovative solutions for developing installations and devices for cleaning water surfaces from oil pollution</x:t>
  </x:si>
  <x:si>
    <x:t xml:space="preserve">https://journals.rudn.ru/ecology/article/view/48721</x:t>
  </x:si>
  <x:si>
    <x:t xml:space="preserve">R028</x:t>
  </x:si>
  <x:si>
    <x:t xml:space="preserve">Ефремов А.А., Шаталина Н.В., Стрижева Е.Н., Первышина Г.Г. Влияние экологических факторов на химический состав некоторых дикорастущих растений Красноярского края // Химия растительного сырья. 2002. № 3. С. 53-56. EDN: HWINCR</x:t>
  </x:si>
  <x:si>
    <x:t xml:space="preserve">Влияние экологических факторов на химический состав некоторых дикорастущих растений Красноярского края / А. А. Ефремов, Н. В. Шаталина, Е. Н. Стрижева, Г. Г. Первышина // Химия растительного сырья. — 2002. — № 3. — С. 53–56.</x:t>
  </x:si>
  <x:si>
    <x:t xml:space="preserve">Ефремов А. А. | Шаталина Н. В. | Стрижева Е. Н. | Первышина Г. Г.</x:t>
  </x:si>
  <x:si>
    <x:t xml:space="preserve">Влияние экологических факторов на химический состав некоторых дикорастущих растений Красноярского края</x:t>
  </x:si>
  <x:si>
    <x:t xml:space="preserve">3</x:t>
  </x:si>
  <x:si>
    <x:t xml:space="preserve">53–56</x:t>
  </x:si>
  <x:si>
    <x:t xml:space="preserve">https://journals.rudn.ru/ecology/article/view/48722?setLocale=ru_RU#articleCitations</x:t>
  </x:si>
  <x:si>
    <x:t xml:space="preserve">Ecological and hygienic studies of the roots of the dandelion of the medicinal synanthropic flora of central Russia</x:t>
  </x:si>
  <x:si>
    <x:t xml:space="preserve">HWINCR</x:t>
  </x:si>
  <x:si>
    <x:t xml:space="preserve">https://journals.rudn.ru/ecology/article/view/48722</x:t>
  </x:si>
  <x:si>
    <x:t xml:space="preserve">R029</x:t>
  </x:si>
  <x:si>
    <x:t xml:space="preserve">Дьякова Н.А. 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 // Химия растительного сырья. 2022. № 3. С. 249-256. https://doi.org/10.14258/jcprm.20220310724. EDN: PTBGFB</x:t>
  </x:si>
  <x:si>
    <x:t xml:space="preserve">Дьякова Н. А. 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 // Химия растительного сырья. — 2022. — № 3. — С. 249–256. — URL: https://journal.asu.ru/cw/article/view/10724 (дата обращения: 27.10.2026).</x:t>
  </x:si>
  <x:si>
    <x:t xml:space="preserve">Дьякова Н. А.</x:t>
  </x:si>
  <x:si>
    <x:t xml:space="preserve">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x:t>
  </x:si>
  <x:si>
    <x:t xml:space="preserve">249–256</x:t>
  </x:si>
  <x:si>
    <x:t xml:space="preserve">https://doi.org/10.14258/jcprm.20220310724</x:t>
  </x:si>
  <x:si>
    <x:t xml:space="preserve">10.14258/jcprm.20220310724</x:t>
  </x:si>
  <x:si>
    <x:t xml:space="preserve">PTBGFB</x:t>
  </x:si>
  <x:si>
    <x:t xml:space="preserve">https://journal.asu.ru/cw/article/view/10724</x:t>
  </x:si>
  <x:si>
    <x:t xml:space="preserve">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 | 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  | 
		РЕГРЕССИОННЫЙ АНАЛИЗ В РАЗРАБОТКЕ МЕТОДИКИ ВЫДЕЛЕНИЯ И КОЛИЧЕСТВЕННОГО ОПРЕДЕЛЕНИЯ ВОДОРАСТВОРИМЫХ ПОЛИСАХАРИДОВ ИЗ КОРНЕЙ ОДУВАНЧИКА ЛЕКАРСТВЕННОГО
							| Химия растительного сырья</x:t>
  </x:si>
  <x:si>
    <x:t xml:space="preserve">HTTP 200; проверка объекта 27.10.2026; https://journal.asu.ru/cw/article/view/10724</x:t>
  </x:si>
  <x:si>
    <x:t xml:space="preserve">R030</x:t>
  </x:si>
  <x:si>
    <x:t xml:space="preserve">Шубкин Р.Г., Ширинкин П.В. Результаты долгосрочного прогнозирования крупномасштабных лесных пожаров в Байкальском регионе // Сибирский пожарно-спасательный вестник. 2016. № 3 (3). С. 35-38. URL http://vestnik.sibpsa.ru/wp-content/uploads/2016/v3/N3_9-12.pdf (дата обращения: 12.03.2025). EDN: XSIEAV</x:t>
  </x:si>
  <x:si>
    <x:t xml:space="preserve">Шубкин Р. Г., Ширинкин П. В. Результаты долгосрочного прогнозирования крупномасштабных лесных пожаров в Байкальском регионе // Сибирский пожарно-спасательный вестник. — 2016. — № 3 (3). — С. 35–38.</x:t>
  </x:si>
  <x:si>
    <x:t xml:space="preserve">Шубкин Р. Г. | Ширинкин П. В.</x:t>
  </x:si>
  <x:si>
    <x:t xml:space="preserve">Результаты долгосрочного прогнозирования крупномасштабных лесных пожаров в Байкальском регионе</x:t>
  </x:si>
  <x:si>
    <x:t xml:space="preserve">Сибирский пожарно-спасательный вестник</x:t>
  </x:si>
  <x:si>
    <x:t xml:space="preserve">3 (3)</x:t>
  </x:si>
  <x:si>
    <x:t xml:space="preserve">35–38</x:t>
  </x:si>
  <x:si>
    <x:t xml:space="preserve">http://vestnik.sibpsa.ru/wp-content/uploads/2016/v3/N3_9-12.pdf</x:t>
  </x:si>
  <x:si>
    <x:t xml:space="preserve">https://journals.rudn.ru/ecology/article/view/48723?setLocale=ru_RU#articleCitations</x:t>
  </x:si>
  <x:si>
    <x:t xml:space="preserve">Principles of long-term forecasting of natural processes: case study of the Asian territory of Russia</x:t>
  </x:si>
  <x:si>
    <x:t xml:space="preserve">XSIEAV</x:t>
  </x:si>
  <x:si>
    <x:t xml:space="preserve">https://journals.rudn.ru/ecology/article/view/48723</x:t>
  </x:si>
  <x:si>
    <x:t xml:space="preserve">HTTP 200; объект не подтверждён как конкретная версия</x:t>
  </x:si>
  <x:si>
    <x:t xml:space="preserve">R031</x:t>
  </x:si>
  <x:si>
    <x:t xml:space="preserve">Демаков Ю.П. Влияние факторов среды на рост деревьев в сосняках Республики Марий Эл : монография. Йошкар-Ола : Поволжский государственный технологический университет, 2023. 480 с. URL: https://science.volgatech.net/editorialpublishingcenter/izdaniya/monografii/2023/DemakovYuP.pdf (дата обращения: 12.03.2025). EDN: QIZGAG</x:t>
  </x:si>
  <x:si>
    <x:t xml:space="preserve">Демаков Ю. П. Влияние факторов среды на рост деревьев в сосняках Республики Марий Эл : монография. — Йошкар-Ола : Поволжский государственный технологический университет, 2023. — 480 с.</x:t>
  </x:si>
  <x:si>
    <x:t xml:space="preserve">Демаков Ю. П.</x:t>
  </x:si>
  <x:si>
    <x:t xml:space="preserve">Влияние факторов среды на рост деревьев в сосняках Республики Марий Эл : монография</x:t>
  </x:si>
  <x:si>
    <x:t xml:space="preserve">480</x:t>
  </x:si>
  <x:si>
    <x:t xml:space="preserve">Поволжский государственный технологический университет</x:t>
  </x:si>
  <x:si>
    <x:t xml:space="preserve">Йошкар-Ола</x:t>
  </x:si>
  <x:si>
    <x:t xml:space="preserve">https://science.volgatech.net/editorialpublishingcenter/izdaniya/monografii/2023/DemakovYuP.pdf</x:t>
  </x:si>
  <x:si>
    <x:t xml:space="preserve">QIZGAG</x:t>
  </x:si>
  <x:si>
    <x:t xml:space="preserve">HTTP Error 404: Not Found</x:t>
  </x:si>
  <x:si>
    <x:t xml:space="preserve">R032</x:t>
  </x:si>
  <x:si>
    <x:t xml:space="preserve">Качинский Н.А. Механический и микроагрегатный состав почвы, методы его изучения. Москва : Изд-во Академии наук СССР, 1958. 192 с. EDN: YWWBDF</x:t>
  </x:si>
  <x:si>
    <x:t xml:space="preserve">Качинский Н. А. Механический и микроагрегатный состав почвы, методы его изучения. — Москва : Изд-во Академии наук СССР, 1958. — 192 с.</x:t>
  </x:si>
  <x:si>
    <x:t xml:space="preserve">Качинский Н. А.</x:t>
  </x:si>
  <x:si>
    <x:t xml:space="preserve">Механический и микроагрегатный состав почвы, методы его изучения</x:t>
  </x:si>
  <x:si>
    <x:t xml:space="preserve">192</x:t>
  </x:si>
  <x:si>
    <x:t xml:space="preserve">Изд-во Академии наук СССР</x:t>
  </x:si>
  <x:si>
    <x:t xml:space="preserve">https://journals.rudn.ru/ecology/article/view/48724?setLocale=ru_RU#articleCitations</x:t>
  </x:si>
  <x:si>
    <x:t xml:space="preserve">Ecological and geochemical state of soils in the central part of the curonian Spit Peninsula, Kaliningrad Region, Russian Federation</x:t>
  </x:si>
  <x:si>
    <x:t xml:space="preserve">YWWBDF</x:t>
  </x:si>
  <x:si>
    <x:t xml:space="preserve">https://journals.rudn.ru/ecology/article/view/48724</x:t>
  </x:si>
  <x:si>
    <x:t xml:space="preserve">R033</x:t>
  </x:si>
  <x:si>
    <x:t xml:space="preserve">Харин Г.С., Жуковская И.П., Исаченко С.М., Ерошенко Д.В. Рудные пески в осадках Куршской косы (Балтийское море) // Океанология. 2021. Т. 61, № 1. С. 132-140. EDN: KOYYAK</x:t>
  </x:si>
  <x:si>
    <x:t xml:space="preserve">Рудные пески в осадках Куршской косы (Балтийское море) / Г. С. Харин, И. П. Жуковская, С. М. Исаченко, Д. В. Ерошенко // Океанология. — 2021. — Т. 61. — № 1. — С. 132–140.</x:t>
  </x:si>
  <x:si>
    <x:t xml:space="preserve">Харин Г. С. | Жуковская И. П. | Исаченко С. М. | Ерошенко Д. В.</x:t>
  </x:si>
  <x:si>
    <x:t xml:space="preserve">Рудные пески в осадках Куршской косы (Балтийское море)</x:t>
  </x:si>
  <x:si>
    <x:t xml:space="preserve">Океанология</x:t>
  </x:si>
  <x:si>
    <x:t xml:space="preserve">61</x:t>
  </x:si>
  <x:si>
    <x:t xml:space="preserve">132–140</x:t>
  </x:si>
  <x:si>
    <x:t xml:space="preserve">KOYYAK</x:t>
  </x:si>
  <x:si>
    <x:t xml:space="preserve">R034</x:t>
  </x:si>
  <x:si>
    <x:t xml:space="preserve">Власов А.С., Пугин К.Г., Тюрюханов К.Ю., Глушанкова И.С., Рудакова Л.В. Использование отходов бурения в составе дорожно-строительных материалов // Известия вузов. Инвестиции. Строительство. Недвижимость. 2019. Т. 9. № 3 (30). С. 510-521. https://doi.org/10.21285/2227-2917-2019-3-510-521 EDN: FCAXPR</x:t>
  </x:si>
  <x:si>
    <x:t xml:space="preserve">Использование отходов бурения в составе дорожно-строительных материалов / А. С. Власов, К. Г. Пугин, К. Ю. Тюрюханов, И. С. Глушанкова, Л. В. Рудакова // Известия вузов. Инвестиции. Строительство. Недвижимость. — 2019. — Т. 9. — № 3 (30). — С. 510–521. — URL: https://journals.istu.edu/izvestia_invest/journals/2019/30/articles/04 (дата обращения: 27.10.2026).</x:t>
  </x:si>
  <x:si>
    <x:t xml:space="preserve">Власов А. С. | Пугин К. Г. | Тюрюханов К. Ю. | Глушанкова И. С. | Рудакова Л. В.</x:t>
  </x:si>
  <x:si>
    <x:t xml:space="preserve">Использование отходов бурения в составе дорожно-строительных материалов</x:t>
  </x:si>
  <x:si>
    <x:t xml:space="preserve">Известия вузов. Инвестиции. Строительство. Недвижимость</x:t>
  </x:si>
  <x:si>
    <x:t xml:space="preserve">9</x:t>
  </x:si>
  <x:si>
    <x:t xml:space="preserve">3 (30)</x:t>
  </x:si>
  <x:si>
    <x:t xml:space="preserve">510–521</x:t>
  </x:si>
  <x:si>
    <x:t xml:space="preserve">https://doi.org/10.21285/2227-2917-2019-3-510-521</x:t>
  </x:si>
  <x:si>
    <x:t xml:space="preserve">https://journals.rudn.ru/ecology/article/view/48730?setLocale=ru_RU#articleCitations</x:t>
  </x:si>
  <x:si>
    <x:t xml:space="preserve">10.21285/2227-2917-2019-3-510-521</x:t>
  </x:si>
  <x:si>
    <x:t xml:space="preserve">Assessment of the biotoxicity of drilling waste from the yamburgsky oil and gas condensate field</x:t>
  </x:si>
  <x:si>
    <x:t xml:space="preserve">FCAXPR</x:t>
  </x:si>
  <x:si>
    <x:t xml:space="preserve">https://journals.rudn.ru/ecology/article/view/48730</x:t>
  </x:si>
  <x:si>
    <x:t xml:space="preserve">https://journals.istu.edu/izvestia_invest/journals/2019/30/articles/04</x:t>
  </x:si>
  <x:si>
    <x:t xml:space="preserve">HTTP 200; проверка объекта 27.10.2026; https://journals.istu.edu/izvestia_invest/journals/2019/30/articles/04</x:t>
  </x:si>
  <x:si>
    <x:t xml:space="preserve">R035</x:t>
  </x:si>
  <x:si>
    <x:t xml:space="preserve">Гурьева В.А., Бутримова Н.В., Дорошин А.В., Дубинецкий В.В., Вдовин К.М. Эколого-экономический эффект применения нефтешламов при производстве керамического кирпича // Международный научно-исследовательский журнал. 2016. Вып. 11 (53). С. 50-53. https://doi.org/10.18454/IRJ.2016.53.002 EDN: XBDONF</x:t>
  </x:si>
  <x:si>
    <x:t xml:space="preserve">Эколого-экономический эффект применения нефтешламов при производстве керамического кирпича / В. А. Гурьева, Н. В. Бутримова, А. В. Дорошин, В. В. Дубинецкий, К. М. Вдовин // Международный научно-исследовательский журнал. — 2016. — № 11 (53). — С. 50–53.</x:t>
  </x:si>
  <x:si>
    <x:t xml:space="preserve">Гурьева В. А. | Бутримова Н. В. | Дорошин А. В. | Дубинецкий В. В. | Вдовин К. М.</x:t>
  </x:si>
  <x:si>
    <x:t xml:space="preserve">Эколого-экономический эффект применения нефтешламов при производстве керамического кирпича</x:t>
  </x:si>
  <x:si>
    <x:t xml:space="preserve">Международный научно-исследовательский журнал</x:t>
  </x:si>
  <x:si>
    <x:t xml:space="preserve">11 (53)</x:t>
  </x:si>
  <x:si>
    <x:t xml:space="preserve">50–53</x:t>
  </x:si>
  <x:si>
    <x:t xml:space="preserve">https://doi.org/10.18454/IRJ.2016.53.002</x:t>
  </x:si>
  <x:si>
    <x:t xml:space="preserve">10.18454/IRJ.2016.53.002</x:t>
  </x:si>
  <x:si>
    <x:t xml:space="preserve">XBDONF</x:t>
  </x:si>
  <x:si>
    <x:t xml:space="preserve">R036</x:t>
  </x:si>
  <x:si>
    <x:t xml:space="preserve">Зимнухова А.Е., Гаевая Е.В. Исследование физико-механических свойств бурового шлама при его высокотемпературном обезвреживании // Вестник Российского университета дружбы народов. Серия: Экология и безопасность жизнедеятельности. 2024. Т. 32. № 2. С. 155-162. https://doi.org/10.22363/2313-2310-2024-32-2-155-162 EDN: WQYTZY</x:t>
  </x:si>
  <x:si>
    <x:t xml:space="preserve">Зимнухова А. Е., Гаевая Е. В. Исследование физико-механических свойств бурового шлама при его высокотемпературном обезвреживании // Вестник Российского университета дружбы народов. Серия: Экология и безопасность жизнедеятельности. — 2024. — Т. 32. — № 2. — С. 155–162. — URL: https://journals.rudn.ru/ecology/article/view/39779 (дата обращения: 27.10.2026).</x:t>
  </x:si>
  <x:si>
    <x:t xml:space="preserve">Зимнухова А. Е. | Гаевая Е. В.</x:t>
  </x:si>
  <x:si>
    <x:t xml:space="preserve">Исследование физико-механических свойств бурового шлама при его высокотемпературном обезвреживании</x:t>
  </x:si>
  <x:si>
    <x:t xml:space="preserve">32</x:t>
  </x:si>
  <x:si>
    <x:t xml:space="preserve">155–162</x:t>
  </x:si>
  <x:si>
    <x:t xml:space="preserve">https://doi.org/10.22363/2313-2310-2024-32-2-155-162</x:t>
  </x:si>
  <x:si>
    <x:t xml:space="preserve">10.22363/2313-2310-2024-32-2-155-162</x:t>
  </x:si>
  <x:si>
    <x:t xml:space="preserve">WQYTZY</x:t>
  </x:si>
  <x:si>
    <x:t xml:space="preserve">https://journals.rudn.ru/ecology/article/view/39779</x:t>
  </x:si>
  <x:si>
    <x:t xml:space="preserve">Research of physical and mechanical properties of drilling sludges during its hightemperature neutralization | Research of physical and mechanical properties of drilling sludges during its hightemperature neutralization | Исследование физико-механических свойств бурового шлама при его высокотемпературном обезвреживании | Research of physical and mechanical properties of drilling sludges during its hightemperature neutralization | Исследование физико-механических свойств бурового шлама при его высокотемпературном обезвреживании | Research of physical and mechanical properties of drilling sludges during its hightemperature neutralization - Zimnukhova - RUDN Journal of Ecology and Life Safety</x:t>
  </x:si>
  <x:si>
    <x:t xml:space="preserve">HTTP 200; проверка объекта 27.10.2026; https://journals.rudn.ru/ecology/article/view/39779</x:t>
  </x:si>
  <x:si>
    <x:t xml:space="preserve">R037</x:t>
  </x:si>
  <x:si>
    <x:t xml:space="preserve">Беме Р.Л. Птицы гор Южной Палеарктики. Москва : Изд-во МГУ, 1975. 181 с.</x:t>
  </x:si>
  <x:si>
    <x:t xml:space="preserve">Беме Р. Л. Птицы гор Южной Палеарктики. — Москва : Изд-во МГУ, 1975. — 181 с.</x:t>
  </x:si>
  <x:si>
    <x:t xml:space="preserve">Беме Р. Л.</x:t>
  </x:si>
  <x:si>
    <x:t xml:space="preserve">Птицы гор Южной Палеарктики</x:t>
  </x:si>
  <x:si>
    <x:t xml:space="preserve">181</x:t>
  </x:si>
  <x:si>
    <x:t xml:space="preserve">Изд-во МГУ</x:t>
  </x:si>
  <x:si>
    <x:t xml:space="preserve">https://journals.rudn.ru/ecology/article/view/50492?setLocale=ru_RU#articleCitations</x:t>
  </x:si>
  <x:si>
    <x:t xml:space="preserve">Ecological and geographical studies of the Altai avifauna in the second morning of the 20th century</x:t>
  </x:si>
  <x:si>
    <x:t xml:space="preserve">https://journals.rudn.ru/ecology/article/view/50492</x:t>
  </x:si>
  <x:si>
    <x:t xml:space="preserve">R038</x:t>
  </x:si>
  <x:si>
    <x:t xml:space="preserve">Шамаев Н.Д. Предпосылки существования вариаций врожденного иммунного ответа Galleria mellonella // Аграрный вестник Урала. 2024. Т. 24. № 11. С. 1492–1501. https://doi.org/10.32417/1997-4868-2024-24-11-1492-1501 EDN: WBXUNI</x:t>
  </x:si>
  <x:si>
    <x:t xml:space="preserve">Шамаев Н. Д. Предпосылки существования вариаций врожденного иммунного ответа Galleria mellonella // Аграрный вестник Урала. — 2024. — Т. 24. — № 11. — С. 1492–1501. — URL: https://usau.editorum.ru/en/nauka/publications/article/6a9c159d32807fdbab86c52b/background-to-the-existence-of-variation-in-the-innate-immune-response-in-galleria-mellonella/view (дата обращения: 27.10.2026).</x:t>
  </x:si>
  <x:si>
    <x:t xml:space="preserve">Шамаев Н. Д.</x:t>
  </x:si>
  <x:si>
    <x:t xml:space="preserve">Предпосылки существования вариаций врожденного иммунного ответа Galleria mellonella</x:t>
  </x:si>
  <x:si>
    <x:t xml:space="preserve">Аграрный вестник Урала</x:t>
  </x:si>
  <x:si>
    <x:t xml:space="preserve">24</x:t>
  </x:si>
  <x:si>
    <x:t xml:space="preserve">11</x:t>
  </x:si>
  <x:si>
    <x:t xml:space="preserve">1492–1501</x:t>
  </x:si>
  <x:si>
    <x:t xml:space="preserve">https://doi.org/10.32417/1997-4868-2024-24-11-1492-1501</x:t>
  </x:si>
  <x:si>
    <x:t xml:space="preserve">https://journals.rudn.ru/ecology/article/view/50494?setLocale=ru_RU#articleCitations</x:t>
  </x:si>
  <x:si>
    <x:t xml:space="preserve">10.32417/1997-4868-2024-24-11-1492-1501</x:t>
  </x:si>
  <x:si>
    <x:t xml:space="preserve">May the use of pesticides pose a threat to bee colonies in the agricultural sector</x:t>
  </x:si>
  <x:si>
    <x:t xml:space="preserve">WBXUNI</x:t>
  </x:si>
  <x:si>
    <x:t xml:space="preserve">https://journals.rudn.ru/ecology/article/view/50494</x:t>
  </x:si>
  <x:si>
    <x:t xml:space="preserve">https://usau.editorum.ru/en/nauka/publications/article/6a9c159d32807fdbab86c52b/background-to-the-existence-of-variation-in-the-innate-immune-response-in-galleria-mellonella/view</x:t>
  </x:si>
  <x:si>
    <x:t xml:space="preserve">Background to the existence of variation in the innate immune response in Galleria mellonella | Agrarian Bulletin of the | Background to the existence of variation in the innate immune response in Galleria mellonella | Background to the existence of variation in the innate immune response in Galleria mellonella | Background to the existence of variation in the innate immune response in Galleria mellonella | Agrarian Bulletin of the</x:t>
  </x:si>
  <x:si>
    <x:t xml:space="preserve">HTTP 200; проверка объекта 27.10.2026; https://usau.editorum.ru/en/nauka/publications/article/6a9c159d32807fdbab86c52b/background-to-the-existence-of-variation-in-the-innate-immune-response-in-galleria-mellonella/view</x:t>
  </x:si>
  <x:si>
    <x:t xml:space="preserve">R039</x:t>
  </x:si>
  <x:si>
    <x:t xml:space="preserve">Волкова В.Н., Кунденок С.Б., Волков Д.В. Методы соосаждения тяжелых металлов в сточных водах гальванического производства ионами магния и кальция морской воды // Вестник инженерной школы Дальневосточного федерального университета. 2020. № 4 (45). С. 85–95. http://www.dx.doi.org/10.24866/2227-6858/2020-4-9 EDN: EMBRXM</x:t>
  </x:si>
  <x:si>
    <x:t xml:space="preserve">Волкова В. Н., Кунденок С. Б., Волков Д. В. Методы соосаждения тяжелых металлов в сточных водах гальванического производства ионами магния и кальция морской воды // Вестник инженерной школы Дальневосточного федерального университета. — 2020. — № 4 (45). — С. 85–95. — URL: https://www.dvfu.ru/vestnikis/archive-editions/4-45/9/ (дата обращения: 27.10.2026).</x:t>
  </x:si>
  <x:si>
    <x:t xml:space="preserve">Волкова В. Н. | Кунденок С. Б. | Волков Д. В.</x:t>
  </x:si>
  <x:si>
    <x:t xml:space="preserve">Методы соосаждения тяжелых металлов в сточных водах гальванического производства ионами магния и кальция морской воды</x:t>
  </x:si>
  <x:si>
    <x:t xml:space="preserve">Вестник инженерной школы Дальневосточного федерального университета</x:t>
  </x:si>
  <x:si>
    <x:t xml:space="preserve">4 (45)</x:t>
  </x:si>
  <x:si>
    <x:t xml:space="preserve">85–95</x:t>
  </x:si>
  <x:si>
    <x:t xml:space="preserve">http://www.dx.doi.org/10.24866/2227-6858/2020-4-9</x:t>
  </x:si>
  <x:si>
    <x:t xml:space="preserve">https://journals.rudn.ru/ecology/article/view/50496?setLocale=ru_RU#articleCitations</x:t>
  </x:si>
  <x:si>
    <x:t xml:space="preserve">10.24866/2227-6858/2020-4-9</x:t>
  </x:si>
  <x:si>
    <x:t xml:space="preserve">Improving the method of wastewater treatment from plant-animal pollutants</x:t>
  </x:si>
  <x:si>
    <x:t xml:space="preserve">EMBRXM</x:t>
  </x:si>
  <x:si>
    <x:t xml:space="preserve">https://journals.rudn.ru/ecology/article/view/50496</x:t>
  </x:si>
  <x:si>
    <x:t xml:space="preserve">https://www.dvfu.ru/vestnikis/archive-editions/4-45/9/</x:t>
  </x:si>
  <x:si>
    <x:t xml:space="preserve">Вестник ИШ ДВФУ</x:t>
  </x:si>
  <x:si>
    <x:t xml:space="preserve">HTTP 200; проверка объекта 27.10.2026; https://www.dvfu.ru/vestnikis/archive-editions/4-45/9/</x:t>
  </x:si>
  <x:si>
    <x:t xml:space="preserve">R040</x:t>
  </x:si>
  <x:si>
    <x:t xml:space="preserve">Зобков М.Б., Евсюкова Е.Е. Микропластик в морской среде: обзор методов отбора, подготовки и анализа проб воды, донных отложений и береговых наносов // Океанология. 2018. Т. 58. № 1. С. 149–157. https://doi.org/10.7868/S0030157418010148</x:t>
  </x:si>
  <x:si>
    <x:t xml:space="preserve">Зобков М. Б., Евсюкова Е. Е. Микропластик в морской среде : обзор методов отбора, подготовки и анализа проб воды, донных отложений и береговых наносов // Океанология. — 2018. — Т. 58. — № 1. — С. 149–157. — URL: https://www.libnauka.ru/item.php?doi=10.7868/S0030157418010148 (дата обращения: 27.10.2026).</x:t>
  </x:si>
  <x:si>
    <x:t xml:space="preserve">Зобков М. Б. | Евсюкова Е. Е.</x:t>
  </x:si>
  <x:si>
    <x:t xml:space="preserve">Микропластик в морской среде: обзор методов отбора, подготовки и анализа проб воды, донных отложений и береговых наносов</x:t>
  </x:si>
  <x:si>
    <x:t xml:space="preserve">149–157</x:t>
  </x:si>
  <x:si>
    <x:t xml:space="preserve">https://doi.org/10.7868/S0030157418010148</x:t>
  </x:si>
  <x:si>
    <x:t xml:space="preserve">https://journals.rudn.ru/ecology/article/view/50497?setLocale=ru_RU#articleCitations</x:t>
  </x:si>
  <x:si>
    <x:t xml:space="preserve">10.7868/S0030157418010148</x:t>
  </x:si>
  <x:si>
    <x:t xml:space="preserve">Microplastic pollution of the Uglich Reservoir: its content and distribution in abiotic components of the aquatic ecosystem</x:t>
  </x:si>
  <x:si>
    <x:t xml:space="preserve">https://journals.rudn.ru/ecology/article/view/50497</x:t>
  </x:si>
  <x:si>
    <x:t xml:space="preserve">https://www.libnauka.ru/item.php?doi=10.7868/S0030157418010148</x:t>
  </x:si>
  <x:si>
    <x:t xml:space="preserve">МИКРОПЛАСТИК В МОРСКОЙ СРЕДЕ: ОБЗОР МЕТОДОВ ОТБОРА, ПОДГОТОВКИ И АНАЛИЗА ПРОБ ВОДЫ, ДОННЫХ ОТЛОЖЕНИЙ И БЕРЕГОВЫХ НАНОСОВ, "Океанология" | МИКРОПЛАСТИК В МОРСКОЙ СРЕДЕ: ОБЗОР МЕТОДОВ ОТБОРА, ПОДГОТОВКИ И АНАЛИЗА ПРОБ ВОДЫ, ДОННЫХ ОТЛОЖЕНИЙ И БЕРЕГОВЫХ НАНОСОВ, "Океанология" - libnauka.ru</x:t>
  </x:si>
  <x:si>
    <x:t xml:space="preserve">HTTP 200; проверка объекта 27.10.2026; https://www.libnauka.ru/item.php?doi=10.7868/S0030157418010148</x:t>
  </x:si>
  <x:si>
    <x:t xml:space="preserve">R041</x:t>
  </x:si>
  <x:si>
    <x:t xml:space="preserve">Брюханов А.Л., Хижняк Т.В. Использование сульфатредуцирующих бактерий в биоремедиации от тяжелых металлов и металлоидов (обзор) // Прикладная биохимия и микробиология. 2023. T. 59. № 2. С. 133–149. http://doi.org/10.31857/S0555109923020034 EDN: LKVILK</x:t>
  </x:si>
  <x:si>
    <x:t xml:space="preserve">Брюханов А. Л., Хижняк Т. В. Использование сульфатредуцирующих бактерий в биоремедиации от тяжелых металлов и металлоидов (обзор) // Прикладная биохимия и микробиология. — 2023. — Т. 59. — № 2. — С. 133–149. — URL: https://journals.rcsi.science/0555-1099/article/view/138753 (дата обращения: 27.10.2026).</x:t>
  </x:si>
  <x:si>
    <x:t xml:space="preserve">Брюханов А. Л. | Хижняк Т. В.</x:t>
  </x:si>
  <x:si>
    <x:t xml:space="preserve">Использование сульфатредуцирующих бактерий в биоремедиации от тяжелых металлов и металлоидов (обзор)</x:t>
  </x:si>
  <x:si>
    <x:t xml:space="preserve">Прикладная биохимия и микробиология</x:t>
  </x:si>
  <x:si>
    <x:t xml:space="preserve">133–149</x:t>
  </x:si>
  <x:si>
    <x:t xml:space="preserve">http://doi.org/10.31857/S0555109923020034</x:t>
  </x:si>
  <x:si>
    <x:t xml:space="preserve">https://journals.rudn.ru/ecology/article/view/50498?setLocale=ru_RU#articleCitations</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</x:si>
  <x:si>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DOI дан как URL: полный адрес в P, идентификатор в R. Согласованные решения от 28.10.2026: Том: 59. Предложение подтверждено без дополнительного пояснения.</x:t>
  </x:si>
  <x:si>
    <x:t xml:space="preserve">10.31857/S0555109923020034</x:t>
  </x:si>
  <x:si>
    <x:t xml:space="preserve">Research of the physico-chemical properties and microbiocenosis of cellulose-containing fiber - a by-product of the production of animal feed</x:t>
  </x:si>
  <x:si>
    <x:t xml:space="preserve">LKVILK</x:t>
  </x:si>
  <x:si>
    <x:t xml:space="preserve">https://journals.rudn.ru/ecology/article/view/50498</x:t>
  </x:si>
  <x:si>
    <x:t xml:space="preserve">https://journals.rcsi.science/0555-1099/article/view/138753</x:t>
  </x:si>
  <x:si>
    <x:t xml:space="preserve">Application of Sulfate-reducing Bacteria in Bioremediation from Heavy Metals and Metalloids (Review) | Application of Sulfate-reducing Bacteria in Bioremediation from Heavy Metals and Metalloids (Review) | Использование сульфатредуцирующих бактерий в биоремедиации от тяжелых металлов и металлоидов (обзор) | Application of Sulfate-reducing Bacteria in Bioremediation from Heavy Metals and Metalloids (Review) | Использование сульфатредуцирующих бактерий в биоремедиации от тяжелых металлов и металлоидов (обзор) | Application of Sulfate-reducing Bacteria in Bioremediation from Heavy Metals and Metalloids (Review) - Bryukhanov - Applied Biochemistry and Microbiology</x:t>
  </x:si>
  <x:si>
    <x:t xml:space="preserve">HTTP 200; проверка объекта 27.10.2026; https://journals.rcsi.science/0555-1099/article/view/138753</x:t>
  </x:si>
  <x:si>
    <x:t xml:space="preserve">Проверка оформления Михаилом: достаточно данных — Да. Открылась страница статьи (заглавие на английском); DOI на странице совпал с DOI строки. Источник: Подтверждения_28_10_2026.html. Исходный вариант Михаила до последующего переноса: Брюханов, А. Л. Использование сульфатредуцирующих бактерий в биоремедиации от тяжелых металлов и металлоидов (обзор) / А. Л. Брюханов, Т. В. Хижняк // Прикладная биохимия и микробиология. — 2023. — Т. 59, № 2. — С. 133–149. — URL: https://journals.rcsi.science/0555-1099/article/view/138753 (дата обращения: 27.10.2026).</x:t>
  </x:si>
  <x:si>
    <x:t xml:space="preserve">R042</x:t>
  </x:si>
  <x:si>
    <x:t xml:space="preserve">Будилова Е.В., Лагутин М.Б. Загрязнение атмосферного воздуха и демографические показатели здоровья в городах России // Вестник Московского университета. Серия 23 : Антропология. 2021. № 4. С. 81–99. https://doi.org/10.32521/2074-8132.2021.4.081-099 EDN: CRGERJ</x:t>
  </x:si>
  <x:si>
    <x:t xml:space="preserve">Будилова Е. В., Лагутин М. Б. Загрязнение атмосферного воздуха и демографические показатели здоровья в городах России // Вестник Московского университета. Серия 23 : Антропология. — 2021. — № 4. — С. 81–99.</x:t>
  </x:si>
  <x:si>
    <x:t xml:space="preserve">Будилова Е. В. | Лагутин М. Б.</x:t>
  </x:si>
  <x:si>
    <x:t xml:space="preserve">Загрязнение атмосферного воздуха и демографические показатели здоровья в городах России</x:t>
  </x:si>
  <x:si>
    <x:t xml:space="preserve">Вестник Московского университета. Серия 23 : Антропология</x:t>
  </x:si>
  <x:si>
    <x:t xml:space="preserve">81–99</x:t>
  </x:si>
  <x:si>
    <x:t xml:space="preserve">https://doi.org/10.32521/2074-8132.2021.4.081-099</x:t>
  </x:si>
  <x:si>
    <x:t xml:space="preserve">https://journals.rudn.ru/ecology/article/view/52206?setLocale=ru_RU#articleCitations</x:t>
  </x:si>
  <x:si>
    <x:t xml:space="preserve">10.32521/2074-8132.2021.4.081-099</x:t>
  </x:si>
  <x:si>
    <x:t xml:space="preserve">The contribution of individual heat sources to air pollution in Siberian cities and its reduction by household electrostatic precipitators</x:t>
  </x:si>
  <x:si>
    <x:t xml:space="preserve">CRGERJ</x:t>
  </x:si>
  <x:si>
    <x:t xml:space="preserve">https://journals.rudn.ru/ecology/article/view/52206</x:t>
  </x:si>
  <x:si>
    <x:t xml:space="preserve">R043</x:t>
  </x:si>
  <x:si>
    <x:t xml:space="preserve">Бреславский А.С. «Пригородная революция» в региональном срезе (Улан-Удэ) // Крестьяноведение. 2017. Т. 2. № 1. С. 90–101. https://doi.org/10.22394/2500-1809-2017-2-1-90-101 EDN: ZCINAV</x:t>
  </x:si>
  <x:si>
    <x:t xml:space="preserve">Бреславский А. С. «Пригородная революция» в региональном срезе (Улан-Удэ) // Крестьяноведение. — 2017. — Т. 2. — № 1. — С. 90–101. — URL: https://peasantstudies.ru/phocadownload/10.22394-2500-1809-2017-2-1-90-101.pdf (дата обращения: 27.10.2026).</x:t>
  </x:si>
  <x:si>
    <x:t xml:space="preserve">Бреславский А. С.</x:t>
  </x:si>
  <x:si>
    <x:t xml:space="preserve">«Пригородная революция» в региональном срезе (Улан-Удэ)</x:t>
  </x:si>
  <x:si>
    <x:t xml:space="preserve">Крестьяноведение</x:t>
  </x:si>
  <x:si>
    <x:t xml:space="preserve">90–101</x:t>
  </x:si>
  <x:si>
    <x:t xml:space="preserve">https://doi.org/10.22394/2500-1809-2017-2-1-90-101</x:t>
  </x:si>
  <x:si>
    <x:t xml:space="preserve">10.22394/2500-1809-2017-2-1-90-101</x:t>
  </x:si>
  <x:si>
    <x:t xml:space="preserve">ZCINAV</x:t>
  </x:si>
  <x:si>
    <x:t xml:space="preserve">https://peasantstudies.ru/phocadownload/10.22394-2500-1809-2017-2-1-90-101.pdf</x:t>
  </x:si>
  <x:si>
    <x:t xml:space="preserve">КРЕСТЬЯНОВЕДЕНИЕ  · 2017  · ТОМ 2  · № 1
90
Современность
«Пригородная революция»  
в региональном срезе (Улан-Удэ)
А. С. Бреславский
Анатолий Сергеевич Бреславский , кандидат исторических наук, научный сотрудник 
Института монголоведения, буддологии</x:t>
  </x:si>
  <x:si>
    <x:t xml:space="preserve">HTTP 200; проверка объекта 27.10.2026; https://peasantstudies.ru/phocadownload/10.22394-2500-1809-2017-2-1-90-101.pdf</x:t>
  </x:si>
  <x:si>
    <x:t xml:space="preserve">Проверка оформления Михаилом: достаточно данных — Да. Открылся PDF статьи (12 стр.). Просмотрен: заглавие, автор, DOI 10.22394/2500-1809-2017-2-1-90-101, «Крестьяноведение, 2017, т. 2, № 1», с. 90–101 совпадают со строкой. Источник: Подтверждения_28_10_2026.html. Исходный вариант Михаила до последующего переноса: Бреславский, А. С. «Пригородная революция» в региональном срезе (Улан-Удэ) // Крестьяноведение. — 2017. — Т. 2, № 1. — С. 90–101. — URL: https://peasantstudies.ru/phocadownload/10.22394-2500-1809-2017-2-1-90-101.pdf (дата обращения: 27.10.2026).</x:t>
  </x:si>
  <x:si>
    <x:t xml:space="preserve">R044</x:t>
  </x:si>
  <x:si>
    <x:t xml:space="preserve">Базаров А.Б., Баранов А.О., Павлов В.Н., Слепенкова Ю.М., Тагаева Т.О. Анализ и прогноз состояния окружающей среды Республики Бурятия в новых условиях // Мир экономики и управления. 2022. Т. 22. № 2. С. 36–53. https://doi.org/10.25205/2542-0429-2022-22-2-36-54 EDN: HOMIYP</x:t>
  </x:si>
  <x:si>
    <x:t xml:space="preserve">Анализ и прогноз состояния окружающей среды Республики Бурятия в новых условиях / А. Б. Базаров, А. О. Баранов, В. Н. Павлов, Ю. М. Слепенкова, Т. О. Тагаева // Мир экономики и управления. — 2022. — Т. 22. — № 2. — С. 36–53. — URL: https://woeam.elpub.ru/jour/article/view/622 (дата обращения: 27.10.2026).</x:t>
  </x:si>
  <x:si>
    <x:t xml:space="preserve">Базаров А. Б. | Баранов А. О. | Павлов В. Н. | Слепенкова Ю. М. | Тагаева Т. О.</x:t>
  </x:si>
  <x:si>
    <x:t xml:space="preserve">Анализ и прогноз состояния окружающей среды Республики Бурятия в новых условиях</x:t>
  </x:si>
  <x:si>
    <x:t xml:space="preserve">Мир экономики и управления</x:t>
  </x:si>
  <x:si>
    <x:t xml:space="preserve">22</x:t>
  </x:si>
  <x:si>
    <x:t xml:space="preserve">36–53</x:t>
  </x:si>
  <x:si>
    <x:t xml:space="preserve">https://doi.org/10.25205/2542-0429-2022-22-2-36-54</x:t>
  </x:si>
  <x:si>
    <x:t xml:space="preserve">10.25205/2542-0429-2022-22-2-36-54</x:t>
  </x:si>
  <x:si>
    <x:t xml:space="preserve">HOMIYP</x:t>
  </x:si>
  <x:si>
    <x:t xml:space="preserve">https://woeam.elpub.ru/jour/article/view/622</x:t>
  </x:si>
  <x:si>
    <x:t xml:space="preserve">Анализ и прогноз состояния окружающей среды Республики Бурятия в новых условиях | Базаров | Мир экономики и управления | Анализ и прогноз состояния окружающей среды Республики Бурятия в новых условиях | Analysis and forecast of the state of the environment of the Republic of Buryatia in the new conditions | Анализ и прогноз состояния окружающей среды Республики Бурятия в новых условиях | Анализ и прогноз состояния окружающей среды Республики Бурятия в новых условиях | Базаров | Мир экономики и управления</x:t>
  </x:si>
  <x:si>
    <x:t xml:space="preserve">HTTP 200; проверка объекта 27.10.2026; https://woeam.elpub.ru/jour/article/view/622</x:t>
  </x:si>
  <x:si>
    <x:t xml:space="preserve">R045</x:t>
  </x:si>
  <x:si>
    <x:t xml:space="preserve">Толкачев Г.Ю., Корженевский Б.И., Коломийцев Н.В. Особенности изучения загрязнения микроэлементами донных отложений водных объектов // Вестник Российского университета дружбы народов. Серия: Экология и безопасность жизнедеятельности. 2024. Т. 32. № 4. С. 325–336. http://doi.org/10.22363/2313-2310-2024-32-4-325-336 EDN: MSXQQH</x:t>
  </x:si>
  <x:si>
    <x:t xml:space="preserve">Толкачев Г. Ю., Корженевский Б. И., Коломийцев Н. В. Особенности изучения загрязнения микроэлементами донных отложений водных объектов // Вестник Российского университета дружбы народов. Серия: Экология и безопасность жизнедеятельности. — 2024. — Т. 32. — № 4. — С. 325–336. — URL: https://journals.rudn.ru/ecology/article/view/42516 (дата обращения: 27.10.2026).</x:t>
  </x:si>
  <x:si>
    <x:t xml:space="preserve">Толкачев Г. Ю. | Корженевский Б. И. | Коломийцев Н. В.</x:t>
  </x:si>
  <x:si>
    <x:t xml:space="preserve">Особенности изучения загрязнения микроэлементами донных отложений водных объектов</x:t>
  </x:si>
  <x:si>
    <x:t xml:space="preserve">325–336</x:t>
  </x:si>
  <x:si>
    <x:t xml:space="preserve">http://doi.org/10.22363/2313-2310-2024-32-4-325-336</x:t>
  </x:si>
  <x:si>
    <x:t xml:space="preserve">https://journals.rudn.ru/ecology/article/view/52207?setLocale=ru_RU#articleCitations</x:t>
  </x:si>
  <x:si>
    <x:t xml:space="preserve">10.22363/2313-2310-2024-32-4-325-336</x:t>
  </x:si>
  <x:si>
    <x:t xml:space="preserve">Assessment of heavy metal ion content and migration in wastewater biological treatment system with implemented A2/O-process</x:t>
  </x:si>
  <x:si>
    <x:t xml:space="preserve">MSXQQH</x:t>
  </x:si>
  <x:si>
    <x:t xml:space="preserve">https://journals.rudn.ru/ecology/article/view/52207</x:t>
  </x:si>
  <x:si>
    <x:t xml:space="preserve">https://journals.rudn.ru/ecology/article/view/42516</x:t>
  </x:si>
  <x:si>
    <x:t xml:space="preserve">Features of the study contamination of sediments by the trace elements | Features of the study contamination of sediments by the trace elements | Особенности изучения загрязнения микроэлементами донных отложений водных объектов | Features of the study contamination of sediments by the trace elements | Особенности изучения загрязнения микроэлементами донных отложений водных объектов | Features of the study contamination of sediments by the trace elements - Tolkachev - RUDN Journal of Ecology and Life Safety</x:t>
  </x:si>
  <x:si>
    <x:t xml:space="preserve">HTTP 200; проверка объекта 27.10.2026; https://journals.rudn.ru/ecology/article/view/42516</x:t>
  </x:si>
  <x:si>
    <x:t xml:space="preserve">Проверка оформления Михаилом: достаточно данных — Да. Открылась страница статьи (заглавие на английском); DOI на странице совпал с DOI строки. Источник: Подтверждения_28_10_2026.html. Исходный вариант Михаила до последующего переноса: Толкачев, Г. Ю. Особенности изучения загрязнения микроэлементами донных отложений водных объектов / Г. Ю. Толкачев, Б. И. Корженевский, Н. В. Коломийцев // Вестник Российского университета дружбы народов. Серия: Экология и безопасность жизнедеятельности. — 2024. — Т. 32, № 4. — С. 325–336. — URL: https://journals.rudn.ru/ecology/article/view/42516 (дата обращения: 27.10.2026).</x:t>
  </x:si>
  <x:si>
    <x:t xml:space="preserve">R046</x:t>
  </x:si>
  <x:si>
    <x:t xml:space="preserve">Голохваст К.С., Куприянов А.Н., Манаков Ю.А., Никифоров П.А., Чайка В.В., Гульков А.Н. атмосферные взвеси Караканского угольного разреза Кузбасса: гранулометрический анализ // Экология человека. 2014. Т. 21. № 10. C. 19-24. https://doi.org/10.17816/humeco17192</x:t>
  </x:si>
  <x:si>
    <x:t xml:space="preserve">атмосферные взвеси Караканского угольного разреза Кузбасса : гранулометрический анализ / К. С. Голохваст, А. Н. Куприянов, Ю. А. Манаков, П. А. Никифоров, В. В. Чайка, А. Н. Гульков // Экология человека. — 2014. — Т. 21. — № 10. — С. 19–24. — URL: https://hum-ecol.ru/1728-0869/article/view/17192 (дата обращения: 27.10.2026).</x:t>
  </x:si>
  <x:si>
    <x:t xml:space="preserve">Голохваст К. С. | Куприянов А. Н. | Манаков Ю. А. | Никифоров П. А. | Чайка В. В. | Гульков А. Н.</x:t>
  </x:si>
  <x:si>
    <x:t xml:space="preserve">атмосферные взвеси Караканского угольного разреза Кузбасса: гранулометрический анализ</x:t>
  </x:si>
  <x:si>
    <x:t xml:space="preserve">Экология человека</x:t>
  </x:si>
  <x:si>
    <x:t xml:space="preserve">19–24</x:t>
  </x:si>
  <x:si>
    <x:t xml:space="preserve">https://doi.org/10.17816/humeco17192</x:t>
  </x:si>
  <x:si>
    <x:t xml:space="preserve">https://journals.rudn.ru/ecology/article/view/52208?setLocale=ru_RU#articleCitations</x:t>
  </x:si>
  <x:si>
    <x:t xml:space="preserve">10.17816/humeco17192</x:t>
  </x:si>
  <x:si>
    <x:t xml:space="preserve">Simulation of the coal dust spread during the operation at JSC Vanino Port before and after the installation of a wind and dust screen</x:t>
  </x:si>
  <x:si>
    <x:t xml:space="preserve">https://journals.rudn.ru/ecology/article/view/52208</x:t>
  </x:si>
  <x:si>
    <x:t xml:space="preserve">https://hum-ecol.ru/1728-0869/article/view/17192</x:t>
  </x:si>
  <x:si>
    <x:t xml:space="preserve">ATMOSPHERIC SUSPENSES OF THE KARAKANSKY COAL SECTION OF KUZBASS: PARTICLE SIZE ANALYSIS | ATMOSPHERIC SUSPENSES OF THE KARAKANSKY COAL SECTION OF KUZBASS: PARTICLE SIZE ANALYSIS | АТМОСФЕРНЫЕ ВЗВЕСИ КАРАКАНСКОГО УГОЛЬНОГО РАЗРЕЗА КУЗБАССА: ГРАНУЛОМЕТРИЧЕСКИЙ АНАЛИЗ | ATMOSPHERIC SUSPENSES OF THE KARAKANSKY COAL SECTION OF KUZBASS: PARTICLE SIZE ANALYSIS | АТМОСФЕРНЫЕ ВЗВЕСИ КАРАКАНСКОГО УГОЛЬНОГО РАЗРЕЗА КУЗБАССА: ГРАНУЛОМЕТРИЧЕСКИЙ АНАЛИЗ | ATMOSPHERIC SUSPENSES OF THE KARAKANSKY COAL SECTION OF KUZBASS: PARTICLE SIZE ANALYSIS - Golokhvast - Ekologiya cheloveka (Human Ecology)</x:t>
  </x:si>
  <x:si>
    <x:t xml:space="preserve">HTTP 200; проверка объекта 27.10.2026; https://hum-ecol.ru/1728-0869/article/view/17192</x:t>
  </x:si>
  <x:si>
    <x:t xml:space="preserve">R047</x:t>
  </x:si>
  <x:si>
    <x:t xml:space="preserve">Московая И.В., Лазарева Л.П. Анализ эффективности применения ветро-пылезащитных экранов на открытых складах угольных терминалов // Евразийский Союз Ученых. 2015. № 6-2 (15). С. 140–144. EDN: WXFOUZ</x:t>
  </x:si>
  <x:si>
    <x:t xml:space="preserve">Московая И. В., Лазарева Л. П. Анализ эффективности применения ветро-пылезащитных экранов на открытых складах угольных терминалов // Евразийский Союз Ученых. — 2015. — № 6-2 (15). — С. 140–144.</x:t>
  </x:si>
  <x:si>
    <x:t xml:space="preserve">Московая И. В. | Лазарева Л. П.</x:t>
  </x:si>
  <x:si>
    <x:t xml:space="preserve">Анализ эффективности применения ветро-пылезащитных экранов на открытых складах угольных терминалов</x:t>
  </x:si>
  <x:si>
    <x:t xml:space="preserve">Евразийский Союз Ученых</x:t>
  </x:si>
  <x:si>
    <x:t xml:space="preserve">6-2 (15)</x:t>
  </x:si>
  <x:si>
    <x:t xml:space="preserve">140–144</x:t>
  </x:si>
  <x:si>
    <x:t xml:space="preserve">WXFOUZ</x:t>
  </x:si>
  <x:si>
    <x:t xml:space="preserve">R048</x:t>
  </x:si>
  <x:si>
    <x:t xml:space="preserve">Сергеев А.С. Проблемы развития морских портов ДВФО в новом статусе «Свободного порта Владивосток» // Азиатско-Тихоокеанский регион: экономика, политика, право. 2017. Т. 19. № 1. С. 72–81. https://doi.org/10.24866/1813-3274/2017-1/72-81 EDN: YQNKTZ</x:t>
  </x:si>
  <x:si>
    <x:t xml:space="preserve">Сергеев А. С. Проблемы развития морских портов ДВФО в новом статусе «Свободного порта Владивосток» // Азиатско-Тихоокеанский регион: экономика, политика, право. — 2017. — Т. 19. — № 1. — С. 72–81. — URL: https://www.dvfu.ru/upload/medialibrary/695/%D0%90%D0%A2%D0%A0%202017%20%E2%84%96%201_72-81.pdf (дата обращения: 27.10.2026).</x:t>
  </x:si>
  <x:si>
    <x:t xml:space="preserve">Сергеев А. С.</x:t>
  </x:si>
  <x:si>
    <x:t xml:space="preserve">Проблемы развития морских портов ДВФО в новом статусе «Свободного порта Владивосток»</x:t>
  </x:si>
  <x:si>
    <x:t xml:space="preserve">Азиатско-Тихоокеанский регион: экономика, политика, право</x:t>
  </x:si>
  <x:si>
    <x:t xml:space="preserve">19</x:t>
  </x:si>
  <x:si>
    <x:t xml:space="preserve">72–81</x:t>
  </x:si>
  <x:si>
    <x:t xml:space="preserve">https://doi.org/10.24866/1813-3274/2017-1/72-81</x:t>
  </x:si>
  <x:si>
    <x:t xml:space="preserve">10.24866/1813-3274/2017-1/72-81</x:t>
  </x:si>
  <x:si>
    <x:t xml:space="preserve">YQNKTZ</x:t>
  </x:si>
  <x:si>
    <x:t xml:space="preserve">https://www.dvfu.ru/upload/medialibrary/695/%D0%90%D0%A2%D0%A0%202017%20%E2%84%96%201_72-81.pdf</x:t>
  </x:si>
  <x:si>
    <x:t xml:space="preserve">Азиатско-Тихоокеанский регион: экономика, политика, право. 2017. № 1   
72 
УДК 338.45:627.21(571.63-25) 
DOI dx.doi.org/10.24866/1813-3274/2017-1/72-81 
А.С. Сергеев1 
Дальневосточный федеральный университет, г. Владивосток, Россия 
E-mail: serg-ale</x:t>
  </x:si>
  <x:si>
    <x:t xml:space="preserve">HTTP 200; проверка объекта 27.10.2026; https://www.dvfu.ru/upload/medialibrary/695/%D0%90%D0%A2%D0%A0%202017%20%E2%84%96%201_72-81.pdf</x:t>
  </x:si>
  <x:si>
    <x:t xml:space="preserve">R049</x:t>
  </x:si>
  <x:si>
    <x:t xml:space="preserve">Лукьянов А.И., Дахова Е.В., Майорова Л.П. 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 // Вестник Российского университета дружбы народов. Серия: Экология и безопасность жизнедеятельности. 2022. Т. 30. № 3. С. 407–416. https://doi.org/10.22363/2313-2310-2022-30-3-407-416 EDN: WSSOSW</x:t>
  </x:si>
  <x:si>
    <x:t xml:space="preserve">Лукьянов А. И., Дахова Е. В., Майорова Л. П. 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 // Вестник Российского университета дружбы народов. Серия: Экология и безопасность жизнедеятельности. — 2022. — Т. 30. — № 3. — С. 407–416. — URL: https://journals.rudn.ru/ecology/article/view/31899 (дата обращения: 27.10.2026).</x:t>
  </x:si>
  <x:si>
    <x:t xml:space="preserve">Лукьянов А. И. | Дахова Е. В. | Майорова Л. П.</x:t>
  </x:si>
  <x:si>
    <x:t xml:space="preserve">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x:t>
  </x:si>
  <x:si>
    <x:t xml:space="preserve">30</x:t>
  </x:si>
  <x:si>
    <x:t xml:space="preserve">407–416</x:t>
  </x:si>
  <x:si>
    <x:t xml:space="preserve">https://doi.org/10.22363/2313-2310-2022-30-3-407-416</x:t>
  </x:si>
  <x:si>
    <x:t xml:space="preserve">10.22363/2313-2310-2022-30-3-407-416</x:t>
  </x:si>
  <x:si>
    <x:t xml:space="preserve">WSSOSW</x:t>
  </x:si>
  <x:si>
    <x:t xml:space="preserve">https://journals.rudn.ru/ecology/article/view/31899</x:t>
  </x:si>
  <x:si>
    <x:t xml:space="preserve">Assessment of snow cover pollution by heavy metals as one of the methods of atmospheric air monitoring on the example of settlements in the Far East | Assessment of snow cover pollution by heavy metals as one of the methods of atmospheric air monitoring on the example of settlements in the Far East | Оценка загрязнения снежного покрова тяжелыми металлами как один из методов мониторинга атмосферного воздуха на примере населенных пунктов Дальнего Востока | Assessment of snow cover pollution by heavy metals as one of the methods of atmospheric air monitoring on the example of settlements in the Far East | Оценка загрязнения снежного покрова тяжелыми металлами как один из методов мониторинга атм</x:t>
  </x:si>
  <x:si>
    <x:t xml:space="preserve">HTTP 200; проверка объекта 27.10.2026; https://journals.rudn.ru/ecology/article/view/31899</x:t>
  </x:si>
  <x:si>
    <x:t xml:space="preserve">R050</x:t>
  </x:si>
  <x:si>
    <x:t xml:space="preserve">Дженбаев Б.М., Калдыбаев Б.К., Жолболдиев Б.Т. Проблемы радиоэкологии и радиационной безопасности бывших урановых производств в Кыргызстане // Радиационная биология. Радиоэкология. 2013. Т. 53. № 4. С. 428–431. https://doi.org/10.7868/S0869803113040061 EDN: QYNKLF</x:t>
  </x:si>
  <x:si>
    <x:t xml:space="preserve">Дженбаев Б. М., Калдыбаев Б. К., Жолболдиев Б. Т. Проблемы радиоэкологии и радиационной безопасности бывших урановых производств в Кыргызстане // Радиационная биология. Радиоэкология. — 2013. — Т. 53. — № 4. — С. 428–431. — URL: https://chooser.crossref.org/?doi=10.7868%2FS0869803113040061 (дата обращения: 27.10.2026).</x:t>
  </x:si>
  <x:si>
    <x:t xml:space="preserve">Дженбаев Б. М. | Калдыбаев Б. К. | Жолболдиев Б. Т.</x:t>
  </x:si>
  <x:si>
    <x:t xml:space="preserve">Проблемы радиоэкологии и радиационной безопасности бывших урановых производств в Кыргызстане</x:t>
  </x:si>
  <x:si>
    <x:t xml:space="preserve">Радиационная биология. Радиоэкология</x:t>
  </x:si>
  <x:si>
    <x:t xml:space="preserve">53</x:t>
  </x:si>
  <x:si>
    <x:t xml:space="preserve">428–431</x:t>
  </x:si>
  <x:si>
    <x:t xml:space="preserve">https://doi.org/10.7868/S0869803113040061</x:t>
  </x:si>
  <x:si>
    <x:t xml:space="preserve">https://journals.rudn.ru/ecology/article/view/52209?setLocale=ru_RU#articleCitations</x:t>
  </x:si>
  <x:si>
    <x:t xml:space="preserve">10.7868/S0869803113040061</x:t>
  </x:si>
  <x:si>
    <x:t xml:space="preserve">Environmental aspects of past uranium mining in Central Asia and Mongolia</x:t>
  </x:si>
  <x:si>
    <x:t xml:space="preserve">QYNKLF</x:t>
  </x:si>
  <x:si>
    <x:t xml:space="preserve">https://journals.rudn.ru/ecology/article/view/52209</x:t>
  </x:si>
  <x:si>
    <x:t xml:space="preserve">https://chooser.crossref.org/?doi=10.7868%2FS0869803113040061</x:t>
  </x:si>
  <x:si>
    <x:t xml:space="preserve">Crossref | Проблемы радиоэкологии и радиационной безопасности бывших урановых производств в Кыргызстане</x:t>
  </x:si>
  <x:si>
    <x:t xml:space="preserve">HTTP 200; проверка объекта 27.10.2026; https://chooser.crossref.org/?doi=10.7868%2FS0869803113040061</x:t>
  </x:si>
  <x:si>
    <x:t xml:space="preserve">R051</x:t>
  </x:si>
  <x:si>
    <x:t xml:space="preserve">Назаров Х.М., Эрматов К.А., Саломов Д.А., Бахронов С.М., Мирсаидов У.М. Оценка потенциальной радиационной опасности бывших урановых объектов для населения г. Истиклол Республики Таджикистан // Радиационная гигиена. 2018. Т. 11. № 2. С. 83–90. https://doi.org/10.21514/1998-426X-2018-11-2-83-90 EDN: OYVYFL</x:t>
  </x:si>
  <x:si>
    <x:t xml:space="preserve">Оценка потенциальной радиационной опасности бывших урановых объектов для населения г. Истиклол Республики Таджикистан / Х. М. Назаров, К. А. Эрматов, Д. А. Саломов, С. М. Бахронов, У. М. Мирсаидов // Радиационная гигиена. — 2018. — Т. 11. — № 2. — С. 83–90. — URL: https://www.radhyg.ru/jour/article/view/558 (дата обращения: 27.10.2026).</x:t>
  </x:si>
  <x:si>
    <x:t xml:space="preserve">Назаров Х. М. | Эрматов К. А. | Саломов Д. А. | Бахронов С. М. | Мирсаидов У. М.</x:t>
  </x:si>
  <x:si>
    <x:t xml:space="preserve">Оценка потенциальной радиационной опасности бывших урановых объектов для населения г. Истиклол Республики Таджикистан</x:t>
  </x:si>
  <x:si>
    <x:t xml:space="preserve">Радиационная гигиена</x:t>
  </x:si>
  <x:si>
    <x:t xml:space="preserve">83–90</x:t>
  </x:si>
  <x:si>
    <x:t xml:space="preserve">https://doi.org/10.21514/1998-426X-2018-11-2-83-90</x:t>
  </x:si>
  <x:si>
    <x:t xml:space="preserve">10.21514/1998-426X-2018-11-2-83-90</x:t>
  </x:si>
  <x:si>
    <x:t xml:space="preserve">OYVYFL</x:t>
  </x:si>
  <x:si>
    <x:t xml:space="preserve">https://www.radhyg.ru/jour/article/view/558</x:t>
  </x:si>
  <x:si>
    <x:t xml:space="preserve">ОЦЕНКА ПОТЕНЦИАЛЬНОЙ РАДИАЦИОННОЙ ОПАСНОСТИ БЫВШИХ УРАНОВЫХ ОБЪЕКТОВ ДЛЯ НАСЕЛЕНИЯ Г. ИСТИКЛОЛ РЕСПУБЛИКИ ТАДЖИКИСТАН | Назаров | Радиационная гигиена | ОЦЕНКА ПОТЕНЦИАЛЬНОЙ РАДИАЦИОННОЙ ОПАСНОСТИ БЫВШИХ УРАНОВЫХ ОБЪЕКТОВ ДЛЯ НАСЕЛЕНИЯ Г. ИСТИКЛОЛ РЕСПУБЛИКИ ТАДЖИКИСТАН | ASSESSMENT OF POTENTIAL RADIATION HAZARD OF THE FORMER URANIUM FACILITIES FOR THE POPULATION  OF THE ISTIKLOL CITY OF THE REPUBLIC OF TADZHIKISTAN | ОЦЕНКА ПОТЕНЦИАЛЬНОЙ РАДИАЦИОННОЙ ОПАСНОСТИ БЫВШИХ УРАНОВЫХ ОБЪЕКТОВ ДЛЯ НАСЕЛЕНИЯ Г. ИСТИКЛОЛ РЕСПУБЛИКИ ТАДЖИКИСТАН | ОЦЕНКА ПОТЕНЦИАЛЬНОЙ РАДИАЦИОННОЙ ОПАСНОСТИ БЫВШИХ УРАНОВЫХ ОБЪЕКТОВ ДЛЯ НАСЕЛЕНИЯ Г. ИСТИКЛОЛ РЕСПУБЛИКИ ТАДЖИКИСТАН | Назаров | Радиационная гигиена</x:t>
  </x:si>
  <x:si>
    <x:t xml:space="preserve">HTTP 200; проверка объекта 27.10.2026; https://www.radhyg.ru/jour/article/view/558</x:t>
  </x:si>
  <x:si>
    <x:t xml:space="preserve">R052</x:t>
  </x:si>
  <x:si>
    <x:t xml:space="preserve">Хакимова Н.У., Зоитова М.А. Урановые хвостохранилища г. Истиклола: история, проблемы, решения // Радиационная гигиена. 2023. Т. 16, № 2. С. 102–113. https://doi.org/10.21514/1998-426X-2023-16-2-102-113 EDN: QELGQR</x:t>
  </x:si>
  <x:si>
    <x:t xml:space="preserve">Хакимова Н. У., Зоитова М. А. Урановые хвостохранилища г. Истиклола : история, проблемы, решения // Радиационная гигиена. — 2023. — Т. 16. — № 2. — С. 102–113. — URL: https://www.radhyg.ru/jour/article/view/956 (дата обращения: 27.10.2026).</x:t>
  </x:si>
  <x:si>
    <x:t xml:space="preserve">Хакимова Н. У. | Зоитова М. А.</x:t>
  </x:si>
  <x:si>
    <x:t xml:space="preserve">Урановые хвостохранилища г. Истиклола: история, проблемы, решения</x:t>
  </x:si>
  <x:si>
    <x:t xml:space="preserve">16</x:t>
  </x:si>
  <x:si>
    <x:t xml:space="preserve">102–113</x:t>
  </x:si>
  <x:si>
    <x:t xml:space="preserve">https://doi.org/10.21514/1998-426X-2023-16-2-102-113</x:t>
  </x:si>
  <x:si>
    <x:t xml:space="preserve">10.21514/1998-426X-2023-16-2-102-113</x:t>
  </x:si>
  <x:si>
    <x:t xml:space="preserve">QELGQR</x:t>
  </x:si>
  <x:si>
    <x:t xml:space="preserve">https://www.radhyg.ru/jour/article/view/956</x:t>
  </x:si>
  <x:si>
    <x:t xml:space="preserve">Урановые хвостохранилища г. Истиклола: история, проблемы, решения | Хакимова | Радиационная гигиена | Урановые хвостохранилища г. Истиклола: история, проблемы, решения | Uranium tailings in the Istiqlol city: history, problems, solutions | Урановые хвостохранилища г. Истиклола: история, проблемы, решения | Урановые хвостохранилища г. Истиклола: история, проблемы, решения | Хакимова | Радиационная гигиена</x:t>
  </x:si>
  <x:si>
    <x:t xml:space="preserve">HTTP 200; проверка объекта 27.10.2026; https://www.radhyg.ru/jour/article/view/956</x:t>
  </x:si>
  <x:si>
    <x:t xml:space="preserve">Проверка оформления Михаилом: достаточно данных — Да. Открылась страница статьи; DOI на странице совпал с DOI строки. Источник: Подтверждения_28_10_2026.html. Исходный вариант Михаила до последующего переноса: Хакимова, Н. У. Урановые хвостохранилища г. Истиклола: история, проблемы, решения / Н. У. Хакимова, М. А. Зоитова // Радиационная гигиена. — 2023. — Т. 16, № 2. — С. 102–113. — URL: https://www.radhyg.ru/jour/article/view/956 (дата обращения: 27.10.2026).</x:t>
  </x:si>
  <x:si>
    <x:t xml:space="preserve">R053</x:t>
  </x:si>
  <x:si>
    <x:t xml:space="preserve">Прохоров И.С., Корнеевец К.В., Бычков С.А. Информационно-аналитический центр поддержки заповедного дела // Вестник Российского университета дружбы народов. Серия: Экология и безопасность жизнедеятельности. 2018. Т. 26. № 3. С. 309–314. https://doi.org/10.22363/2313-2310-2018-26-3-309-314 EDN: OAXJEM</x:t>
  </x:si>
  <x:si>
    <x:t xml:space="preserve">Прохоров И. С., Корнеевец К. В., Бычков С. А. Информационно-аналитический центр поддержки заповедного дела // Вестник Российского университета дружбы народов. Серия: Экология и безопасность жизнедеятельности. — 2018. — Т. 26. — № 3. — С. 309–314. — URL: https://journals.rudn.ru/ecology/article/view/20875 (дата обращения: 27.10.2026).</x:t>
  </x:si>
  <x:si>
    <x:t xml:space="preserve">Прохоров И. С. | Корнеевец К. В. | Бычков С. А.</x:t>
  </x:si>
  <x:si>
    <x:t xml:space="preserve">Информационно-аналитический центр поддержки заповедного дела</x:t>
  </x:si>
  <x:si>
    <x:t xml:space="preserve">26</x:t>
  </x:si>
  <x:si>
    <x:t xml:space="preserve">309–314</x:t>
  </x:si>
  <x:si>
    <x:t xml:space="preserve">https://doi.org/10.22363/2313-2310-2018-26-3-309-314</x:t>
  </x:si>
  <x:si>
    <x:t xml:space="preserve">https://journals.rudn.ru/ecology/article/view/52211?setLocale=ru_RU#articleCitations</x:t>
  </x:si>
  <x:si>
    <x:t xml:space="preserve">10.22363/2313-2310-2018-26-3-309-314</x:t>
  </x:si>
  <x:si>
    <x:t xml:space="preserve">Environmental trails of the Moscow region in the system of environmental education: problems and development prospects</x:t>
  </x:si>
  <x:si>
    <x:t xml:space="preserve">OAXJEM</x:t>
  </x:si>
  <x:si>
    <x:t xml:space="preserve">https://journals.rudn.ru/ecology/article/view/52211</x:t>
  </x:si>
  <x:si>
    <x:t xml:space="preserve">https://journals.rudn.ru/ecology/article/view/20875</x:t>
  </x:si>
  <x:si>
    <x:t xml:space="preserve">Information-Analytical Center for Natural Specially Protected Areas Support | Information-Analytical Center for Natural Specially Protected Areas Support | Информационно-аналитический центр поддержки заповедного дела | Information-Analytical Center for Natural Specially Protected Areas Support | Информационно-аналитический центр поддержки заповедного дела | Information-Analytical Center for Natural Specially Protected Areas Support - Prokhorov - RUDN Journal of Ecology and Life Safety</x:t>
  </x:si>
  <x:si>
    <x:t xml:space="preserve">HTTP 200; проверка объекта 27.10.2026; https://journals.rudn.ru/ecology/article/view/20875</x:t>
  </x:si>
  <x:si>
    <x:t xml:space="preserve">R054</x:t>
  </x:si>
  <x:si>
    <x:t xml:space="preserve">Тихомирова А.В. Экологические туристские тропы // Вестник Южно-Уральского государственного университета. Серия: Право. 2025. Т. 25. № 3. С. 101–107. https://doi.org/10.14529/law250314 EDN: BBWIKW</x:t>
  </x:si>
  <x:si>
    <x:t xml:space="preserve">Тихомирова А. В. Экологические туристские тропы // Вестник Южно-Уральского государственного университета. Серия: Право. — 2025. — Т. 25. — № 3. — С. 101–107. — URL: https://vestnik.susu.ru/law/article/view/15498 (дата обращения: 27.10.2026).</x:t>
  </x:si>
  <x:si>
    <x:t xml:space="preserve">Тихомирова А. В.</x:t>
  </x:si>
  <x:si>
    <x:t xml:space="preserve">Экологические туристские тропы</x:t>
  </x:si>
  <x:si>
    <x:t xml:space="preserve">Вестник Южно-Уральского государственного университета. Серия: Право</x:t>
  </x:si>
  <x:si>
    <x:t xml:space="preserve">25</x:t>
  </x:si>
  <x:si>
    <x:t xml:space="preserve">101–107</x:t>
  </x:si>
  <x:si>
    <x:t xml:space="preserve">https://doi.org/10.14529/law250314</x:t>
  </x:si>
  <x:si>
    <x:t xml:space="preserve">10.14529/law250314</x:t>
  </x:si>
  <x:si>
    <x:t xml:space="preserve">BBWIKW</x:t>
  </x:si>
  <x:si>
    <x:t xml:space="preserve">https://vestnik.susu.ru/law/article/view/15498</x:t>
  </x:si>
  <x:si>
    <x:t xml:space="preserve">ЭКОЛОГИЧЕСКИЕ ТУРИСТСКИЕ ТРОПЫ | ЭКОЛОГИЧЕСКИЕ ТУРИСТСКИЕ ТРОПЫ | 
		ЭКОЛОГИЧЕСКИЕ ТУРИСТСКИЕ ТРОПЫ
							| Право</x:t>
  </x:si>
  <x:si>
    <x:t xml:space="preserve">HTTP 200; проверка объекта 27.10.2026; https://vestnik.susu.ru/law/article/view/15498</x:t>
  </x:si>
  <x:si>
    <x:t xml:space="preserve">R055</x:t>
  </x:si>
  <x:si>
    <x:t xml:space="preserve">Аветов Н.А. Шишконакова Е.А. Загрязнение нефтью почв таежной зоны Западной Сибири // Бюллетень Почвенного института им. В. В. Докучаева. 2011. Вып. 68. C. 45–55. https://doi.org/10.19047/0136-1694-2011-68-45-55</x:t>
  </x:si>
  <x:si>
    <x:t xml:space="preserve">Аветов Н. А. Шишконакова Е.А. Загрязнение нефтью почв таежной зоны Западной Сибири // Бюллетень Почвенного института им. В. В. Докучаева. — 2011. — № 68. — С. 45–55. — URL: https://bulletin.esoil.ru/jour/article/view/499 (дата обращения: 27.10.2026).</x:t>
  </x:si>
  <x:si>
    <x:t xml:space="preserve">Аветов Н. А.</x:t>
  </x:si>
  <x:si>
    <x:t xml:space="preserve">Шишконакова Е.А. Загрязнение нефтью почв таежной зоны Западной Сибири</x:t>
  </x:si>
  <x:si>
    <x:t xml:space="preserve">Бюллетень Почвенного института им. В. В. Докучаева</x:t>
  </x:si>
  <x:si>
    <x:t xml:space="preserve">68</x:t>
  </x:si>
  <x:si>
    <x:t xml:space="preserve">45–55</x:t>
  </x:si>
  <x:si>
    <x:t xml:space="preserve">https://doi.org/10.19047/0136-1694-2011-68-45-55</x:t>
  </x:si>
  <x:si>
    <x:t xml:space="preserve">https://journals.rudn.ru/ecology/article/view/52212?setLocale=ru_RU#articleCitations</x:t>
  </x:si>
  <x:si>
    <x:t xml:space="preserve">10.19047/0136-1694-2011-68-45-55</x:t>
  </x:si>
  <x:si>
    <x:t xml:space="preserve">Study of the effect of oil pollution on the physical, chemical, and microbiological properties of peat-marsh top soils using the mineral glauconite and microbial strains in laboratory conditions</x:t>
  </x:si>
  <x:si>
    <x:t xml:space="preserve">https://journals.rudn.ru/ecology/article/view/52212</x:t>
  </x:si>
  <x:si>
    <x:t xml:space="preserve">https://bulletin.esoil.ru/jour/article/view/499</x:t>
  </x:si>
  <x:si>
    <x:t xml:space="preserve">Загрязнение нефтью почв таежной зоны Западной Сибири | Аветов | Бюллетень Почвенного института имени В.В. Докучаева | Загрязнение нефтью почв таежной зоны Западной Сибири | OILED SOILS IN THE TAIGA ZONE OF WESTERN SIBERIA | Загрязнение нефтью почв таежной зоны Западной Сибири | Загрязнение нефтью почв таежной зоны Западной Сибири | Аветов | Бюллетень Почвенного института имени В.В. Докучаева</x:t>
  </x:si>
  <x:si>
    <x:t xml:space="preserve">HTTP 200; проверка объекта 27.10.2026; https://bulletin.esoil.ru/jour/article/view/499</x:t>
  </x:si>
  <x:si>
    <x:t xml:space="preserve">R056</x:t>
  </x:si>
  <x:si>
    <x:t xml:space="preserve">Даувальтер В.А., Сандимиров С.С., Денисов Д.Б., Даувальтер М.В., Слуковский З.И. Эколого-геохимическая оценка снежного покрова в районе воздействия апатит-нефелинового производства Кольского полуострова // Геохимия. 2023. Т. 68. № 12. С. 1312–1328. https://doi.org/10.31857/S0016752523120026 EDN: LYMRSB</x:t>
  </x:si>
  <x:si>
    <x:t xml:space="preserve">Эколого-геохимическая оценка снежного покрова в районе воздействия апатит-нефелинового производства Кольского полуострова / В. А. Даувальтер, С. С. Сандимиров, Д. Б. Денисов, М. В. Даувальтер, З. И. Слуковский // Геохимия. — 2023. — Т. 68. — № 12. — С. 1312–1328. — URL: https://journals.rcsi.science/0016-7525/article/view/233649 (дата обращения: 27.10.2026).</x:t>
  </x:si>
  <x:si>
    <x:t xml:space="preserve">Даувальтер В. А. | Сандимиров С. С. | Денисов Д. Б. | Даувальтер М. В. | Слуковский З. И.</x:t>
  </x:si>
  <x:si>
    <x:t xml:space="preserve">Эколого-геохимическая оценка снежного покрова в районе воздействия апатит-нефелинового производства Кольского полуострова</x:t>
  </x:si>
  <x:si>
    <x:t xml:space="preserve">Геохимия</x:t>
  </x:si>
  <x:si>
    <x:t xml:space="preserve">12</x:t>
  </x:si>
  <x:si>
    <x:t xml:space="preserve">1312–1328</x:t>
  </x:si>
  <x:si>
    <x:t xml:space="preserve">https://doi.org/10.31857/S0016752523120026</x:t>
  </x:si>
  <x:si>
    <x:t xml:space="preserve">https://journals.rudn.ru/ecology/article/view/52213?setLocale=ru_RU#articleCitations</x:t>
  </x:si>
  <x:si>
    <x:t xml:space="preserve">10.31857/S0016752523120026</x:t>
  </x:si>
  <x:si>
    <x:t xml:space="preserve">Chemical composition screening of atmospheric precipitation and soil water in the Gusinoye Lake catchment area, the Valdai Upland</x:t>
  </x:si>
  <x:si>
    <x:t xml:space="preserve">LYMRSB</x:t>
  </x:si>
  <x:si>
    <x:t xml:space="preserve">https://journals.rudn.ru/ecology/article/view/52213</x:t>
  </x:si>
  <x:si>
    <x:t xml:space="preserve">https://journals.rcsi.science/0016-7525/article/view/233649</x:t>
  </x:si>
  <x:si>
    <x:t xml:space="preserve">Ecological and Geochemical Assessment of Snow Cover in the Area Affected by the Apatite–Nepheline Production of the Kola Peninsula | Ecological and Geochemical Assessment of Snow Cover in the Area Affected by the Apatite–Nepheline Production of the Kola Peninsula | Эколого-геохимическая оценка снежного покрова в районе воздействия апатит-нефелинового производства кольского полуострова | Ecological and Geochemical Assessment of Snow Cover in the Area Affected by the Apatite–Nepheline Production of the Kola Peninsula | Эколого-геохимическая оценка снежного покрова в районе воздействия апатит-нефелинового производства кольского полуострова | Ecological and Geochemical Assessment of Snow Cover i</x:t>
  </x:si>
  <x:si>
    <x:t xml:space="preserve">HTTP 200; проверка объекта 27.10.2026; https://journals.rcsi.science/0016-7525/article/view/233649</x:t>
  </x:si>
  <x:si>
    <x:t xml:space="preserve">R057</x:t>
  </x:si>
  <x:si>
    <x:t xml:space="preserve">Давыдова Н.Д. Формирование химического состава водных объектов Южно-Минусинской котловины в условиях атмосферного загрязнения // Успехи современного естествознания. 2017. № 12. С. 134–139. EDN: YMIMDB</x:t>
  </x:si>
  <x:si>
    <x:t xml:space="preserve">Давыдова Н. Д. Формирование химического состава водных объектов Южно-Минусинской котловины в условиях атмосферного загрязнения // Успехи современного естествознания. — 2017. — № 12. — С. 134–139.</x:t>
  </x:si>
  <x:si>
    <x:t xml:space="preserve">Давыдова Н. Д.</x:t>
  </x:si>
  <x:si>
    <x:t xml:space="preserve">Формирование химического состава водных объектов Южно-Минусинской котловины в условиях атмосферного загрязнения</x:t>
  </x:si>
  <x:si>
    <x:t xml:space="preserve">Успехи современного естествознания</x:t>
  </x:si>
  <x:si>
    <x:t xml:space="preserve">134–139</x:t>
  </x:si>
  <x:si>
    <x:t xml:space="preserve">YMIMDB</x:t>
  </x:si>
  <x:si>
    <x:t xml:space="preserve">R058</x:t>
  </x:si>
  <x:si>
    <x:t xml:space="preserve">Белова И.К., Видяев К.А. Использование нейросетевых технологий для оценки состояния лесных ресурсов // Парадигма. 2025. № 4-2. С. 26–31. EDN: YEZERT</x:t>
  </x:si>
  <x:si>
    <x:t xml:space="preserve">Белова И. К., Видяев К. А. Использование нейросетевых технологий для оценки состояния лесных ресурсов // Парадигма. — 2025. — № 4-2. — С. 26–31.</x:t>
  </x:si>
  <x:si>
    <x:t xml:space="preserve">Белова И. К. | Видяев К. А.</x:t>
  </x:si>
  <x:si>
    <x:t xml:space="preserve">Использование нейросетевых технологий для оценки состояния лесных ресурсов</x:t>
  </x:si>
  <x:si>
    <x:t xml:space="preserve">Парадигма</x:t>
  </x:si>
  <x:si>
    <x:t xml:space="preserve">26–31</x:t>
  </x:si>
  <x:si>
    <x:t xml:space="preserve">https://journals.rudn.ru/ecology/article/view/52214?setLocale=ru_RU#articleCitations</x:t>
  </x:si>
  <x:si>
    <x:t xml:space="preserve">Experimental multi-criteria evaluation of convolutional neural network architectures for early forest fire detection using UAV data</x:t>
  </x:si>
  <x:si>
    <x:t xml:space="preserve">YEZERT</x:t>
  </x:si>
  <x:si>
    <x:t xml:space="preserve">https://journals.rudn.ru/ecology/article/view/52214</x:t>
  </x:si>
  <x:si>
    <x:t xml:space="preserve">R059</x:t>
  </x:si>
  <x:si>
    <x:t xml:space="preserve">Дуйсен Г.М., Айтжанова Д.А., Тесля П.Н. Казахстан и другие республики Центральной Азии: разные судьбы после распада СССР // ЭКО. 2022. № 3 (573). С. 8-40. https://doi.org/10.30680/ECO0131-7652-2022-3-8-40 EDN: KGYLTI</x:t>
  </x:si>
  <x:si>
    <x:t xml:space="preserve">Дуйсен Г. М., Айтжанова Д. А., Тесля П. Н. Казахстан и другие республики Центральной Азии : разные судьбы после распада СССР // ЭКО. — 2022. — № 3 (573). — С. 8–40.</x:t>
  </x:si>
  <x:si>
    <x:t xml:space="preserve">Дуйсен Г. М. | Айтжанова Д. А. | Тесля П. Н.</x:t>
  </x:si>
  <x:si>
    <x:t xml:space="preserve">Казахстан и другие республики Центральной Азии: разные судьбы после распада СССР</x:t>
  </x:si>
  <x:si>
    <x:t xml:space="preserve">ЭКО</x:t>
  </x:si>
  <x:si>
    <x:t xml:space="preserve">3 (573)</x:t>
  </x:si>
  <x:si>
    <x:t xml:space="preserve">8–40</x:t>
  </x:si>
  <x:si>
    <x:t xml:space="preserve">https://doi.org/10.30680/ECO0131-7652-2022-3-8-40</x:t>
  </x:si>
  <x:si>
    <x:t xml:space="preserve">https://journals.rudn.ru/economics/article/view/52551?setLocale=ru_RU#articleCitations</x:t>
  </x:si>
  <x:si>
    <x:t xml:space="preserve">10.30680/ECO0131-7652-2022-3-8-40</x:t>
  </x:si>
  <x:si>
    <x:t xml:space="preserve">The importance of the investment climate in the development of Central Asian countries</x:t>
  </x:si>
  <x:si>
    <x:t xml:space="preserve">KGYLTI</x:t>
  </x:si>
  <x:si>
    <x:t xml:space="preserve">https://journals.rudn.ru/economics/article/view/52551</x:t>
  </x:si>
  <x:si>
    <x:t xml:space="preserve">HTTP Error 500: Internal Server Error</x:t>
  </x:si>
  <x:si>
    <x:t xml:space="preserve">R060</x:t>
  </x:si>
  <x:si>
    <x:t xml:space="preserve">Зиядуллаев У.С. Императивы обеспечения национальной безопасности в условиях интеграции экономики Узбекистана в мировой рынок капитала // Вестник Российского университета дружбы народов. Серия: Экономика. 2018. Т. 26. № 1. C. 125-139. https://doi.org/10.22363/2313-2329-2018-26-1-125-139 EDN: XMZYOT</x:t>
  </x:si>
  <x:si>
    <x:t xml:space="preserve">Зиядуллаев У. С. Императивы обеспечения национальной безопасности в условиях интеграции экономики Узбекистана в мировой рынок капитала // Вестник Российского университета дружбы народов. Серия: Экономика. — 2018. — Т. 26. — № 1. — С. 125–139. — URL: https://journals.rudn.ru/economics/article/view/18516 (дата обращения: 27.10.2026).</x:t>
  </x:si>
  <x:si>
    <x:t xml:space="preserve">Зиядуллаев У. С.</x:t>
  </x:si>
  <x:si>
    <x:t xml:space="preserve">Императивы обеспечения национальной безопасности в условиях интеграции экономики Узбекистана в мировой рынок капитала</x:t>
  </x:si>
  <x:si>
    <x:t xml:space="preserve">Вестник Российского университета дружбы народов. Серия: Экономика</x:t>
  </x:si>
  <x:si>
    <x:t xml:space="preserve">125–139</x:t>
  </x:si>
  <x:si>
    <x:t xml:space="preserve">https://doi.org/10.22363/2313-2329-2018-26-1-125-139</x:t>
  </x:si>
  <x:si>
    <x:t xml:space="preserve">10.22363/2313-2329-2018-26-1-125-139</x:t>
  </x:si>
  <x:si>
    <x:t xml:space="preserve">XMZYOT</x:t>
  </x:si>
  <x:si>
    <x:t xml:space="preserve">https://journals.rudn.ru/economics/article/view/18516</x:t>
  </x:si>
  <x:si>
    <x:t xml:space="preserve">Institutional approaches to the integration of the national economy of Uzbekistan in the global investment market | Institutional approaches to the integration of the national economy of Uzbekistan in the global investment market | Императивы обеспечения национальной безопасности в условиях интеграции экономики Узбекистана в мировой рынок капитала | Institutional approaches to the integration of the national economy of Uzbekistan in the global investment market | Императивы обеспечения национальной безопасности в условиях интеграции экономики Узбекистана в мировой рынок капитала | Institutional approaches to the integration of the national economy of Uzbekistan in the global investment marke</x:t>
  </x:si>
  <x:si>
    <x:t xml:space="preserve">HTTP 200; проверка объекта 27.10.2026; https://journals.rudn.ru/economics/article/view/18516</x:t>
  </x:si>
  <x:si>
    <x:t xml:space="preserve">R061</x:t>
  </x:si>
  <x:si>
    <x:t xml:space="preserve">Мерешкин Д.Е., Плотников В.А. Государственные процедуры по улучшению инвестиционного климата в Российской Федерации: перспективы совершенствования // Управленческое консультирование. 2021. № 12 (156). С. 70-80. https://doi.org/10.22394/1726-1139-2021-12-70-80 EDN: BFUOHX</x:t>
  </x:si>
  <x:si>
    <x:t xml:space="preserve">Мерешкин Д. Е., Плотников В. А. Государственные процедуры по улучшению инвестиционного климата в Российской Федерации : перспективы совершенствования // Управленческое консультирование. — 2021. — № 12 (156). — С. 70–80. — URL: https://www.acjournal.ru/jour/article/view/1846 (дата обращения: 27.10.2026).</x:t>
  </x:si>
  <x:si>
    <x:t xml:space="preserve">Мерешкин Д. Е. | Плотников В. А.</x:t>
  </x:si>
  <x:si>
    <x:t xml:space="preserve">Государственные процедуры по улучшению инвестиционного климата в Российской Федерации: перспективы совершенствования</x:t>
  </x:si>
  <x:si>
    <x:t xml:space="preserve">Управленческое консультирование</x:t>
  </x:si>
  <x:si>
    <x:t xml:space="preserve">12 (156)</x:t>
  </x:si>
  <x:si>
    <x:t xml:space="preserve">70–80</x:t>
  </x:si>
  <x:si>
    <x:t xml:space="preserve">https://doi.org/10.22394/1726-1139-2021-12-70-80</x:t>
  </x:si>
  <x:si>
    <x:t xml:space="preserve">10.22394/1726-1139-2021-12-70-80</x:t>
  </x:si>
  <x:si>
    <x:t xml:space="preserve">BFUOHX</x:t>
  </x:si>
  <x:si>
    <x:t xml:space="preserve">https://www.acjournal.ru/jour/article/view/1846</x:t>
  </x:si>
  <x:si>
    <x:t xml:space="preserve">Государственные процедуры  по улучшению инвестиционного климата в Российской Федерации:  перспективы совершенствования | Мерешкин | Управленческое консультирование | Государственные процедуры  по улучшению инвестиционного климата в Российской Федерации:  перспективы совершенствования | State Procedures for Improving the Investment Climate in the Russian Federation:  Prospects for Improvement | Государственные процедуры  по улучшению инвестиционного климата в Российской Федерации:  перспективы совершенствования | Государственные процедуры  по улучшению инвестиционного климата в Российской Федерации:  перспективы совершенствования | Мерешкин | Управленческое консультирование</x:t>
  </x:si>
  <x:si>
    <x:t xml:space="preserve">HTTP 200; проверка объекта 27.10.2026; https://www.acjournal.ru/jour/article/view/1846</x:t>
  </x:si>
  <x:si>
    <x:t xml:space="preserve">Проверка оформления Михаилом: достаточно данных — Да. Открылась страница статьи; DOI на странице совпал с DOI строки. Источник: Подтверждения_28_10_2026.html. Исходный вариант Михаила до последующего переноса: Мерешкин, Д. Е. Государственные процедуры по улучшению инвестиционного климата в Российской Федерации: перспективы совершенствования / Д. Е. Мерешкин, В. А. Плотников // Управленческое консультирование. — 2021. — № 12 (156). — С. 70–80. — URL: https://www.acjournal.ru/jour/article/view/1846 (дата обращения: 27.10.2026).</x:t>
  </x:si>
  <x:si>
    <x:t xml:space="preserve">R062</x:t>
  </x:si>
  <x:si>
    <x:t xml:space="preserve">Притчин С.А. Пространственный подход в изучении региональной безопасности Центральной Азии // Вестник Российского университета дружбы народов. Серия: Международные отношения. 2025. Т. 25. № 4. C. 684-696. https://doi.org/10.22363/2313-0660-2025-25-4-684-696 EDN: HJPFPU</x:t>
  </x:si>
  <x:si>
    <x:t xml:space="preserve">Притчин С. А. Пространственный подход в изучении региональной безопасности Центральной Азии // Вестник Российского университета дружбы народов. Серия: Международные отношения. — 2025. — Т. 25. — № 4. — С. 684–696. — URL: https://journals.rudn.ru/international-relations/article/view/47879 (дата обращения: 27.10.2026).</x:t>
  </x:si>
  <x:si>
    <x:t xml:space="preserve">Притчин С. А.</x:t>
  </x:si>
  <x:si>
    <x:t xml:space="preserve">Пространственный подход в изучении региональной безопасности Центральной Азии</x:t>
  </x:si>
  <x:si>
    <x:t xml:space="preserve">Вестник Российского университета дружбы народов. Серия: Международные отношения</x:t>
  </x:si>
  <x:si>
    <x:t xml:space="preserve">684–696</x:t>
  </x:si>
  <x:si>
    <x:t xml:space="preserve">https://doi.org/10.22363/2313-0660-2025-25-4-684-696</x:t>
  </x:si>
  <x:si>
    <x:t xml:space="preserve">10.22363/2313-0660-2025-25-4-684-696</x:t>
  </x:si>
  <x:si>
    <x:t xml:space="preserve">HJPFPU</x:t>
  </x:si>
  <x:si>
    <x:t xml:space="preserve">https://journals.rudn.ru/international-relations/article/view/47879</x:t>
  </x:si>
  <x:si>
    <x:t xml:space="preserve">Spatial Approach to Studying Regional Security in Central Asia | Spatial Approach to Studying Regional Security in Central Asia | Пространственный подход  в изучении региональной безопасности Центральной Азии |  | Spatial Approach to Studying Regional Security in Central Asia | Пространственный подход  в изучении региональной безопасности Центральной Азии |  | Spatial Approach to Studying Regional Security in Central Asia - Pritchin - Vestnik RUDN. International Relations</x:t>
  </x:si>
  <x:si>
    <x:t xml:space="preserve">HTTP 200; проверка объекта 27.10.2026; https://journals.rudn.ru/international-relations/article/view/47879</x:t>
  </x:si>
  <x:si>
    <x:t xml:space="preserve">R063</x:t>
  </x:si>
  <x:si>
    <x:t xml:space="preserve">Тихомиров Ю.А. Роль инноваций в развитии приграничного сотрудничества: потенциал и ориентиры роста в ЕАЭС // Вестник Российского университета дружбы народов. Серия: Экономика. 2024. Т. 32. № 3. C. 385-398. https://doi.org/10.22363/2313-2329-2024-32-3-385-398 EDN: MXKNLQ</x:t>
  </x:si>
  <x:si>
    <x:t xml:space="preserve">Тихомиров Ю. А. Роль инноваций в развитии приграничного сотрудничества : потенциал и ориентиры роста в ЕАЭС // Вестник Российского университета дружбы народов. Серия: Экономика. — 2024. — Т. 32. — № 3. — С. 385–398. — URL: https://journals.rudn.ru/economics/article/view/42396 (дата обращения: 27.10.2026).</x:t>
  </x:si>
  <x:si>
    <x:t xml:space="preserve">Тихомиров Ю. А.</x:t>
  </x:si>
  <x:si>
    <x:t xml:space="preserve">Роль инноваций в развитии приграничного сотрудничества: потенциал и ориентиры роста в ЕАЭС</x:t>
  </x:si>
  <x:si>
    <x:t xml:space="preserve">385–398</x:t>
  </x:si>
  <x:si>
    <x:t xml:space="preserve">https://doi.org/10.22363/2313-2329-2024-32-3-385-398</x:t>
  </x:si>
  <x:si>
    <x:t xml:space="preserve">10.22363/2313-2329-2024-32-3-385-398</x:t>
  </x:si>
  <x:si>
    <x:t xml:space="preserve">MXKNLQ</x:t>
  </x:si>
  <x:si>
    <x:t xml:space="preserve">https://journals.rudn.ru/economics/article/view/42396</x:t>
  </x:si>
  <x:si>
    <x:t xml:space="preserve">The Role of Innovation in the Development of Cross-Border Cooperation: Potential and Growth Guidance in the EAEU | The Role of Innovation in the Development of Cross-Border Cooperation: Potential and Growth Guidance in the EAEU | Роль инноваций в развитии приграничного сотрудничества: потенциал и ориентиры роста в ЕАЭС | The Role of Innovation in the Development of Cross-Border Cooperation: Potential and Growth Guidance in the EAEU | Роль инноваций в развитии приграничного сотрудничества: потенциал и ориентиры роста в ЕАЭС | The Role of Innovation in the Development of Cross-Border Cooperation: Potential and Growth Guidance in the EAEU - Tikhomirov - RUDN Journal of Economics</x:t>
  </x:si>
  <x:si>
    <x:t xml:space="preserve">HTTP 200; проверка объекта 27.10.2026; https://journals.rudn.ru/economics/article/view/42396</x:t>
  </x:si>
  <x:si>
    <x:t xml:space="preserve">R064</x:t>
  </x:si>
  <x:si>
    <x:t xml:space="preserve">Шевкунов А.Г., Корницкий А.И., Башкиров А.П., Айдаркулов Т.Н. Месторождение золота Кумтор (Срединный Тянь-Шань, Кыргызстан) и применение трехмерного моделирования в программе Leapfrog Geo (Seequent) при проведении геологоразведочных работ // Руды и металлы. 2023. № 2. С. 18-43. https://doi.org/10.47765/0869-5997-2023-10007 EDN: IEPSKR</x:t>
  </x:si>
  <x:si>
    <x:t xml:space="preserve">Месторождение золота Кумтор (Срединный Тянь-Шань, Кыргызстан) и применение трехмерного моделирования в программе Leapfrog Geo (Seequent) при проведении геологоразведочных работ / А. Г. Шевкунов, А. И. Корницкий, А. П. Башкиров, Т. Н. Айдаркулов // Руды и металлы. — 2023. — № 2. — С. 18–43. — URL: https://rm.tsnigri.ru/index.php/main/article/view/204 (дата обращения: 27.10.2026).</x:t>
  </x:si>
  <x:si>
    <x:t xml:space="preserve">Шевкунов А. Г. | Корницкий А. И. | Башкиров А. П. | Айдаркулов Т. Н.</x:t>
  </x:si>
  <x:si>
    <x:t xml:space="preserve">Месторождение золота Кумтор (Срединный Тянь-Шань, Кыргызстан) и применение трехмерного моделирования в программе Leapfrog Geo (Seequent) при проведении геологоразведочных работ</x:t>
  </x:si>
  <x:si>
    <x:t xml:space="preserve">Руды и металлы</x:t>
  </x:si>
  <x:si>
    <x:t xml:space="preserve">18–43</x:t>
  </x:si>
  <x:si>
    <x:t xml:space="preserve">https://doi.org/10.47765/0869-5997-2023-10007</x:t>
  </x:si>
  <x:si>
    <x:t xml:space="preserve">10.47765/0869-5997-2023-10007</x:t>
  </x:si>
  <x:si>
    <x:t xml:space="preserve">IEPSKR</x:t>
  </x:si>
  <x:si>
    <x:t xml:space="preserve">https://rm.tsnigri.ru/index.php/main/article/view/204</x:t>
  </x:si>
  <x:si>
    <x:t xml:space="preserve">The Kumtor gold deposit in the Middle Tien Shan, Kyrgyzstan, and the application of 3-D modeling in Seequent’s Leapfrog Geo software for the geological exploration | Месторождение золота Кумтор (Срединный Тянь-Шань, Кыргызстан) и применение трёхмерного моделирования в программе Leapfrog Geo (Seequent) при проведении геологоразведочных работ : DOI: 10.47765/0869-5997-2023-10007 | 
		The Kumtor gold deposit in the Middle Tien Shan, Kyrgyzstan, and the application of 3-D modeling in Seequent’s Leapfrog Geo software for the geological exploration
							| Ores and Metals (Rudy i metally)</x:t>
  </x:si>
  <x:si>
    <x:t xml:space="preserve">HTTP 200; проверка объекта 27.10.2026; https://rm.tsnigri.ru/index.php/main/article/view/204</x:t>
  </x:si>
  <x:si>
    <x:t xml:space="preserve">R065</x:t>
  </x:si>
  <x:si>
    <x:t xml:space="preserve">Баранов А.О., Музыко Е.И., Павлов В.Н. Венчурное финансирование проектов импортозамещения в России: проблемы и перспективы // ЭКО. 2023. № 1 (583). С. 118-132. https://doi.org/10.30680/ECO0131-7652-2023-1-118-132 EDN: SEQGHP</x:t>
  </x:si>
  <x:si>
    <x:t xml:space="preserve">Баранов А. О., Музыко Е. И., Павлов В. Н. Венчурное финансирование проектов импортозамещения в России : проблемы и перспективы // ЭКО. — 2023. — № 1 (583). — С. 118–132.</x:t>
  </x:si>
  <x:si>
    <x:t xml:space="preserve">Баранов А. О. | Музыко Е. И. | Павлов В. Н.</x:t>
  </x:si>
  <x:si>
    <x:t xml:space="preserve">Венчурное финансирование проектов импортозамещения в России: проблемы и перспективы</x:t>
  </x:si>
  <x:si>
    <x:t xml:space="preserve">1 (583)</x:t>
  </x:si>
  <x:si>
    <x:t xml:space="preserve">118–132</x:t>
  </x:si>
  <x:si>
    <x:t xml:space="preserve">https://doi.org/10.30680/ECO0131-7652-2023-1-118-132</x:t>
  </x:si>
  <x:si>
    <x:t xml:space="preserve">https://journals.rudn.ru/economics/article/view/52552?setLocale=ru_RU#articleCitations</x:t>
  </x:si>
  <x:si>
    <x:t xml:space="preserve">10.30680/ECO0131-7652-2023-1-118-132</x:t>
  </x:si>
  <x:si>
    <x:t xml:space="preserve">Factors of Russia’s development in the global venture capital industry</x:t>
  </x:si>
  <x:si>
    <x:t xml:space="preserve">SEQGHP</x:t>
  </x:si>
  <x:si>
    <x:t xml:space="preserve">https://journals.rudn.ru/economics/article/view/52552</x:t>
  </x:si>
  <x:si>
    <x:t xml:space="preserve">R066</x:t>
  </x:si>
  <x:si>
    <x:t xml:space="preserve">Жанокова М.В., Махошева С.А., Жаноков Э.М. Тенденции, проблемы и перспективы современного этапа развития венчурной «экосистемы» // Известия Кабардино-Балкарского научного центра РАН. 2024. Т. 26. № 6. С. 326-343. https://doi.org/10.35330/1991-6639-2024-26-6-326-343 EDN: XJETFK</x:t>
  </x:si>
  <x:si>
    <x:t xml:space="preserve">Жанокова М. В., Махошева С. А., Жаноков Э. М. Тенденции, проблемы и перспективы современного этапа развития венчурной «экосистемы» // Известия Кабардино-Балкарского научного центра РАН. — 2024. — Т. 26. — № 6. — С. 326–343. — URL: https://www.kbncran.ru/wp-content/uploads/2025/02/29.pdf (дата обращения: 27.10.2026).</x:t>
  </x:si>
  <x:si>
    <x:t xml:space="preserve">Жанокова М. В. | Махошева С. А. | Жаноков Э. М.</x:t>
  </x:si>
  <x:si>
    <x:t xml:space="preserve">Тенденции, проблемы и перспективы современного этапа развития венчурной «экосистемы»</x:t>
  </x:si>
  <x:si>
    <x:t xml:space="preserve">Известия Кабардино-Балкарского научного центра РАН</x:t>
  </x:si>
  <x:si>
    <x:t xml:space="preserve">6</x:t>
  </x:si>
  <x:si>
    <x:t xml:space="preserve">326–343</x:t>
  </x:si>
  <x:si>
    <x:t xml:space="preserve">https://doi.org/10.35330/1991-6639-2024-26-6-326-343</x:t>
  </x:si>
  <x:si>
    <x:t xml:space="preserve">10.35330/1991-6639-2024-26-6-326-343</x:t>
  </x:si>
  <x:si>
    <x:t xml:space="preserve">XJETFK</x:t>
  </x:si>
  <x:si>
    <x:t xml:space="preserve">https://www.kbncran.ru/wp-content/uploads/2025/02/29.pdf</x:t>
  </x:si>
  <x:si>
    <x:t xml:space="preserve">Известия Кабардино-Балкарского научного центра РАН   Том 26   № 6   2024       
326 
 МЕНЕДЖМЕНТ 
УДК 332. 05                                                                                                             Аналитическая статья 
DOI: 10.</x:t>
  </x:si>
  <x:si>
    <x:t xml:space="preserve">HTTP 200; проверка объекта 27.10.2026; https://www.kbncran.ru/wp-content/uploads/2025/02/29.pdf</x:t>
  </x:si>
  <x:si>
    <x:t xml:space="preserve">R067</x:t>
  </x:si>
  <x:si>
    <x:t xml:space="preserve">Иванова М.В. Новые возможности развития венчурного рынка России для обеспечения технологического суверенитета // Государственное управление. Электронный вестник. 2024. № 107. С. 50-61. https://doi.org/10.55959/MSU2070-1381-107-2024-50-61 EDN: BZZRPV</x:t>
  </x:si>
  <x:si>
    <x:t xml:space="preserve">Иванова М. В. Новые возможности развития венчурного рынка России для обеспечения технологического суверенитета // Государственное управление. Электронный вестник. — 2024. — № 107. — С. 50–61. — URL: https://www.spajournal.ru/jour/article/view/174 (дата обращения: 27.10.2026).</x:t>
  </x:si>
  <x:si>
    <x:t xml:space="preserve">Иванова М. В.</x:t>
  </x:si>
  <x:si>
    <x:t xml:space="preserve">Новые возможности развития венчурного рынка России для обеспечения технологического суверенитета</x:t>
  </x:si>
  <x:si>
    <x:t xml:space="preserve">Государственное управление. Электронный вестник</x:t>
  </x:si>
  <x:si>
    <x:t xml:space="preserve">107</x:t>
  </x:si>
  <x:si>
    <x:t xml:space="preserve">50–61</x:t>
  </x:si>
  <x:si>
    <x:t xml:space="preserve">https://doi.org/10.55959/MSU2070-1381-107-2024-50-61</x:t>
  </x:si>
  <x:si>
    <x:t xml:space="preserve">10.55959/MSU2070-1381-107-2024-50-61</x:t>
  </x:si>
  <x:si>
    <x:t xml:space="preserve">BZZRPV</x:t>
  </x:si>
  <x:si>
    <x:t xml:space="preserve">https://www.spajournal.ru/jour/article/view/174</x:t>
  </x:si>
  <x:si>
    <x:t xml:space="preserve">Новые возможности развития венчурного рынка России для обеспечения технологического суверенитета | Иванова | Государственное управление. Электронный вестник | Новые возможности развития венчурного рынка России для обеспечения технологического суверенитета | New Opportunities for Developing Russian Venture Market to Ensure Technological Sovereignty | Новые возможности развития венчурного рынка России для обеспечения технологического суверенитета | Новые возможности развития венчурного рынка России для обеспечения технологического суверенитета | Иванова | Государственное управление. Электронный вестник</x:t>
  </x:si>
  <x:si>
    <x:t xml:space="preserve">HTTP 200; проверка объекта 27.10.2026; https://www.spajournal.ru/jour/article/view/174</x:t>
  </x:si>
  <x:si>
    <x:t xml:space="preserve">Внешний контекст; успешное открытие URL при подготовке набора</x:t>
  </x:si>
  <x:si>
    <x:t xml:space="preserve">Проверка оформления Михаилом: достаточно данных — Да. открылась страница статьи; DOI на странице совпал с DOI строки. Источник: Подтверждения_28_10_2026.html. Официальная страница МГУ (https://spa.msu.ru/nauka/journals/) ссылается на spajournal.ru как на сайт журнала; выпуск № 107 (2024). Метатег citation_date на странице — 2026/05/23: расхождение не объяснено, год исходной строки не менялся. Исходный вариант Михаила до последующего переноса: Иванова, М. В. Новые возможности развития венчурного рынка России для обеспечения технологического суверенитета // Государственное управление. Электронный вестник. — 2024. — № 107. — С. 50–61. — URL: https://www.spajournal.ru/jour/article/view/174 (дата обращения: 27.10.2026).</x:t>
  </x:si>
  <x:si>
    <x:t xml:space="preserve">R068</x:t>
  </x:si>
  <x:si>
    <x:t xml:space="preserve">Колосов А.В. Венчурный рынок в России: текущее состояние и перспективы // Финансовые рынки и банки. 2025. № 10. С. 319-323. https://doi.org/10.24412/2658-3917-2025-10-319-323 EDN: TYOJQE</x:t>
  </x:si>
  <x:si>
    <x:t xml:space="preserve">Колосов А. В. Венчурный рынок в России : текущее состояние и перспективы // Финансовые рынки и банки. — 2025. — № 10. — С. 319–323. — URL: https://cyberleninka.ru/article/n/venchurnyy-rynok-v-rossii-tekuschee-sostoyanie-i-perspektivy (дата обращения: 27.10.2026).</x:t>
  </x:si>
  <x:si>
    <x:t xml:space="preserve">Колосов А. В.</x:t>
  </x:si>
  <x:si>
    <x:t xml:space="preserve">Венчурный рынок в России: текущее состояние и перспективы</x:t>
  </x:si>
  <x:si>
    <x:t xml:space="preserve">Финансовые рынки и банки</x:t>
  </x:si>
  <x:si>
    <x:t xml:space="preserve">319–323</x:t>
  </x:si>
  <x:si>
    <x:t xml:space="preserve">https://doi.org/10.24412/2658-3917-2025-10-319-323</x:t>
  </x:si>
  <x:si>
    <x:t xml:space="preserve">10.24412/2658-3917-2025-10-319-323</x:t>
  </x:si>
  <x:si>
    <x:t xml:space="preserve">TYOJQE</x:t>
  </x:si>
  <x:si>
    <x:t xml:space="preserve">https://cyberleninka.ru/article/n/venchurnyy-rynok-v-rossii-tekuschee-sostoyanie-i-perspektivy</x:t>
  </x:si>
  <x:si>
    <x:t xml:space="preserve">Венчурный рынок в России: текущее состояние и перспективы | Венчурный рынок в России: текущее состояние и перспективы | Венчурный рынок в России: текущее состояние и перспективы – тема научной статьи по экономике и бизнесу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</x:si>
  <x:si>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https://cyberleninka.ru/article/n/venchurnyy-rynok-v-rossii-tekuschee-sostoyanie-i-perspektivy</x:t>
  </x:si>
  <x:si>
    <x:t xml:space="preserve">R069</x:t>
  </x:si>
  <x:si>
    <x:t xml:space="preserve">Сатаев П.А., Соловейчик К.А. Стартапы в экономике: понятие, сущность и характеристики // Научно-технические ведомости СПбГПУ. Экономические науки. 2021. Т. 14. № 5. С. 92-110. https://doi.org/10.18721/JE.14507 EDN: NFURDC</x:t>
  </x:si>
  <x:si>
    <x:t xml:space="preserve">Сатаев П. А., Соловейчик К. А. Стартапы в экономике : понятие, сущность и характеристики // Научно-технические ведомости СПбГПУ. Экономические науки. — 2021. — Т. 14. — № 5. — С. 92–110. — URL: https://economy.spbstu.ru/en/article/2021.91.07/ (дата обращения: 27.10.2026).</x:t>
  </x:si>
  <x:si>
    <x:t xml:space="preserve">Сатаев П. А. | Соловейчик К. А.</x:t>
  </x:si>
  <x:si>
    <x:t xml:space="preserve">Стартапы в экономике: понятие, сущность и характеристики</x:t>
  </x:si>
  <x:si>
    <x:t xml:space="preserve">Научно-технические ведомости СПбГПУ. Экономические науки</x:t>
  </x:si>
  <x:si>
    <x:t xml:space="preserve">14</x:t>
  </x:si>
  <x:si>
    <x:t xml:space="preserve">5</x:t>
  </x:si>
  <x:si>
    <x:t xml:space="preserve">92–110</x:t>
  </x:si>
  <x:si>
    <x:t xml:space="preserve">https://doi.org/10.18721/JE.14507</x:t>
  </x:si>
  <x:si>
    <x:t xml:space="preserve">10.18721/JE.14507</x:t>
  </x:si>
  <x:si>
    <x:t xml:space="preserve">NFURDC</x:t>
  </x:si>
  <x:si>
    <x:t xml:space="preserve">https://economy.spbstu.ru/en/article/2021.91.07/</x:t>
  </x:si>
  <x:si>
    <x:t xml:space="preserve">Startups in economics: definition, essence and characteristics | Startups in economics: definition, essence and characteristics | π-Economy</x:t>
  </x:si>
  <x:si>
    <x:t xml:space="preserve">HTTP 200; проверка объекта 27.10.2026; https://economy.spbstu.ru/en/article/2021.91.07/</x:t>
  </x:si>
  <x:si>
    <x:t xml:space="preserve">R070</x:t>
  </x:si>
  <x:si>
    <x:t xml:space="preserve">Тишко П.С., Орлова Л.Н. Актуальные проблемы развития венчурного рынка в России // Инновации и инвестиции. 2025. № 5. С. 387-391. https://doi.org/10.24412/2307-180X-2025-5-287-291 EDN: PTCZXM</x:t>
  </x:si>
  <x:si>
    <x:t xml:space="preserve">Тишко П. С., Орлова Л. Н. Актуальные проблемы развития венчурного рынка в России // Инновации и инвестиции. — 2025. — № 5. — С. 387–391. — URL: https://cyberleninka.ru/article/n/aktualnye-problemy-razvitiya-venchurnogo-rynka-v-rossii (дата обращения: 27.10.2026).</x:t>
  </x:si>
  <x:si>
    <x:t xml:space="preserve">Тишко П. С. | Орлова Л. Н.</x:t>
  </x:si>
  <x:si>
    <x:t xml:space="preserve">Актуальные проблемы развития венчурного рынка в России</x:t>
  </x:si>
  <x:si>
    <x:t xml:space="preserve">Инновации и инвестиции</x:t>
  </x:si>
  <x:si>
    <x:t xml:space="preserve">387–391</x:t>
  </x:si>
  <x:si>
    <x:t xml:space="preserve">https://doi.org/10.24412/2307-180X-2025-5-287-291</x:t>
  </x:si>
  <x:si>
    <x:t xml:space="preserve">10.24412/2307-180X-2025-5-287-291</x:t>
  </x:si>
  <x:si>
    <x:t xml:space="preserve">PTCZXM</x:t>
  </x:si>
  <x:si>
    <x:t xml:space="preserve">https://cyberleninka.ru/article/n/aktualnye-problemy-razvitiya-venchurnogo-rynka-v-rossii</x:t>
  </x:si>
  <x:si>
    <x:t xml:space="preserve">Актуальные проблемы развития венчурного рынка в России | Актуальные проблемы развития венчурного рынка в России | Актуальные проблемы развития венчурного рынка в России – тема научной статьи по экономике и бизнесу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</x:si>
  <x:si>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https://cyberleninka.ru/article/n/aktualnye-problemy-razvitiya-venchurnogo-rynka-v-rossii</x:t>
  </x:si>
  <x:si>
    <x:t xml:space="preserve">R071</x:t>
  </x:si>
  <x:si>
    <x:t xml:space="preserve">Виноградова Е.В. Социальная ответственность бизнеса в аспекте конституционно-правовых ценностей социального партнерства и социальной солидарности // Вестник Саратовской государственной юридической академии. 2025. № 1 (162). С. 63-70. https://doi.org/10.24412/2227-7315-2025-1-63-70 EDN: PJSTGM</x:t>
  </x:si>
  <x:si>
    <x:t xml:space="preserve">Виноградова Е. В. Социальная ответственность бизнеса в аспекте конституционно-правовых ценностей социального партнерства и социальной солидарности // Вестник Саратовской государственной юридической академии. — 2025. — № 1 (162). — С. 63–70. — URL: https://cyberleninka.ru/article/n/sotsialnaya-otvetstvennost-biznesa-v-aspekte-konstitutsionno-pravovyh-tsennostey-sotsialnogo-partnerstva-i-sotsialnoy-solidarnosti (дата обращения: 27.10.2026).</x:t>
  </x:si>
  <x:si>
    <x:t xml:space="preserve">Виноградова Е. В.</x:t>
  </x:si>
  <x:si>
    <x:t xml:space="preserve">Социальная ответственность бизнеса в аспекте конституционно-правовых ценностей социального партнерства и социальной солидарности</x:t>
  </x:si>
  <x:si>
    <x:t xml:space="preserve">Вестник Саратовской государственной юридической академии</x:t>
  </x:si>
  <x:si>
    <x:t xml:space="preserve">1 (162)</x:t>
  </x:si>
  <x:si>
    <x:t xml:space="preserve">63–70</x:t>
  </x:si>
  <x:si>
    <x:t xml:space="preserve">https://doi.org/10.24412/2227-7315-2025-1-63-70</x:t>
  </x:si>
  <x:si>
    <x:t xml:space="preserve">https://journals.rudn.ru/economics/article/view/52553?setLocale=ru_RU#articleCitations</x:t>
  </x:si>
  <x:si>
    <x:t xml:space="preserve">10.24412/2227-7315-2025-1-63-70</x:t>
  </x:si>
  <x:si>
    <x:t xml:space="preserve">Building international relations in a multipolar world based on the institution of social partnership: a path toward the sustainable development of the labor economy in Russia</x:t>
  </x:si>
  <x:si>
    <x:t xml:space="preserve">PJSTGM</x:t>
  </x:si>
  <x:si>
    <x:t xml:space="preserve">https://journals.rudn.ru/economics/article/view/52553</x:t>
  </x:si>
  <x:si>
    <x:t xml:space="preserve">https://cyberleninka.ru/article/n/sotsialnaya-otvetstvennost-biznesa-v-aspekte-konstitutsionno-pravovyh-tsennostey-sotsialnogo-partnerstva-i-sotsialnoy-solidarnosti</x:t>
  </x:si>
  <x:si>
    <x:t xml:space="preserve">Социальная ответственность бизнеса в аспекте конституционно-правовых ценностей социального партнерства и социальной солидарности | Социальная ответственность бизнеса в аспекте конституционно-правовых ценностей социального партнерства и социальной солидарности | Социальная ответственность бизнеса в аспекте конституционно-правовых ценностей социального партнерства и социальной солидарности – тема научной статьи по праву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</x:si>
  <x:si>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https://cyberleninka.ru/article/n/sotsialnaya-otvetstvennost-biznesa-v-aspekte-konstitutsionno-pravovyh-tsennostey-sotsialnogo-partnerstva-i-sotsialnoy-solidarnosti</x:t>
  </x:si>
  <x:si>
    <x:t xml:space="preserve">R072</x:t>
  </x:si>
  <x:si>
    <x:t xml:space="preserve">Сметанина А.И. Гипотеза виртуализации предпринимательской деятельности // Интеллект. Инновации. Инвестиции. 2015. № 2. С. 43-51. EDN: TXKZRP</x:t>
  </x:si>
  <x:si>
    <x:t xml:space="preserve">Сметанина А. И. Гипотеза виртуализации предпринимательской деятельности // Интеллект. Инновации. Инвестиции. — 2015. — № 2. — С. 43–51.</x:t>
  </x:si>
  <x:si>
    <x:t xml:space="preserve">Сметанина А. И.</x:t>
  </x:si>
  <x:si>
    <x:t xml:space="preserve">Гипотеза виртуализации предпринимательской деятельности</x:t>
  </x:si>
  <x:si>
    <x:t xml:space="preserve">Интеллект. Инновации. Инвестиции</x:t>
  </x:si>
  <x:si>
    <x:t xml:space="preserve">43–51</x:t>
  </x:si>
  <x:si>
    <x:t xml:space="preserve">TXKZRP</x:t>
  </x:si>
  <x:si>
    <x:t xml:space="preserve">R073</x:t>
  </x:si>
  <x:si>
    <x:t xml:space="preserve">Бабаев К.В., Лавров С.В. И вширь, и вглубь // Россия в глобальной политике. 2023. Т. 21. № 5 (123). С. 69-81. https://doi.org/10.31278/1810-6439-2023-21-5-69-81 EDN: ZJKSKN</x:t>
  </x:si>
  <x:si>
    <x:t xml:space="preserve">Бабаев К. В., Лавров С. В. И вширь, и вглубь // Россия в глобальной политике. — 2023. — Т. 21. — № 5 (123). — С. 69–81. — URL: https://globalaffairs.ru/articles/vglub-i-vshir-brics/ (дата обращения: 27.10.2026).</x:t>
  </x:si>
  <x:si>
    <x:t xml:space="preserve">Бабаев К. В. | Лавров С. В.</x:t>
  </x:si>
  <x:si>
    <x:t xml:space="preserve">И вширь, и вглубь</x:t>
  </x:si>
  <x:si>
    <x:t xml:space="preserve">Россия в глобальной политике</x:t>
  </x:si>
  <x:si>
    <x:t xml:space="preserve">5 (123)</x:t>
  </x:si>
  <x:si>
    <x:t xml:space="preserve">69–81</x:t>
  </x:si>
  <x:si>
    <x:t xml:space="preserve">https://doi.org/10.31278/1810-6439-2023-21-5-69-81</x:t>
  </x:si>
  <x:si>
    <x:t xml:space="preserve">https://journals.rudn.ru/economics/article/view/52555?setLocale=ru_RU#articleCitations</x:t>
  </x:si>
  <x:si>
    <x:t xml:space="preserve">10.31278/1810-6439-2023-21-5-69-81</x:t>
  </x:si>
  <x:si>
    <x:t xml:space="preserve">Modelling the significance of integration effects for the BRICS integration and its member-states</x:t>
  </x:si>
  <x:si>
    <x:t xml:space="preserve">ZJKSKN</x:t>
  </x:si>
  <x:si>
    <x:t xml:space="preserve">https://journals.rudn.ru/economics/article/view/52555</x:t>
  </x:si>
  <x:si>
    <x:t xml:space="preserve">https://globalaffairs.ru/articles/vglub-i-vshir-brics/</x:t>
  </x:si>
  <x:si>
    <x:t xml:space="preserve">И вширь, и вглубь | И вширь, и вглубь | И вширь, и вглубь — Россия в глобальной политике</x:t>
  </x:si>
  <x:si>
    <x:t xml:space="preserve">HTTP 200; проверка объекта 27.10.2026; https://globalaffairs.ru/articles/vglub-i-vshir-brics/</x:t>
  </x:si>
  <x:si>
    <x:t xml:space="preserve">R074</x:t>
  </x:si>
  <x:si>
    <x:t xml:space="preserve">Балыхин М.Г., Шайлиева М.М., Цыпин А.П. Статистический анализ экономического развития стран БРИКС // Статистика и экономика. 2020. Т. 17. № 2. С. 18-28. https://doi.org/10.21686/2500-3925-2020-2-18-28 EDN: PTMXPP</x:t>
  </x:si>
  <x:si>
    <x:t xml:space="preserve">Балыхин М. Г., Шайлиева М. М., Цыпин А. П. Статистический анализ экономического развития стран БРИКС // Статистика и экономика. — 2020. — Т. 17. — № 2. — С. 18–28. — URL: https://statecon.rea.ru/jour/article/view/1462 (дата обращения: 27.10.2026).</x:t>
  </x:si>
  <x:si>
    <x:t xml:space="preserve">Балыхин М. Г. | Шайлиева М. М. | Цыпин А. П.</x:t>
  </x:si>
  <x:si>
    <x:t xml:space="preserve">Статистический анализ экономического развития стран БРИКС</x:t>
  </x:si>
  <x:si>
    <x:t xml:space="preserve">Статистика и экономика</x:t>
  </x:si>
  <x:si>
    <x:t xml:space="preserve">17</x:t>
  </x:si>
  <x:si>
    <x:t xml:space="preserve">18–28</x:t>
  </x:si>
  <x:si>
    <x:t xml:space="preserve">https://doi.org/10.21686/2500-3925-2020-2-18-28</x:t>
  </x:si>
  <x:si>
    <x:t xml:space="preserve">10.21686/2500-3925-2020-2-18-28</x:t>
  </x:si>
  <x:si>
    <x:t xml:space="preserve">PTMXPP</x:t>
  </x:si>
  <x:si>
    <x:t xml:space="preserve">https://statecon.rea.ru/jour/article/view/1462</x:t>
  </x:si>
  <x:si>
    <x:t xml:space="preserve">Статистический анализ экономического развития стран БРИКС | Балыхин | Статистика и Экономика | Статистический анализ экономического развития стран БРИКС | Statistical Analysis of the Economic Development of the Brics Countries | Статистический анализ экономического развития стран БРИКС | Статистический анализ экономического развития стран БРИКС | Балыхин | Статистика и Экономика</x:t>
  </x:si>
  <x:si>
    <x:t xml:space="preserve">HTTP 200; проверка объекта 27.10.2026; https://statecon.rea.ru/jour/article/view/1462</x:t>
  </x:si>
  <x:si>
    <x:t xml:space="preserve">R075</x:t>
  </x:si>
  <x:si>
    <x:t xml:space="preserve">Батиста П.Н. Альтернативные валюты и платежные системы: БРИКС и не только // Россия в глобальной политике. 2025. Т. 23. № 1 (131). С. 46-64. https://doi.org/10.31278/1810-6439-2025-23-1-46-64 EDN: SAAEBA</x:t>
  </x:si>
  <x:si>
    <x:t xml:space="preserve">Батиста П. Н. Альтернативные валюты и платежные системы : БРИКС и не только // Россия в глобальной политике. — 2025. — Т. 23. — № 1 (131). — С. 46–64. — URL: https://globalaffairs.ru/articles/alternativnye-valyuty-batista/ (дата обращения: 27.10.2026).</x:t>
  </x:si>
  <x:si>
    <x:t xml:space="preserve">Батиста П. Н.</x:t>
  </x:si>
  <x:si>
    <x:t xml:space="preserve">Альтернативные валюты и платежные системы: БРИКС и не только</x:t>
  </x:si>
  <x:si>
    <x:t xml:space="preserve">23</x:t>
  </x:si>
  <x:si>
    <x:t xml:space="preserve">1 (131)</x:t>
  </x:si>
  <x:si>
    <x:t xml:space="preserve">46–64</x:t>
  </x:si>
  <x:si>
    <x:t xml:space="preserve">https://doi.org/10.31278/1810-6439-2025-23-1-46-64</x:t>
  </x:si>
  <x:si>
    <x:t xml:space="preserve">10.31278/1810-6439-2025-23-1-46-64</x:t>
  </x:si>
  <x:si>
    <x:t xml:space="preserve">SAAEBA</x:t>
  </x:si>
  <x:si>
    <x:t xml:space="preserve">https://globalaffairs.ru/articles/alternativnye-valyuty-batista/</x:t>
  </x:si>
  <x:si>
    <x:t xml:space="preserve">Альтернативные валюты и платёжные системы: БРИКС и не только | Альтернативные валюты и платёжные системы: БРИКС и не только | Альтернативные валюты и платёжные системы: БРИКС и не только — Россия в глобальной политике</x:t>
  </x:si>
  <x:si>
    <x:t xml:space="preserve">HTTP 200; проверка объекта 27.10.2026; https://globalaffairs.ru/articles/alternativnye-valyuty-batista/</x:t>
  </x:si>
  <x:si>
    <x:t xml:space="preserve">R076</x:t>
  </x:si>
  <x:si>
    <x:t xml:space="preserve">Гомулина А.А. Эмпирический анализ экономической взаимозависимости стран БРИКС+ в контексте региональной ориентации внешней торговли // Теоретическая экономика. 2025. № 6 (126). С. 118-130. https://doi.org/10.52957/2221-3260-2025-6-118-130 EDN: GDBCVY</x:t>
  </x:si>
  <x:si>
    <x:t xml:space="preserve">Гомулина А. А. Эмпирический анализ экономической взаимозависимости стран БРИКС+ в контексте региональной ориентации внешней торговли // Теоретическая экономика. — 2025. — № 6 (126). — С. 118–130. — URL: https://theoreticaleconomy.ru/en/nauka/publications/article/6a9c15f032807fdbab86f63f/an-empirical-analysis-of-economic-interdependence-of-brics-countries-in-the-context-of-regional-orientation-of-foreign-trade/view (дата обращения: 27.10.2026).</x:t>
  </x:si>
  <x:si>
    <x:t xml:space="preserve">Гомулина А. А.</x:t>
  </x:si>
  <x:si>
    <x:t xml:space="preserve">Эмпирический анализ экономической взаимозависимости стран БРИКС+ в контексте региональной ориентации внешней торговли</x:t>
  </x:si>
  <x:si>
    <x:t xml:space="preserve">Теоретическая экономика</x:t>
  </x:si>
  <x:si>
    <x:t xml:space="preserve">6 (126)</x:t>
  </x:si>
  <x:si>
    <x:t xml:space="preserve">118–130</x:t>
  </x:si>
  <x:si>
    <x:t xml:space="preserve">https://doi.org/10.52957/2221-3260-2025-6-118-130</x:t>
  </x:si>
  <x:si>
    <x:t xml:space="preserve">10.52957/2221-3260-2025-6-118-130</x:t>
  </x:si>
  <x:si>
    <x:t xml:space="preserve">GDBCVY</x:t>
  </x:si>
  <x:si>
    <x:t xml:space="preserve">https://theoreticaleconomy.ru/en/nauka/publications/article/6a9c15f032807fdbab86f63f/an-empirical-analysis-of-economic-interdependence-of-brics-countries-in-the-context-of-regional-orientation-of-foreign-trade/view</x:t>
  </x:si>
  <x:si>
    <x:t xml:space="preserve">An Empirical Analysis of Economic Interdependence of BRICS+ Countries in the Context of Regional Orientation of Foreign Trade | Theoretical economics | An Empirical Analysis of Economic Interdependence of BRICS+ Countries in the Context of Regional Orientation of Foreign Trade | An Empirical Analysis of Economic Interdependence of BRICS+ Countries in the Context of Regional Orientation of Foreign Trade | An Empirical Analysis of Economic Interdependence of BRICS+ Countries in the Context of Regional Orientation of Foreign Trade | Theoretical economics</x:t>
  </x:si>
  <x:si>
    <x:t xml:space="preserve">HTTP 200; проверка объекта 27.10.2026; https://theoreticaleconomy.ru/en/nauka/publications/article/6a9c15f032807fdbab86f63f/an-empirical-analysis-of-economic-interdependence-of-brics-countries-in-the-context-of-regional-orientation-of-foreign-trade/view</x:t>
  </x:si>
  <x:si>
    <x:t xml:space="preserve">R077</x:t>
  </x:si>
  <x:si>
    <x:t xml:space="preserve">Господарик Е.Г., Ковалев М.М. Математическое моделирование эффектов интеграции на примере ЕАЭС // Журнал Белорусского государственного университета. Экономика. 2023. № 1. С. 36-50. EDN: HFZATO</x:t>
  </x:si>
  <x:si>
    <x:t xml:space="preserve">Господарик Е. Г., Ковалев М. М. Математическое моделирование эффектов интеграции на примере ЕАЭС // Журнал Белорусского государственного университета. Экономика. — 2023. — № 1. — С. 36–50.</x:t>
  </x:si>
  <x:si>
    <x:t xml:space="preserve">Господарик Е. Г. | Ковалев М. М.</x:t>
  </x:si>
  <x:si>
    <x:t xml:space="preserve">Математическое моделирование эффектов интеграции на примере ЕАЭС</x:t>
  </x:si>
  <x:si>
    <x:t xml:space="preserve">Журнал Белорусского государственного университета. Экономика</x:t>
  </x:si>
  <x:si>
    <x:t xml:space="preserve">36–50</x:t>
  </x:si>
  <x:si>
    <x:t xml:space="preserve">HFZATO</x:t>
  </x:si>
  <x:si>
    <x:t xml:space="preserve">Проверка оформления Михаилом: достаточно данных — Да. Исходный вариант Михаила до последующего переноса: Господарик, Е. Г. Математическое моделирование эффектов интеграции на примере ЕАЭС / Е. Г. Господарик, М. М. Ковалев // Журнал Белорусского государственного университета. Экономика. — 2023. — № 1. — С. 36–50.</x:t>
  </x:si>
  <x:si>
    <x:t xml:space="preserve">R078</x:t>
  </x:si>
  <x:si>
    <x:t xml:space="preserve">Господарик Е., Хомбак Е. Сравнительный анализ эффективности региональной интеграции на основе метода DEA (на примере ШОС, БРИКС, ЕАЭС) // Банковский вестник. 2024. № 10 (735). С. 20-29. EDN: MHYMSN</x:t>
  </x:si>
  <x:si>
    <x:t xml:space="preserve">Господарик Е., Хомбак Е. Сравнительный анализ эффективности региональной интеграции на основе метода DEA (на примере ШОС, БРИКС, ЕАЭС) // Банковский вестник. — 2024. — № 10 (735). — С. 20–29.</x:t>
  </x:si>
  <x:si>
    <x:t xml:space="preserve">Господарик Е. | Хомбак Е.</x:t>
  </x:si>
  <x:si>
    <x:t xml:space="preserve">Сравнительный анализ эффективности региональной интеграции на основе метода DEA (на примере ШОС, БРИКС, ЕАЭС)</x:t>
  </x:si>
  <x:si>
    <x:t xml:space="preserve">Банковский вестник</x:t>
  </x:si>
  <x:si>
    <x:t xml:space="preserve">10 (735)</x:t>
  </x:si>
  <x:si>
    <x:t xml:space="preserve">20–29</x:t>
  </x:si>
  <x:si>
    <x:t xml:space="preserve">MHYMSN</x:t>
  </x:si>
  <x:si>
    <x:t xml:space="preserve">R079</x:t>
  </x:si>
  <x:si>
    <x:t xml:space="preserve">Ананичева Е.П., Дронина Д.А. Особенности вовлечения земельных участков в комплексное развитие территории города Москвы // Московский экономический журнал. 2025. Т. 10. № 4. С. 185-196. https://doi.org/10.55186/2413046X_2025_10_4_103 EDN: AOQSHK</x:t>
  </x:si>
  <x:si>
    <x:t xml:space="preserve">Ананичева Е. П., Дронина Д. А. Особенности вовлечения земельных участков в комплексное развитие территории города Москвы // Московский экономический журнал. — 2025. — Т. 10. — № 4. — С. 185–196. — URL: https://ecience.ru/en/nauka/publications/article/6a9c15cc32807fdbab86de14/the-specifics-of-involving-land-parcels-in-the-integrated-development-of-moscow-territories/view (дата обращения: 27.10.2026).</x:t>
  </x:si>
  <x:si>
    <x:t xml:space="preserve">Ананичева Е. П. | Дронина Д. А.</x:t>
  </x:si>
  <x:si>
    <x:t xml:space="preserve">Особенности вовлечения земельных участков в комплексное развитие территории города Москвы</x:t>
  </x:si>
  <x:si>
    <x:t xml:space="preserve">Московский экономический журнал</x:t>
  </x:si>
  <x:si>
    <x:t xml:space="preserve">185–196</x:t>
  </x:si>
  <x:si>
    <x:t xml:space="preserve">https://doi.org/10.55186/2413046X_2025_10_4_103</x:t>
  </x:si>
  <x:si>
    <x:t xml:space="preserve">https://journals.rudn.ru/economics/article/view/52556?setLocale=ru_RU#articleCitations</x:t>
  </x:si>
  <x:si>
    <x:t xml:space="preserve">10.55186/2413046X_2025_10_4_103</x:t>
  </x:si>
  <x:si>
    <x:t xml:space="preserve">Testing hypotheses of economic theories on the commercial real estate market in Moscow and the Moscow region</x:t>
  </x:si>
  <x:si>
    <x:t xml:space="preserve">AOQSHK</x:t>
  </x:si>
  <x:si>
    <x:t xml:space="preserve">https://journals.rudn.ru/economics/article/view/52556</x:t>
  </x:si>
  <x:si>
    <x:t xml:space="preserve">https://ecience.ru/en/nauka/publications/article/6a9c15cc32807fdbab86de14/the-specifics-of-involving-land-parcels-in-the-integrated-development-of-moscow-territories/view</x:t>
  </x:si>
  <x:si>
    <x:t xml:space="preserve">THE SPECIFICS OF INVOLVING LAND PARCELS IN THE INTEGRATED DEVELOPMENT OF MOSCOW TERRITORIES | MOSCOW ECONOMIC JOURNAL | THE SPECIFICS OF INVOLVING LAND PARCELS IN THE INTEGRATED DEVELOPMENT OF MOSCOW TERRITORIES | THE SPECIFICS OF INVOLVING LAND PARCELS IN THE INTEGRATED DEVELOPMENT OF MOSCOW TERRITORIES | THE SPECIFICS OF INVOLVING LAND PARCELS IN THE INTEGRATED DEVELOPMENT OF MOSCOW TERRITORIES | MOSCOW ECONOMIC JOURNAL</x:t>
  </x:si>
  <x:si>
    <x:t xml:space="preserve">HTTP 200; проверка объекта 27.10.2026; https://ecience.ru/en/nauka/publications/article/6a9c15cc32807fdbab86de14/the-specifics-of-involving-land-parcels-in-the-integrated-development-of-moscow-territories/view</x:t>
  </x:si>
  <x:si>
    <x:t xml:space="preserve">Проверка оформления Михаилом: достаточно данных — Да. Открылась страница статьи (заглавие на английском); DOI на странице совпал с DOI строки. Источник: Подтверждения_28_10_2026.html. Crossref (https://api.crossref.org/works/10.55186/2413046X_2025_10_4_103) указывает тот же домен как первичный ресурс; авторы, том 10, № 4, с. 185–196 совпадают. Исходный вариант Михаила до последующего переноса: Ананичева, Е. П. Особенности вовлечения земельных участков в комплексное развитие территории города Москвы / Е. П. Ананичева, Д. А. Дронина // Московский экономический журнал. — 2025. — Т. 10, № 4. — С. 185–196. — URL: https://ecience.ru/en/nauka/publications/article/6a9c15cc32807fdbab86de14/the-specifics-of-involving-land-parcels-in-the-integrated-development-of-moscow-territories/view (дата обращения: 27.10.2026).</x:t>
  </x:si>
  <x:si>
    <x:t xml:space="preserve">R080</x:t>
  </x:si>
  <x:si>
    <x:t xml:space="preserve">Вальрас Л. Элементы чистой политической экономии, или Теория общественного богатства. М. : Прогресс, 1994. 421 с.</x:t>
  </x:si>
  <x:si>
    <x:t xml:space="preserve">Вальрас Л. Элементы чистой политической экономии, или Теория общественного богатства. — Москва : Прогресс, 1994. — 421 с.</x:t>
  </x:si>
  <x:si>
    <x:t xml:space="preserve">Вальрас Л.</x:t>
  </x:si>
  <x:si>
    <x:t xml:space="preserve">Элементы чистой политической экономии, или Теория общественного богатства</x:t>
  </x:si>
  <x:si>
    <x:t xml:space="preserve">421</x:t>
  </x:si>
  <x:si>
    <x:t xml:space="preserve">Прогресс</x:t>
  </x:si>
  <x:si>
    <x:t xml:space="preserve">М.</x:t>
  </x:si>
  <x:si>
    <x:t xml:space="preserve">R081</x:t>
  </x:si>
  <x:si>
    <x:t xml:space="preserve">Горбунов В.К. К теории рыночного спроса: регулярность и экономическое равновесие // Экономическая наука современной России. 2013. № 4 (63). С. 19-36. EDN: RVFFVZ</x:t>
  </x:si>
  <x:si>
    <x:t xml:space="preserve">Горбунов В. К. К теории рыночного спроса : регулярность и экономическое равновесие // Экономическая наука современной России. — 2013. — № 4 (63). — С. 19–36.</x:t>
  </x:si>
  <x:si>
    <x:t xml:space="preserve">Горбунов В. К.</x:t>
  </x:si>
  <x:si>
    <x:t xml:space="preserve">К теории рыночного спроса: регулярность и экономическое равновесие</x:t>
  </x:si>
  <x:si>
    <x:t xml:space="preserve">Экономическая наука современной России</x:t>
  </x:si>
  <x:si>
    <x:t xml:space="preserve">4 (63)</x:t>
  </x:si>
  <x:si>
    <x:t xml:space="preserve">19–36</x:t>
  </x:si>
  <x:si>
    <x:t xml:space="preserve">RVFFVZ</x:t>
  </x:si>
  <x:si>
    <x:t xml:space="preserve">R082</x:t>
  </x:si>
  <x:si>
    <x:t xml:space="preserve">Ефимов В.В. Модели Шумпетера // Вестник Ульяновского государственного технического университета. 2011. № 4 (56). С. 75-77. EDN: QISVPL</x:t>
  </x:si>
  <x:si>
    <x:t xml:space="preserve">Ефимов В. В. Модели Шумпетера // Вестник Ульяновского государственного технического университета. — 2011. — № 4 (56). — С. 75–77.</x:t>
  </x:si>
  <x:si>
    <x:t xml:space="preserve">Ефимов В. В.</x:t>
  </x:si>
  <x:si>
    <x:t xml:space="preserve">Модели Шумпетера</x:t>
  </x:si>
  <x:si>
    <x:t xml:space="preserve">Вестник Ульяновского государственного технического университета</x:t>
  </x:si>
  <x:si>
    <x:t xml:space="preserve">4 (56)</x:t>
  </x:si>
  <x:si>
    <x:t xml:space="preserve">75–77</x:t>
  </x:si>
  <x:si>
    <x:t xml:space="preserve">QISVPL</x:t>
  </x:si>
  <x:si>
    <x:t xml:space="preserve">R083</x:t>
  </x:si>
  <x:si>
    <x:t xml:space="preserve">Матренинский С.И., Бахметьев К.А. Методологический подход и алгоритм выбора участков городской территории для планирования реновации расположенных на них жилых зданий // Строительство и недвижимость. 2025. № 1 (16). С. 6-12. EDN: OSCIKS</x:t>
  </x:si>
  <x:si>
    <x:t xml:space="preserve">Матренинский С. И., Бахметьев К. А. Методологический подход и алгоритм выбора участков городской территории для планирования реновации расположенных на них жилых зданий // Строительство и недвижимость. — 2025. — № 1 (16). — С. 6–12.</x:t>
  </x:si>
  <x:si>
    <x:t xml:space="preserve">Матренинский С. И. | Бахметьев К. А.</x:t>
  </x:si>
  <x:si>
    <x:t xml:space="preserve">Методологический подход и алгоритм выбора участков городской территории для планирования реновации расположенных на них жилых зданий</x:t>
  </x:si>
  <x:si>
    <x:t xml:space="preserve">Строительство и недвижимость</x:t>
  </x:si>
  <x:si>
    <x:t xml:space="preserve">1 (16)</x:t>
  </x:si>
  <x:si>
    <x:t xml:space="preserve">6–12</x:t>
  </x:si>
  <x:si>
    <x:t xml:space="preserve">OSCIKS</x:t>
  </x:si>
  <x:si>
    <x:t xml:space="preserve">R084</x:t>
  </x:si>
  <x:si>
    <x:t xml:space="preserve">Петрова П.М. Анализ стратегических тенденций факторов, влияющих на рынок недвижимости Москвы // Экономическое возрождение России. 2023. № 2 (76). С. 147-161. https://doi.org/10.37930/1990-9780-2023-2(76)-147-161 EDN: GJPNOU</x:t>
  </x:si>
  <x:si>
    <x:t xml:space="preserve">Петрова П. М. Анализ стратегических тенденций факторов, влияющих на рынок недвижимости Москвы // Экономическое возрождение России. — 2023. — № 2 (76). — С. 147–161. — URL: https://e-v-r.ru/wp-content/uploads/2023/05/%D0%9F.%D0%9C.-%D0%9F%D0%B5%D1%82%D1%80%D0%BE%D0%B2%D0%B0.pdf (дата обращения: 27.10.2026).</x:t>
  </x:si>
  <x:si>
    <x:t xml:space="preserve">Петрова П. М.</x:t>
  </x:si>
  <x:si>
    <x:t xml:space="preserve">Анализ стратегических тенденций факторов, влияющих на рынок недвижимости Москвы</x:t>
  </x:si>
  <x:si>
    <x:t xml:space="preserve">Экономическое возрождение России</x:t>
  </x:si>
  <x:si>
    <x:t xml:space="preserve">2 (76)</x:t>
  </x:si>
  <x:si>
    <x:t xml:space="preserve">147–161</x:t>
  </x:si>
  <x:si>
    <x:t xml:space="preserve">https://doi.org/10.37930/1990-9780-2023-2(76)-147-161</x:t>
  </x:si>
  <x:si>
    <x:t xml:space="preserve">10.37930/1990-9780-2023-2(76)-147-161</x:t>
  </x:si>
  <x:si>
    <x:t xml:space="preserve">GJPNOU</x:t>
  </x:si>
  <x:si>
    <x:t xml:space="preserve">https://e-v-r.ru/wp-content/uploads/2023/05/%D0%9F.%D0%9C.-%D0%9F%D0%B5%D1%82%D1%80%D0%BE%D0%B2%D0%B0.pdf</x:t>
  </x:si>
  <x:si>
    <x:t xml:space="preserve">147
Экономика предпринимательства и инновации
DOI: 10.37930/1990-9780-2023-2(76)-147-161
П. М. Петрова1
АНАЛИЗ СТРАТЕГИЧЕСКИХ ТЕНДЕНЦИЙ ФАКТОРОВ,  
ВЛИЯЮЩИХ НА РЫНОК НЕДВИЖИМОСТИ МОСКВЫ
Проведён стратегический анализ тенденций развития рынка недвижим</x:t>
  </x:si>
  <x:si>
    <x:t xml:space="preserve">HTTP 200; проверка объекта 27.10.2026; https://e-v-r.ru/wp-content/uploads/2023/05/%D0%9F.%D0%9C.-%D0%9F%D0%B5%D1%82%D1%80%D0%BE%D0%B2%D0%B0.pdf</x:t>
  </x:si>
  <x:si>
    <x:t xml:space="preserve">R085</x:t>
  </x:si>
  <x:si>
    <x:t xml:space="preserve">Ильинский В.С. Защита аппаратов от динамических воздействий. Москва : Энергия, 1970. 320 с.</x:t>
  </x:si>
  <x:si>
    <x:t xml:space="preserve">Ильинский В. С. Защита аппаратов от динамических воздействий. — Москва : Энергия, 1970. — 320 с.</x:t>
  </x:si>
  <x:si>
    <x:t xml:space="preserve">Ильинский В. С.</x:t>
  </x:si>
  <x:si>
    <x:t xml:space="preserve">Защита аппаратов от динамических воздействий</x:t>
  </x:si>
  <x:si>
    <x:t xml:space="preserve">320</x:t>
  </x:si>
  <x:si>
    <x:t xml:space="preserve">Энергия</x:t>
  </x:si>
  <x:si>
    <x:t xml:space="preserve">https://journals.rudn.ru/engineering-researches/article/view/43087?setLocale=ru_RU#articleCitations</x:t>
  </x:si>
  <x:si>
    <x:t xml:space="preserve">Possibilities of constructing design load diagrams of a helical cable shock damper when the direction of inertia forces changes</x:t>
  </x:si>
  <x:si>
    <x:t xml:space="preserve">https://journals.rudn.ru/engineering-researches/article/view/43087</x:t>
  </x:si>
  <x:si>
    <x:t xml:space="preserve">R086</x:t>
  </x:si>
  <x:si>
    <x:t xml:space="preserve">Солдатов А.С., Солдатов Е.С., Богомолов А.В. Технологическая платформа синтеза цифрового двойника летательного аппарата на основе технологий киберфизических систем // Управление развитием крупномасштабных систем (MLSD’2023) : труды Шестнадцатой международной конференции. Москва, 26–28 сентября 2023 года. 2023. С. 1092–1099. https://doi.org/10.25728/mlsd.2023.1092</x:t>
  </x:si>
  <x:si>
    <x:t xml:space="preserve">Солдатов А. С., Солдатов Е. С., Богомолов А. В. Технологическая платформа синтеза цифрового двойника летательного аппарата на основе технологий киберфизических систем // Управление развитием крупномасштабных систем (MLSD’. — 2023. — С. 1092–1099. — URL: http://search.rads-doi.org/project/13583/object/200657 (дата обращения: 27.10.2026).</x:t>
  </x:si>
  <x:si>
    <x:t xml:space="preserve">Солдатов А. С. | Солдатов Е. С. | Богомолов А. В.</x:t>
  </x:si>
  <x:si>
    <x:t xml:space="preserve">Технологическая платформа синтеза цифрового двойника летательного аппарата на основе технологий киберфизических систем</x:t>
  </x:si>
  <x:si>
    <x:t xml:space="preserve">Управление развитием крупномасштабных систем (MLSD’</x:t>
  </x:si>
  <x:si>
    <x:t xml:space="preserve">1092–1099</x:t>
  </x:si>
  <x:si>
    <x:t xml:space="preserve">https://doi.org/10.25728/mlsd.2023.1092</x:t>
  </x:si>
  <x:si>
    <x:t xml:space="preserve">https://journals.rudn.ru/engineering-researches/article/view/43088?setLocale=ru_RU#articleCitations</x:t>
  </x:si>
  <x:si>
    <x:t xml:space="preserve">10.25728/mlsd.2023.1092</x:t>
  </x:si>
  <x:si>
    <x:t xml:space="preserve">Methods of a Priori Statistical Analysis of Disturbed Motion of Aircraft in Turbulent Environments</x:t>
  </x:si>
  <x:si>
    <x:t xml:space="preserve">https://journals.rudn.ru/engineering-researches/article/view/43088</x:t>
  </x:si>
  <x:si>
    <x:t xml:space="preserve">http://search.rads-doi.org/project/13583/object/200657</x:t>
  </x:si>
  <x:si>
    <x:t xml:space="preserve">ТЕХНОЛОГИЧЕСКАЯ ПЛАТФОРМА СИНТЕЗА ЦИФРОВОГО ДВОЙНИКА ЛЕТАТЕЛЬНОГО АППАРАТА НА ОСНОВЕ ТЕХНОЛОГИЙ КИБЕРФИЗИЧЕСКИХ СИСТЕМ | ТЕХНОЛОГИЧЕСКАЯ ПЛАТФОРМА СИНТЕЗА ЦИФРОВОГО ДВОЙНИКА ЛЕТАТЕЛЬНОГО АППАРАТА НА ОСНОВЕ ТЕХНОЛОГИЙ КИБЕРФИЗИЧЕСКИХ СИСТЕМ | ТЕХНОЛОГИЧЕСКАЯ ПЛАТФОРМА СИНТЕЗА ЦИФРОВОГО ДВОЙНИКА ЛЕТАТЕЛЬНОГО АППАРАТА НА ОСНОВЕ ТЕХНОЛОГИЙ КИБЕРФИЗИЧЕСКИХ СИСТЕМ - Солдатов, А.С., Солдатов, Е.С., Богомолов, А.В.</x:t>
  </x:si>
  <x:si>
    <x:t xml:space="preserve">HTTP 200; проверка объекта 27.10.2026; http://search.rads-doi.org/project/13583/object/200657</x:t>
  </x:si>
  <x:si>
    <x:t xml:space="preserve">R087</x:t>
  </x:si>
  <x:si>
    <x:t xml:space="preserve">Кашеварова Г.Г., Дроздов К.Д. Экспертные системы на базе нечеткой логики в строительстве // Современные технологии в строительстве. Теория и практика. 2019. Т. 1. С. 268-273. EDN: VOISNR</x:t>
  </x:si>
  <x:si>
    <x:t xml:space="preserve">Кашеварова Г. Г., Дроздов К. Д. Экспертные системы на базе нечеткой логики в строительстве // Современные технологии в строительстве. Теория и практика. — 2019. — Т. 1. — С. 268–273.</x:t>
  </x:si>
  <x:si>
    <x:t xml:space="preserve">Кашеварова Г. Г. | Дроздов К. Д.</x:t>
  </x:si>
  <x:si>
    <x:t xml:space="preserve">Экспертные системы на базе нечеткой логики в строительстве</x:t>
  </x:si>
  <x:si>
    <x:t xml:space="preserve">Современные технологии в строительстве. Теория и практика</x:t>
  </x:si>
  <x:si>
    <x:t xml:space="preserve">268–273</x:t>
  </x:si>
  <x:si>
    <x:t xml:space="preserve">https://journals.rudn.ru/engineering-researches/article/view/43089?setLocale=ru_RU#articleCitations</x:t>
  </x:si>
  <x:si>
    <x:t xml:space="preserve">Expert Decision Support System in the Field of Construction</x:t>
  </x:si>
  <x:si>
    <x:t xml:space="preserve">VOISNR</x:t>
  </x:si>
  <x:si>
    <x:t xml:space="preserve">https://journals.rudn.ru/engineering-researches/article/view/43089</x:t>
  </x:si>
  <x:si>
    <x:t xml:space="preserve">R088</x:t>
  </x:si>
  <x:si>
    <x:t xml:space="preserve">Савченко Д.В., Резникова К.М., Смышляева А.А. Нечеткая логика и нечеткие информационные технологии // Отходы и ресурсы. 2021. Т. 8. № 1. С. 10. http://doi.org/10.15862/10ECOR121</x:t>
  </x:si>
  <x:si>
    <x:t xml:space="preserve">Савченко Д. В., Резникова К. М., Смышляева А. А. Нечеткая логика и нечеткие информационные технологии // Отходы и ресурсы. — 2021. — Т. 8. — № 1. — С. 10. — URL: https://resources.today/en/10ECOR121.html (дата обращения: 27.10.2026).</x:t>
  </x:si>
  <x:si>
    <x:t xml:space="preserve">Савченко Д. В. | Резникова К. М. | Смышляева А. А.</x:t>
  </x:si>
  <x:si>
    <x:t xml:space="preserve">Нечеткая логика и нечеткие информационные технологии</x:t>
  </x:si>
  <x:si>
    <x:t xml:space="preserve">Отходы и ресурсы</x:t>
  </x:si>
  <x:si>
    <x:t xml:space="preserve">http://doi.org/10.15862/10ECOR121</x:t>
  </x:si>
  <x:si>
    <x:t xml:space="preserve">10.15862/10ECOR121</x:t>
  </x:si>
  <x:si>
    <x:t xml:space="preserve">https://resources.today/en/10ECOR121.html</x:t>
  </x:si>
  <x:si>
    <x:t xml:space="preserve">Fuzzy logic and fuzzy information technology</x:t>
  </x:si>
  <x:si>
    <x:t xml:space="preserve">HTTP 200; проверка объекта 27.10.2026; https://resources.today/en/10ECOR121.html</x:t>
  </x:si>
  <x:si>
    <x:t xml:space="preserve">R089</x:t>
  </x:si>
  <x:si>
    <x:t xml:space="preserve">Долгов Е.Н. Искусственный интеллект для управления летательными аппаратами // Молодой ученый. 2021. № 16 (358). С. 81-86. EDN: DDXGPE</x:t>
  </x:si>
  <x:si>
    <x:t xml:space="preserve">Долгов Е. Н. Искусственный интеллект для управления летательными аппаратами // Молодой ученый. — 2021. — № 16 (358). — С. 81–86.</x:t>
  </x:si>
  <x:si>
    <x:t xml:space="preserve">Долгов Е. Н.</x:t>
  </x:si>
  <x:si>
    <x:t xml:space="preserve">Искусственный интеллект для управления летательными аппаратами</x:t>
  </x:si>
  <x:si>
    <x:t xml:space="preserve">Молодой ученый</x:t>
  </x:si>
  <x:si>
    <x:t xml:space="preserve">16 (358)</x:t>
  </x:si>
  <x:si>
    <x:t xml:space="preserve">81–86</x:t>
  </x:si>
  <x:si>
    <x:t xml:space="preserve">https://journals.rudn.ru/engineering-researches/article/view/43094?setLocale=ru_RU#articleCitations</x:t>
  </x:si>
  <x:si>
    <x:t xml:space="preserve">Automated Landing of an Unmanned Aerial Vehicleon a Mobile Platform Using Neural Networks</x:t>
  </x:si>
  <x:si>
    <x:t xml:space="preserve">DDXGPE</x:t>
  </x:si>
  <x:si>
    <x:t xml:space="preserve">https://journals.rudn.ru/engineering-researches/article/view/43094</x:t>
  </x:si>
  <x:si>
    <x:t xml:space="preserve">Проверка оформления Михаилом: достаточно данных — Да. Исходный вариант Михаила до последующего переноса: Долгов, Е. Н. Искусственный интеллект для управления летательными аппаратами // Молодой ученый. — 2021. — № 16 (358). — С. 81–86.</x:t>
  </x:si>
  <x:si>
    <x:t xml:space="preserve">R090</x:t>
  </x:si>
  <x:si>
    <x:t xml:space="preserve">Гафаров Ф.М., Галимянов А.Ф. Искусственные нейронные сети и приложения : учебное пособие. Казань : КФУ, 2018. 320 с.</x:t>
  </x:si>
  <x:si>
    <x:t xml:space="preserve">Гафаров Ф. М., Галимянов А. Ф. Искусственные нейронные сети и приложения : учебное пособие. — Казань : КФУ, 2018. — 320 с.</x:t>
  </x:si>
  <x:si>
    <x:t xml:space="preserve">Гафаров Ф. М. | Галимянов А. Ф.</x:t>
  </x:si>
  <x:si>
    <x:t xml:space="preserve">Искусственные нейронные сети и приложения : учебное пособие</x:t>
  </x:si>
  <x:si>
    <x:t xml:space="preserve">КФУ</x:t>
  </x:si>
  <x:si>
    <x:t xml:space="preserve">Казань</x:t>
  </x:si>
  <x:si>
    <x:t xml:space="preserve">R091</x:t>
  </x:si>
  <x:si>
    <x:t xml:space="preserve">Гагарский С.В., Суслов В.А. Система посадки вертолета на палубу. Санкт-Петербург : Автономные системы, 2022. 95 с.</x:t>
  </x:si>
  <x:si>
    <x:t xml:space="preserve">Гагарский С. В., Суслов В. А. Система посадки вертолета на палубу. — Санкт-Петербург : Автономные системы, 2022. — 95 с.</x:t>
  </x:si>
  <x:si>
    <x:t xml:space="preserve">Гагарский С. В. | Суслов В. А.</x:t>
  </x:si>
  <x:si>
    <x:t xml:space="preserve">Система посадки вертолета на палубу</x:t>
  </x:si>
  <x:si>
    <x:t xml:space="preserve">95</x:t>
  </x:si>
  <x:si>
    <x:t xml:space="preserve">Автономные системы</x:t>
  </x:si>
  <x:si>
    <x:t xml:space="preserve">R092</x:t>
  </x:si>
  <x:si>
    <x:t xml:space="preserve">Казаков Л.Н., Кубышкин Е.П., Палей Д.Э. Построение оптимальной схемы информационного обмена системы адаптивного управления движением группы беспилотных летательных аппаратов // Моделирование и анализ информационных систем. 2023. Т. 30. № 1. С. 16–26. https://doi.org/10.18255/1818-1015-2023-1-16-26 EDN: TOCUAE</x:t>
  </x:si>
  <x:si>
    <x:t xml:space="preserve">Казаков Л. Н., Кубышкин Е. П., Палей Д. Э. Построение оптимальной схемы информационного обмена системы адаптивного управления движением группы беспилотных летательных аппаратов // Моделирование и анализ информационных систем. — 2023. — Т. 30. — № 1. — С. 16–26. — URL: https://www.mais-journal.ru/jour/article/view/1764 (дата обращения: 27.10.2026).</x:t>
  </x:si>
  <x:si>
    <x:t xml:space="preserve">Казаков Л. Н. | Кубышкин Е. П. | Палей Д. Э.</x:t>
  </x:si>
  <x:si>
    <x:t xml:space="preserve">Построение оптимальной схемы информационного обмена системы адаптивного управления движением группы беспилотных летательных аппаратов</x:t>
  </x:si>
  <x:si>
    <x:t xml:space="preserve">Моделирование и анализ информационных систем</x:t>
  </x:si>
  <x:si>
    <x:t xml:space="preserve">16–26</x:t>
  </x:si>
  <x:si>
    <x:t xml:space="preserve">https://doi.org/10.18255/1818-1015-2023-1-16-26</x:t>
  </x:si>
  <x:si>
    <x:t xml:space="preserve">https://journals.rudn.ru/engineering-researches/article/view/44847?setLocale=ru_RU#articleCitations</x:t>
  </x:si>
  <x:si>
    <x:t xml:space="preserve">10.18255/1818-1015-2023-1-16-26</x:t>
  </x:si>
  <x:si>
    <x:t xml:space="preserve">Application of Machine Learning for Adaptive Trajectory Control of UAVs Under Uncertainty</x:t>
  </x:si>
  <x:si>
    <x:t xml:space="preserve">TOCUAE</x:t>
  </x:si>
  <x:si>
    <x:t xml:space="preserve">https://journals.rudn.ru/engineering-researches/article/view/44847</x:t>
  </x:si>
  <x:si>
    <x:t xml:space="preserve">https://www.mais-journal.ru/jour/article/view/1764</x:t>
  </x:si>
  <x:si>
    <x:t xml:space="preserve">Построение оптимальной схемы информационного обмена системы адаптивного управления движением группы беспилотных летательных аппаратов | Казаков | Моделирование и анализ информационных систем | Построение оптимальной схемы информационного обмена системы адаптивного управления движением группы беспилотных летательных аппаратов | Construction of an Adaptive Motion Control System Optimal Information Exchange Scheme for a Group of Unmanned Aerial Vehicles | Построение оптимальной схемы информационного обмена системы адаптивного управления движением группы беспилотных летательных аппаратов | Построение оптимальной схемы информационного обмена системы адаптивного управления движением группы беспило</x:t>
  </x:si>
  <x:si>
    <x:t xml:space="preserve">HTTP 200; проверка объекта 27.10.2026; https://www.mais-journal.ru/jour/article/view/1764</x:t>
  </x:si>
  <x:si>
    <x:t xml:space="preserve">R093</x:t>
  </x:si>
  <x:si>
    <x:t xml:space="preserve">Малыгин Д.С. Микросервисная архитектура в облачных системах: риски и возможности применения в 2024–2030 гг. // Моделирование, оптимизация и информационные технологии. 2024. Т. 12. № 2. С. 29. https://doi.org/10.26102/2310-6018/2024.45.2.029 EDN: JGOZIT</x:t>
  </x:si>
  <x:si>
    <x:t xml:space="preserve">Малыгин Д. С. Микросервисная архитектура в облачных системах : риски и возможности применения в 2024–2030 гг // Моделирование, оптимизация и информационные технологии. — 2024. — Т. 12. — № 2. — С. 29. — URL: https://moitvivt.ru/ru/journal/pdf?id=1561 (дата обращения: 27.10.2026).</x:t>
  </x:si>
  <x:si>
    <x:t xml:space="preserve">Малыгин Д. С.</x:t>
  </x:si>
  <x:si>
    <x:t xml:space="preserve">Микросервисная архитектура в облачных системах: риски и возможности применения в 2024–2030 гг</x:t>
  </x:si>
  <x:si>
    <x:t xml:space="preserve">Моделирование, оптимизация и информационные технологии</x:t>
  </x:si>
  <x:si>
    <x:t xml:space="preserve">29</x:t>
  </x:si>
  <x:si>
    <x:t xml:space="preserve">https://doi.org/10.26102/2310-6018/2024.45.2.029</x:t>
  </x:si>
  <x:si>
    <x:t xml:space="preserve">10.26102/2310-6018/2024.45.2.029</x:t>
  </x:si>
  <x:si>
    <x:t xml:space="preserve">JGOZIT</x:t>
  </x:si>
  <x:si>
    <x:t xml:space="preserve">https://moitvivt.ru/ru/journal/pdf?id=1561</x:t>
  </x:si>
  <x:si>
    <x:t xml:space="preserve">Моделирование, оптимизация и информационные технологии /  
Modeling, optimization and information technology  
2024;12(2) 
https://moitvivt.ru 
© Малыгин Д.С., 2024 1 | 11 
УДК 004.273 
DOI: 10.26102/2310-6018/2024.45.2.029 
Микросервисная архите</x:t>
  </x:si>
  <x:si>
    <x:t xml:space="preserve">HTTP 200; проверка объекта 27.10.2026; https://moitvivt.ru/ru/journal/pdf?id=1561</x:t>
  </x:si>
  <x:si>
    <x:t xml:space="preserve">R094</x:t>
  </x:si>
  <x:si>
    <x:t xml:space="preserve">Лежанкин Б.В., Ерохин В.В., Малисов Н.П. Управ-ление траекторией полета беспилотного летательного аппарата при различной конфигурации источников навигационной информации // Crede Experto: транспорт, общество, образование, язык. 2024. № 1. С. 113–127. https://doi.org/10.51955/2312-1327_2024_1_113 EDN: NSRDTA</x:t>
  </x:si>
  <x:si>
    <x:t xml:space="preserve">Лежанкин Б. В., Ерохин В. В., Малисов Н. П. Управ-ление траекторией полета беспилотного летательного аппарата при различной конфигурации источников навигационной информации // Crede Experto: транспорт, общество, образование, язык. — 2024. — № 1. — С. 113–127. — URL: https://ce.if-mstuca.ru/jour/article/view/93 (дата обращения: 27.10.2026).</x:t>
  </x:si>
  <x:si>
    <x:t xml:space="preserve">Лежанкин Б. В. | Ерохин В. В. | Малисов Н. П.</x:t>
  </x:si>
  <x:si>
    <x:t xml:space="preserve">Управ-ление траекторией полета беспилотного летательного аппарата при различной конфигурации источников навигационной информации</x:t>
  </x:si>
  <x:si>
    <x:t xml:space="preserve">Crede Experto: транспорт, общество, образование, язык</x:t>
  </x:si>
  <x:si>
    <x:t xml:space="preserve">113–127</x:t>
  </x:si>
  <x:si>
    <x:t xml:space="preserve">https://doi.org/10.51955/2312-1327_2024_1_113</x:t>
  </x:si>
  <x:si>
    <x:t xml:space="preserve">10.51955/2312-1327_2024_1_113</x:t>
  </x:si>
  <x:si>
    <x:t xml:space="preserve">NSRDTA</x:t>
  </x:si>
  <x:si>
    <x:t xml:space="preserve">https://ce.if-mstuca.ru/jour/article/view/93</x:t>
  </x:si>
  <x:si>
    <x:t xml:space="preserve">Управление траекторией полета беспилотного летательного аппарата при различной конфигурации источников навигационной информации | Лежанкин | Crede Experto: транспорт, общество, образование, язык | Управление траекторией полета беспилотного летательного аппарата при различной конфигурации источников навигационной информации | Control of the Flight Path of an Unmanned Aerial Vehicle with Different Configurations of Navigation Information Sources | Управление траекторией полета беспилотного летательного аппарата при различной конфигурации источников навигационной информации | Управление траекторией полета беспилотного летательного аппарата при различной конфигурации источников навигационной инф</x:t>
  </x:si>
  <x:si>
    <x:t xml:space="preserve">HTTP 200; проверка объекта 27.10.2026; https://ce.if-mstuca.ru/jour/article/view/93</x:t>
  </x:si>
  <x:si>
    <x:t xml:space="preserve">R095</x:t>
  </x:si>
  <x:si>
    <x:t xml:space="preserve">Вирсански Э. Генетические алгоритмы на Python. Москва : ДМК Пресс, 2020. 286 с. URL: https://e.lanbook.com/book/179496 (дата обращения: 12.09.2024).</x:t>
  </x:si>
  <x:si>
    <x:t xml:space="preserve">Вирсански Э. Генетические алгоритмы на Python. — Москва : ДМК Пресс, 2020. — 286 с.</x:t>
  </x:si>
  <x:si>
    <x:t xml:space="preserve">Вирсански Э.</x:t>
  </x:si>
  <x:si>
    <x:t xml:space="preserve">Генетические алгоритмы на Python</x:t>
  </x:si>
  <x:si>
    <x:t xml:space="preserve">286</x:t>
  </x:si>
  <x:si>
    <x:t xml:space="preserve">ДМК Пресс</x:t>
  </x:si>
  <x:si>
    <x:t xml:space="preserve">https://e.lanbook.com/book/179496</x:t>
  </x:si>
  <x:si>
    <x:t xml:space="preserve">https://journals.rudn.ru/engineering-researches/article/view/44850?setLocale=ru_RU#articleCitations</x:t>
  </x:si>
  <x:si>
    <x:t xml:space="preserve">Sistemnyy podkhod k postroeniyu ontologii dlya avtomatizatsii sostavleniya raspisaniya mnogourovnevogo vuza</x:t>
  </x:si>
  <x:si>
    <x:t xml:space="preserve">https://journals.rudn.ru/engineering-researches/article/view/44850</x:t>
  </x:si>
  <x:si>
    <x:t xml:space="preserve">R096</x:t>
  </x:si>
  <x:si>
    <x:t xml:space="preserve">Лапшин В.А. Онтологии в компьютерных системах. Москва : Научный мир, 2010. 222 с. ISBN 978-5-91522-193-1 EDN: QMVAGJ</x:t>
  </x:si>
  <x:si>
    <x:t xml:space="preserve">Лапшин В. А. Онтологии в компьютерных системах. — Москва : Научный мир, 2010. — 222 с.</x:t>
  </x:si>
  <x:si>
    <x:t xml:space="preserve">Лапшин В. А.</x:t>
  </x:si>
  <x:si>
    <x:t xml:space="preserve">Онтологии в компьютерных системах</x:t>
  </x:si>
  <x:si>
    <x:t xml:space="preserve">222</x:t>
  </x:si>
  <x:si>
    <x:t xml:space="preserve">Научный мир</x:t>
  </x:si>
  <x:si>
    <x:t xml:space="preserve">978-5-91522-193-1</x:t>
  </x:si>
  <x:si>
    <x:t xml:space="preserve">QMVAGJ</x:t>
  </x:si>
  <x:si>
    <x:t xml:space="preserve">R097</x:t>
  </x:si>
  <x:si>
    <x:t xml:space="preserve">Бубарева О.А., Попов Ф.А. Использование генетического алгоритма в контексте решения задачи нахождения семантической близости элементов неоднородных онтологий // Ползуновский вестник. 2013. № 2. С. 29–32. EDN: RBPXNF</x:t>
  </x:si>
  <x:si>
    <x:t xml:space="preserve">Бубарева О. А., Попов Ф. А. Использование генетического алгоритма в контексте решения задачи нахождения семантической близости элементов неоднородных онтологий // Ползуновский вестник. — 2013. — № 2. — С. 29–32.</x:t>
  </x:si>
  <x:si>
    <x:t xml:space="preserve">Бубарева О. А. | Попов Ф. А.</x:t>
  </x:si>
  <x:si>
    <x:t xml:space="preserve">Использование генетического алгоритма в контексте решения задачи нахождения семантической близости элементов неоднородных онтологий</x:t>
  </x:si>
  <x:si>
    <x:t xml:space="preserve">Ползуновский вестник</x:t>
  </x:si>
  <x:si>
    <x:t xml:space="preserve">29–32</x:t>
  </x:si>
  <x:si>
    <x:t xml:space="preserve">RBPXNF</x:t>
  </x:si>
  <x:si>
    <x:t xml:space="preserve">Проверка оформления Михаилом: достаточно данных — Да. Исходный вариант Михаила до последующего переноса: Бубарева, О. А. Использование генетического алгоритма в контексте решения задачи нахождения семантической близости элементов неоднородных онтологий / О. А. Бубарева, Ф. А. Попов // Ползуновский вестник. — 2013. — № 2. — С. 29–32.</x:t>
  </x:si>
  <x:si>
    <x:t xml:space="preserve">R098</x:t>
  </x:si>
  <x:si>
    <x:t xml:space="preserve">Артемова И.В. Учредитель и наблюдательный совет // Советник бухгалтера бюджетной сферы. 2012. № 8. С. 34-48. EDN: RIOATV</x:t>
  </x:si>
  <x:si>
    <x:t xml:space="preserve">Артемова И. В. Учредитель и наблюдательный совет // Советник бухгалтера бюджетной сферы. — 2012. — № 8. — С. 34–48.</x:t>
  </x:si>
  <x:si>
    <x:t xml:space="preserve">Артемова И. В.</x:t>
  </x:si>
  <x:si>
    <x:t xml:space="preserve">Учредитель и наблюдательный совет</x:t>
  </x:si>
  <x:si>
    <x:t xml:space="preserve">Советник бухгалтера бюджетной сферы</x:t>
  </x:si>
  <x:si>
    <x:t xml:space="preserve">34–48</x:t>
  </x:si>
  <x:si>
    <x:t xml:space="preserve">https://journals.rudn.ru/engineering-researches/article/view/44852?setLocale=ru_RU#articleCitations</x:t>
  </x:si>
  <x:si>
    <x:t xml:space="preserve">Development of an Algorithm for Searching Candidates to Form the Initial Project Team</x:t>
  </x:si>
  <x:si>
    <x:t xml:space="preserve">RIOATV</x:t>
  </x:si>
  <x:si>
    <x:t xml:space="preserve">https://journals.rudn.ru/engineering-researches/article/view/44852</x:t>
  </x:si>
  <x:si>
    <x:t xml:space="preserve">Проверка оформления Михаилом: достаточно данных — Да. Исходный вариант Михаила до последующего переноса: Артемова, И. В. Учредитель и наблюдательный совет // Советник бухгалтера бюджетной сферы. — 2012. — № 8. — С. 34–48.</x:t>
  </x:si>
  <x:si>
    <x:t xml:space="preserve">R099</x:t>
  </x:si>
  <x:si>
    <x:t xml:space="preserve">Борискевич А.И., Карпенко Е.М. Методы оценки лояльности персонала // Беларусь - 2030: государство, бизнес, наука, образование : материалы VI Международной научной конференции. Минск : Белорусский государственный университет, 2019. С. 292-294. EDN: QORSVY</x:t>
  </x:si>
  <x:si>
    <x:t xml:space="preserve">Борискевич А. И., Карпенко Е. М. Методы оценки лояльности персонала // Беларусь. — 2030. — С. 292–294.</x:t>
  </x:si>
  <x:si>
    <x:t xml:space="preserve">Борискевич А. И. | Карпенко Е. М.</x:t>
  </x:si>
  <x:si>
    <x:t xml:space="preserve">Методы оценки лояльности персонала</x:t>
  </x:si>
  <x:si>
    <x:t xml:space="preserve">Беларусь</x:t>
  </x:si>
  <x:si>
    <x:t xml:space="preserve">292–294</x:t>
  </x:si>
  <x:si>
    <x:t xml:space="preserve">QORSVY</x:t>
  </x:si>
  <x:si>
    <x:t xml:space="preserve">R100</x:t>
  </x:si>
  <x:si>
    <x:t xml:space="preserve">Рулов Ю.П. Управление космическим аппаратом, входящим в спутниковую систему при помощи электроракетных двигателей // Космические системы. 1985. № 23 (5). С. 691–700.</x:t>
  </x:si>
  <x:si>
    <x:t xml:space="preserve">Рулов Ю. П. Управление космическим аппаратом, входящим в спутниковую систему при помощи электроракетных двигателей // Космические системы. — 1985. — № 23 (5). — С. 691–700.</x:t>
  </x:si>
  <x:si>
    <x:t xml:space="preserve">Рулов Ю. П.</x:t>
  </x:si>
  <x:si>
    <x:t xml:space="preserve">Управление космическим аппаратом, входящим в спутниковую систему при помощи электроракетных двигателей</x:t>
  </x:si>
  <x:si>
    <x:t xml:space="preserve">Космические системы</x:t>
  </x:si>
  <x:si>
    <x:t xml:space="preserve">23 (5)</x:t>
  </x:si>
  <x:si>
    <x:t xml:space="preserve">691–700</x:t>
  </x:si>
  <x:si>
    <x:t xml:space="preserve">https://journals.rudn.ru/engineering-researches/article/view/45007?setLocale=ru_RU#articleCitations</x:t>
  </x:si>
  <x:si>
    <x:t xml:space="preserve">Modified Algorithm for Calculating the Parameters of Maneuvers of Coplanar Meeting of Spacecraft in a Near-Circular Orbit Using Low-Thrust Engines</x:t>
  </x:si>
  <x:si>
    <x:t xml:space="preserve">https://journals.rudn.ru/engineering-researches/article/view/45007</x:t>
  </x:si>
  <x:si>
    <x:t xml:space="preserve">R101</x:t>
  </x:si>
  <x:si>
    <x:t xml:space="preserve">Яценко М.Ю., Воронцов В.А., Рыжков В.В. Системотехническое исследование мультироторного ле-тательного аппарата как перспективного технического средства изучения атмосферы и поверхности планеты Венера // Космические аппараты и технологии. 2023. Т. 7, № 3 (45). С. 220-226. https://doi.org/10.26732/j.st.2023.3.06 EDN: UNAKMH</x:t>
  </x:si>
  <x:si>
    <x:t xml:space="preserve">Яценко М. Ю., Воронцов В. А., Рыжков В. В. Системотехническое исследование мультироторного ле-тательного аппарата как перспективного технического средства изучения атмосферы и поверхности планеты Венера // Космические аппараты и технологии. — 2023. — Т. 7. — № 3 (45). — С. 220–226.</x:t>
  </x:si>
  <x:si>
    <x:t xml:space="preserve">Яценко М. Ю. | Воронцов В. А. | Рыжков В. В.</x:t>
  </x:si>
  <x:si>
    <x:t xml:space="preserve">Системотехническое исследование мультироторного ле-тательного аппарата как перспективного технического средства изучения атмосферы и поверхности планеты Венера</x:t>
  </x:si>
  <x:si>
    <x:t xml:space="preserve">Космические аппараты и технологии</x:t>
  </x:si>
  <x:si>
    <x:t xml:space="preserve">7</x:t>
  </x:si>
  <x:si>
    <x:t xml:space="preserve">3 (45)</x:t>
  </x:si>
  <x:si>
    <x:t xml:space="preserve">220–226</x:t>
  </x:si>
  <x:si>
    <x:t xml:space="preserve">https://doi.org/10.26732/j.st.2023.3.06</x:t>
  </x:si>
  <x:si>
    <x:t xml:space="preserve">https://journals.rudn.ru/engineering-researches/article/view/45009?setLocale=ru_RU#articleCitations</x:t>
  </x:si>
  <x:si>
    <x:t xml:space="preserve">10.26732/j.st.2023.3.06</x:t>
  </x:si>
  <x:si>
    <x:t xml:space="preserve">Angular Stabilization of a Multirotor Aircraft in Venus’ Atmosphere</x:t>
  </x:si>
  <x:si>
    <x:t xml:space="preserve">UNAKMH</x:t>
  </x:si>
  <x:si>
    <x:t xml:space="preserve">https://journals.rudn.ru/engineering-researches/article/view/45009</x:t>
  </x:si>
  <x:si>
    <x:t xml:space="preserve">R102</x:t>
  </x:si>
  <x:si>
    <x:t xml:space="preserve">Денисенко В.В. ПИД-регуляторы: принципы построения и модификации // Системы и средства автоматизации. 2006. № 4. С. 66-74. URL: https://www.cta.ru/cms/f/342946.pdf (дата обращения: 12.11.2024)</x:t>
  </x:si>
  <x:si>
    <x:t xml:space="preserve">Денисенко В. В. ПИД-регуляторы : принципы построения и модификации // Системы и средства автоматизации. — 2006. — № 4. — С. 66–74. — URL: https://www.cta.ru/cms/f/342946.pdf (дата обращения: 27.10.2026).</x:t>
  </x:si>
  <x:si>
    <x:t xml:space="preserve">Денисенко В. В.</x:t>
  </x:si>
  <x:si>
    <x:t xml:space="preserve">ПИД-регуляторы: принципы построения и модификации</x:t>
  </x:si>
  <x:si>
    <x:t xml:space="preserve">Системы и средства автоматизации</x:t>
  </x:si>
  <x:si>
    <x:t xml:space="preserve">66–74</x:t>
  </x:si>
  <x:si>
    <x:t xml:space="preserve">https://www.cta.ru/cms/f/342946.pdf</x:t>
  </x:si>
  <x:si>
    <x:t xml:space="preserve">66
СТА 4/2006www.cta.ru
Ч АСТЬ 1
В ВЕДЕНИЕ
ПИДжрегулятор был изобретён ещё в
1910 году [1]. Через 32 года, в 1942 году ,
Зиглер и Никольс разработали методиж
ку его настройки [2]. После появления
микропроцессоров в 1980жх годах разж
витие ПИДжрегулят</x:t>
  </x:si>
  <x:si>
    <x:t xml:space="preserve">HTTP 200; проверка объекта 27.10.2026; https://www.cta.ru/cms/f/342946.pdf</x:t>
  </x:si>
  <x:si>
    <x:t xml:space="preserve">R103</x:t>
  </x:si>
  <x:si>
    <x:t xml:space="preserve">Лю Ф. Сравнительный анализ методов настройки ПИД-регуляторов // Научные исследования. 2023. С. 23-26. URL: http://earchive.tpu.ru/handle/11683/51524 (дата обращения: 12.11.2024)</x:t>
  </x:si>
  <x:si>
    <x:t xml:space="preserve">Лю Ф. Сравнительный анализ методов настройки ПИД-регуляторов // Научные исследования. — 2023. — С. 23–26.</x:t>
  </x:si>
  <x:si>
    <x:t xml:space="preserve">Неопределено</x:t>
  </x:si>
  <x:si>
    <x:t xml:space="preserve">Лю Ф.</x:t>
  </x:si>
  <x:si>
    <x:t xml:space="preserve">Сравнительный анализ методов настройки ПИД-регуляторов</x:t>
  </x:si>
  <x:si>
    <x:t xml:space="preserve">Научные исследования</x:t>
  </x:si>
  <x:si>
    <x:t xml:space="preserve">23–26</x:t>
  </x:si>
  <x:si>
    <x:t xml:space="preserve">http://earchive.tpu.ru/handle/11683/51524</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</x:si>
  <x:si>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
Человеческая проверка: Михаил Саяпин, 28.10.2026. Неоднозначные поля: Вид документа. Согласие до обсуждения по всей выборке: 855/880 = 97,16%; совместно пустые и неопределённые пары исключены. Первичный комментарий проверяющего: В издательском PDF выпуска просмотрены выходные данные (PDF с. 2), содержание (с. 3) и статья (PDF с. 24–27): совпали автор Лю Фан, заглавие и страницы 23–26; издание — «Научные исследования», 2018, № 4 (23), ISSN 2414-5912 (Print), 2541-7878 (Online); на титуле — «научно-практический журнал» и «сборник научных трудов по материалам XXVIII Международной конференции». Во входной строке год 2023, расхождение зафиксировано, год не изменён; вид документа оставлен «Неопределено» (журнал/сборник). Источник: https://scientificresearch.ru/images/PDF/2018/28/scientific-research-8-28.pdf ; handle ТПУ из строки при проверке отвечал HTTP 502. Согласованные решения от 28.10.2026: Вид документа: Неопределено. Согласен оставить вид неопределённым. Год 2023 сохраняется как исходный; расхождение с 2018 фиксируется в комментарии, достоверность года не подтверждается. Дополнительная правка оформления после сопоставления: в варианте Михаила пропущено содержащее издание. В итоговой колонке сохранено «// Научные исследования» из исходной строки и прежнего варианта; год 2023 не заменён внешним 2018. Вид документа остаётся неопределённым.</x:t>
  </x:si>
  <x:si>
    <x:t xml:space="preserve">Требует уточнения/подтверждения; нормативная библиотечная экспертиза не заявляется</x:t>
  </x:si>
  <x:si>
    <x:t xml:space="preserve">HTTP Error 502: Bad Gateway</x:t>
  </x:si>
  <x:si>
    <x:t xml:space="preserve">Проверка оформления Михаилом: достаточно данных — Да. Подтверждение 28.10.2026 (внешнее, значения строки не заменены): в издательском PDF выпуска просмотрены выходные данные (PDF с. 2), содержание (с. 3) и статья (PDF с. 24–27): совпали автор Лю Фан, заглавие и страницы 23–26; издание — «Научные исследования», 2018, № 4 (23), ISSN 2414-5912 (Print), 2541-7878 (Online); на титуле — «научно-практический журнал» и «сборник научных трудов по материалам XXVIII Международной конференции». Во входной строке год 2023, расхождение зафиксировано, год не изменён; вид документа оставлен «Неопределено» (журнал/сборник).  Исходный вариант Михаила до последующего переноса: Лю, Ф. Сравнительный анализ методов настройки ПИД-регуляторов. — 2023. — С. 23–26. Дополнительная правка оформления после сопоставления: в варианте Михаила пропущено содержащее издание. В итоговой колонке сохранено «// Научные исследования» из исходной строки и прежнего варианта; год 2023 не заменён внешним 2018. Вид документа остаётся неопределённым.</x:t>
  </x:si>
  <x:si>
    <x:t xml:space="preserve">R104</x:t>
  </x:si>
  <x:si>
    <x:t xml:space="preserve">Балакин В.Л., Крикунов М.М. Возмущенное движение гиперзвукового самолета при наборе высоты // Вестник Самарского университета. Аэрокосмическая техника, технологии и машиностроение. 2019. Т. 18. № 2. С. 7-20. https://doi.org/10.18287/2541-7533-2019-18-2-7-20 EDN: YOTZWJ</x:t>
  </x:si>
  <x:si>
    <x:t xml:space="preserve">Балакин В. Л., Крикунов М. М. Возмущенное движение гиперзвукового самолета при наборе высоты // Вестник Самарского университета. Аэрокосмическая техника, технологии и машиностроение. — 2019. — Т. 18. — № 2. — С. 7–20.</x:t>
  </x:si>
  <x:si>
    <x:t xml:space="preserve">Балакин В. Л. | Крикунов М. М.</x:t>
  </x:si>
  <x:si>
    <x:t xml:space="preserve">Возмущенное движение гиперзвукового самолета при наборе высоты</x:t>
  </x:si>
  <x:si>
    <x:t xml:space="preserve">Вестник Самарского университета. Аэрокосмическая техника, технологии и машиностроение</x:t>
  </x:si>
  <x:si>
    <x:t xml:space="preserve">https://doi.org/10.18287/2541-7533-2019-18-2-7-20</x:t>
  </x:si>
  <x:si>
    <x:t xml:space="preserve">10.18287/2541-7533-2019-18-2-7-20</x:t>
  </x:si>
  <x:si>
    <x:t xml:space="preserve">YOTZWJ</x:t>
  </x:si>
  <x:si>
    <x:t xml:space="preserve">HTTP Error 403: Forbidden</x:t>
  </x:si>
  <x:si>
    <x:t xml:space="preserve">R105</x:t>
  </x:si>
  <x:si>
    <x:t xml:space="preserve">Воронов А.А. Введение в динамику сложных управляемых систем. Москва: Наука, 1985. 352 с. URL: https://reallib.org/reader?file=1212928&amp;pg=3 (дата обращения: 21.11.2024).</x:t>
  </x:si>
  <x:si>
    <x:t xml:space="preserve">Воронов А. А. Введение в динамику сложных управляемых систем. — Москва : Наука, 1985. — 352 с. — Электронная версия. — URL: https://reallib.org/reader?file=1212928&amp;pg=3 (дата обращения: 27.10.2026).</x:t>
  </x:si>
  <x:si>
    <x:t xml:space="preserve">Сетевая книга</x:t>
  </x:si>
  <x:si>
    <x:t xml:space="preserve">Воронов А. А.</x:t>
  </x:si>
  <x:si>
    <x:t xml:space="preserve">Введение в динамику сложных управляемых систем</x:t>
  </x:si>
  <x:si>
    <x:t xml:space="preserve">352</x:t>
  </x:si>
  <x:si>
    <x:t xml:space="preserve">https://reallib.org/reader?file=1212928&amp;pg=3</x:t>
  </x:si>
  <x:si>
    <x:t xml:space="preserve">Книга Введение в динамику сложных управляемых систем (Воронов А.А.) - большая электронная библиотека</x:t>
  </x:si>
  <x:si>
    <x:t xml:space="preserve">HTTP 200; проверка объекта 27.10.2026; https://reallib.org/reader?file=1212928&amp;pg=3</x:t>
  </x:si>
  <x:si>
    <x:t xml:space="preserve">R106</x:t>
  </x:si>
  <x:si>
    <x:t xml:space="preserve">Пехтерев С.В., Макаренко С.И., Ковальский А.А. Описательная модель системы спутниковой связи Starlink // Системы управления, связи и безопасности. 2022. № 4. С. 190-255. https://doi.org/10.24412/2410-9916-2022-4-190-255 EDN: QMOLDV</x:t>
  </x:si>
  <x:si>
    <x:t xml:space="preserve">Пехтерев С. В., Макаренко С. И., Ковальский А. А. Описательная модель системы спутниковой связи Starlink // Системы управления, связи и безопасности. — 2022. — № 4. — С. 190–255. — URL: https://cyberleninka.ru/article/n/opisatelnaya-model-sistemy-sputnikovoy-svyazi-starlink (дата обращения: 27.10.2026).</x:t>
  </x:si>
  <x:si>
    <x:t xml:space="preserve">Пехтерев С. В. | Макаренко С. И. | Ковальский А. А.</x:t>
  </x:si>
  <x:si>
    <x:t xml:space="preserve">Описательная модель системы спутниковой связи Starlink</x:t>
  </x:si>
  <x:si>
    <x:t xml:space="preserve">Системы управления, связи и безопасности</x:t>
  </x:si>
  <x:si>
    <x:t xml:space="preserve">190–255</x:t>
  </x:si>
  <x:si>
    <x:t xml:space="preserve">https://doi.org/10.24412/2410-9916-2022-4-190-255</x:t>
  </x:si>
  <x:si>
    <x:t xml:space="preserve">https://journals.rudn.ru/engineering-researches/article/view/47073?setLocale=ru_RU#articleCitations</x:t>
  </x:si>
  <x:si>
    <x:t xml:space="preserve">10.24412/2410-9916-2022-4-190-255</x:t>
  </x:si>
  <x:si>
    <x:t xml:space="preserve">Stages of Structural and Parametric Synthesis of Low Earth Orbit Communication Systems with Broadband Inter-Satellite Links</x:t>
  </x:si>
  <x:si>
    <x:t xml:space="preserve">QMOLDV</x:t>
  </x:si>
  <x:si>
    <x:t xml:space="preserve">https://journals.rudn.ru/engineering-researches/article/view/47073</x:t>
  </x:si>
  <x:si>
    <x:t xml:space="preserve">https://cyberleninka.ru/article/n/opisatelnaya-model-sistemy-sputnikovoy-svyazi-starlink</x:t>
  </x:si>
  <x:si>
    <x:t xml:space="preserve">Описательная модель системы спутниковой связи Starlink | Описательная модель системы спутниковой связи Starlink | Описательная модель системы спутниковой связи Starlink – тема научной статьи по электротехнике, электронной технике, информационным технологиям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</x:si>
  <x:si>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https://cyberleninka.ru/article/n/opisatelnaya-model-sistemy-sputnikovoy-svyazi-starlink</x:t>
  </x:si>
  <x:si>
    <x:t xml:space="preserve">R107</x:t>
  </x:si>
  <x:si>
    <x:t xml:space="preserve">Клейнрок Л. Теория массового обслуживания. Ленинград - Москва : Книга по Требованию, 2013. 429 с. ISBN 9785458355766</x:t>
  </x:si>
  <x:si>
    <x:t xml:space="preserve">Клейнрок Л. Теория массового обслуживания. — Ленинград - Москва : Книга по Требованию, 2013. — 429 с.</x:t>
  </x:si>
  <x:si>
    <x:t xml:space="preserve">Клейнрок Л.</x:t>
  </x:si>
  <x:si>
    <x:t xml:space="preserve">Теория массового обслуживания</x:t>
  </x:si>
  <x:si>
    <x:t xml:space="preserve">429</x:t>
  </x:si>
  <x:si>
    <x:t xml:space="preserve">Книга по Требованию</x:t>
  </x:si>
  <x:si>
    <x:t xml:space="preserve">Ленинград - Москва</x:t>
  </x:si>
  <x:si>
    <x:t xml:space="preserve">9785458355766</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</x:si>
  <x:si>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Согласованные решения от 28.10.2026: Заглавие: Теория массового обслуживания. Предложение подтверждено без дополнительного пояснения. | Место издания: Ленинград - Москва. Предложение подтверждено без дополнительного пояснения.</x:t>
  </x:si>
  <x:si>
    <x:t xml:space="preserve">Проверка оформления Михаилом: достаточно данных — Да. Исходный вариант Михаила до последующего переноса: Клейнрок, Л. Теория массового обслуживания. — Ленинград - Москва : Книга по Требованию, 2013. — 429 с.</x:t>
  </x:si>
  <x:si>
    <x:t xml:space="preserve">R108</x:t>
  </x:si>
  <x:si>
    <x:t xml:space="preserve">Старков А.В., Емельянов А.А., Гришанцева Л.А., Жуковская К.И., Морозов А.А., Тришин А.А. Методология управления потоками целевой информации в космической системе дистанционного зондирования Земли. Часть 1. Формализация задачи // Вестник Российского университета дружбы народов. Серия: Инженерные исследования, 2021. Т. 22. № 1. С. 54-64. https://doi.org/10.22363/2312-8143-2021-22-1-54-64 EDN: EWFUYU</x:t>
  </x:si>
  <x:si>
    <x:t xml:space="preserve">Методология управления потоками целевой информации в космической системе дистанционного зондирования Земли. Часть 1. Формализация задачи / А. В. Старков, А. А. Емельянов, Л. А. Гришанцева, К. И. Жуковская, А. А. Морозов, А. А. Тришин // Вестник Российского университета дружбы народов. Серия: Инженерные исследования. — 2021. — Т. 22. — № 1. — С. 54–64. — URL: https://journals.rudn.ru/engineering-researches/article/view/27257 (дата обращения: 27.10.2026).</x:t>
  </x:si>
  <x:si>
    <x:t xml:space="preserve">Старков А. В. | Емельянов А. А. | Гришанцева Л. А. | Жуковская К. И. | Морозов А. А. | Тришин А. А.</x:t>
  </x:si>
  <x:si>
    <x:t xml:space="preserve">Методология управления потоками целевой информации в космической системе дистанционного зондирования Земли. Часть 1. Формализация задачи</x:t>
  </x:si>
  <x:si>
    <x:t xml:space="preserve">Вестник Российского университета дружбы народов. Серия: Инженерные исследования</x:t>
  </x:si>
  <x:si>
    <x:t xml:space="preserve">54–64</x:t>
  </x:si>
  <x:si>
    <x:t xml:space="preserve">https://doi.org/10.22363/2312-8143-2021-22-1-54-64</x:t>
  </x:si>
  <x:si>
    <x:t xml:space="preserve">https://journals.rudn.ru/engineering-researches/article/view/47074?setLocale=ru_RU#articleCitations</x:t>
  </x:si>
  <x:si>
    <x:t xml:space="preserve">10.22363/2312-8143-2021-22-1-54-64</x:t>
  </x:si>
  <x:si>
    <x:t xml:space="preserve">Methodology for Managing Target Information Flows in the Remote Sensing Space System. Part 4. Network Orbital Groupings</x:t>
  </x:si>
  <x:si>
    <x:t xml:space="preserve">EWFUYU</x:t>
  </x:si>
  <x:si>
    <x:t xml:space="preserve">https://journals.rudn.ru/engineering-researches/article/view/47074</x:t>
  </x:si>
  <x:si>
    <x:t xml:space="preserve">https://journals.rudn.ru/engineering-researches/article/view/27257</x:t>
  </x:si>
  <x:si>
    <x:t xml:space="preserve">Methodology for managing the flows of target information in the remote sensing space system Part 1. Task formalization | Methodology for managing the flows of target information in the remote sensing space system Part 1. Task formalization | Методология управления потоками целевой информации в космической системе дистанционного зондирования Земли Часть 1. Формализация задачи | Methodology for managing the flows of target information in the remote sensing space system Part 1. Task formalization | Методология управления потоками целевой информации в космической системе дистанционного зондирования Земли Часть 1. Формализация задачи | Methodology for managing the flows of target information in t</x:t>
  </x:si>
  <x:si>
    <x:t xml:space="preserve">HTTP 200; проверка объекта 27.10.2026; https://journals.rudn.ru/engineering-researches/article/view/27257</x:t>
  </x:si>
  <x:si>
    <x:t xml:space="preserve">R109</x:t>
  </x:si>
  <x:si>
    <x:t xml:space="preserve">Петрухин Б.М., Бычков Ю.В., Летягин А.А., Фурсаева Т.В. О допустимом уровне рисков реализации программ стратегического планирования техноло-гических инноваций в развитии космических средств // Вестник Самарского университета. Аэрокосмическая техника, технологии и машиностроение. 2024. Т. 23. № 4. С. 89-98. https://doi.org/10.18287/2541-7533-2024-23-4-89-98 EDN: JKPORD</x:t>
  </x:si>
  <x:si>
    <x:t xml:space="preserve">О допустимом уровне рисков реализации программ стратегического планирования техноло-гических инноваций в развитии космических средств / Б. М. Петрухин, Ю. В. Бычков, А. А. Летягин, Т. В. Фурсаева // Вестник Самарского университета. Аэрокосмическая техника, технологии и машиностроение. — 2024. — Т. 23. — № 4. — С. 89–98.</x:t>
  </x:si>
  <x:si>
    <x:t xml:space="preserve">Петрухин Б. М. | Бычков Ю. В. | Летягин А. А. | Фурсаева Т. В.</x:t>
  </x:si>
  <x:si>
    <x:t xml:space="preserve">О допустимом уровне рисков реализации программ стратегического планирования техноло-гических инноваций в развитии космических средств</x:t>
  </x:si>
  <x:si>
    <x:t xml:space="preserve">89–98</x:t>
  </x:si>
  <x:si>
    <x:t xml:space="preserve">https://doi.org/10.18287/2541-7533-2024-23-4-89-98</x:t>
  </x:si>
  <x:si>
    <x:t xml:space="preserve">10.18287/2541-7533-2024-23-4-89-98</x:t>
  </x:si>
  <x:si>
    <x:t xml:space="preserve">JKPORD</x:t>
  </x:si>
  <x:si>
    <x:t xml:space="preserve">R110</x:t>
  </x:si>
  <x:si>
    <x:t xml:space="preserve">Москаленко Г.М. Механика полета в атмосфере Венеры. Москва : Машиностроение, 1978. 232 с. URL: https://djvu.online/file/iE9FdDdSMGlrJ (дата обращения: 12.02.2025).</x:t>
  </x:si>
  <x:si>
    <x:t xml:space="preserve">Москаленко Г. М. Механика полета в атмосфере Венеры. — Москва : Машиностроение, 1978. — 232 с.</x:t>
  </x:si>
  <x:si>
    <x:t xml:space="preserve">Москаленко Г. М.</x:t>
  </x:si>
  <x:si>
    <x:t xml:space="preserve">Механика полета в атмосфере Венеры</x:t>
  </x:si>
  <x:si>
    <x:t xml:space="preserve">232</x:t>
  </x:si>
  <x:si>
    <x:t xml:space="preserve">Машиностроение</x:t>
  </x:si>
  <x:si>
    <x:t xml:space="preserve">https://djvu.online/file/iE9FdDdSMGlrJ</x:t>
  </x:si>
  <x:si>
    <x:t xml:space="preserve">https://journals.rudn.ru/engineering-researches/article/view/47075?setLocale=ru_RU#articleCitations</x:t>
  </x:si>
  <x:si>
    <x:t xml:space="preserve">Aerial Platforms for Exploration Under Extreme Conditions in the Venus Atmosphere</x:t>
  </x:si>
  <x:si>
    <x:t xml:space="preserve">https://journals.rudn.ru/engineering-researches/article/view/47075</x:t>
  </x:si>
  <x:si>
    <x:t xml:space="preserve">Проверка оформления Михаилом: достаточно данных — Да. Исходный вариант Михаила до последующего переноса: Москаленко, Г. М. Механика полета в атмосфере Венеры. — Москва : Машиностроение, 1978. — 232 с.</x:t>
  </x:si>
  <x:si>
    <x:t xml:space="preserve">R111</x:t>
  </x:si>
  <x:si>
    <x:t xml:space="preserve">Полищук Г.М., Пичхадзе К.М. Автоматические космические аппараты для фундаментальных и прикладных научных исследований. Москва : МАИ-Принт, 2010. 660 с. URL: https://djvu.online/file/Mk44ff4exnXMB (дата обращения: 12.02.2025).</x:t>
  </x:si>
  <x:si>
    <x:t xml:space="preserve">Полищук Г. М., Пичхадзе К. М. Автоматические космические аппараты для фундаментальных и прикладных научных исследований. — Москва : МАИ-Принт, 2010. — 660 с.</x:t>
  </x:si>
  <x:si>
    <x:t xml:space="preserve">Полищук Г. М. | Пичхадзе К. М.</x:t>
  </x:si>
  <x:si>
    <x:t xml:space="preserve">Автоматические космические аппараты для фундаментальных и прикладных научных исследований</x:t>
  </x:si>
  <x:si>
    <x:t xml:space="preserve">660</x:t>
  </x:si>
  <x:si>
    <x:t xml:space="preserve">МАИ-Принт</x:t>
  </x:si>
  <x:si>
    <x:t xml:space="preserve">https://djvu.online/file/Mk44ff4exnXMB</x:t>
  </x:si>
  <x:si>
    <x:t xml:space="preserve">R112</x:t>
  </x:si>
  <x:si>
    <x:t xml:space="preserve">Байбаков С.Н., Мартынов А.И. С орбиты спутника в «глаз» тайфуна, Москва: Наука, 1986. 176 с.</x:t>
  </x:si>
  <x:si>
    <x:t xml:space="preserve">Байбаков С. Н., Мартынов А. И. С орбиты спутника в «глаз» тайфуна. — Москва : Наука, 1986. — 176 с.</x:t>
  </x:si>
  <x:si>
    <x:t xml:space="preserve">Байбаков С. Н. | Мартынов А. И.</x:t>
  </x:si>
  <x:si>
    <x:t xml:space="preserve">С орбиты спутника в «глаз» тайфуна</x:t>
  </x:si>
  <x:si>
    <x:t xml:space="preserve">176</x:t>
  </x:si>
  <x:si>
    <x:t xml:space="preserve">R113</x:t>
  </x:si>
  <x:si>
    <x:t xml:space="preserve">Жусип М.Н., Жаксыбаев Д.О. Сравнение чат-ботов с использованием трансформеров и нейросетей: исследование применения архитектур GPT и BERT // НИЦ Вестник науки. 2024. № 9 (78) Т. 2. С. 287-290. EDN: DEXNMS</x:t>
  </x:si>
  <x:si>
    <x:t xml:space="preserve">Жусип М. Н., Жаксыбаев Д. О. Сравнение чат-ботов с использованием трансформеров и нейросетей : исследование применения архитектур GPT и BERT // НИЦ Вестник науки. — 2024. — Т. 2. — № 9 (78). — С. 287–290.</x:t>
  </x:si>
  <x:si>
    <x:t xml:space="preserve">Жусип М. Н. | Жаксыбаев Д. О.</x:t>
  </x:si>
  <x:si>
    <x:t xml:space="preserve">Сравнение чат-ботов с использованием трансформеров и нейросетей: исследование применения архитектур GPT и BERT</x:t>
  </x:si>
  <x:si>
    <x:t xml:space="preserve">НИЦ Вестник науки</x:t>
  </x:si>
  <x:si>
    <x:t xml:space="preserve">9 (78)</x:t>
  </x:si>
  <x:si>
    <x:t xml:space="preserve">287–290</x:t>
  </x:si>
  <x:si>
    <x:t xml:space="preserve">https://journals.rudn.ru/engineering-researches/article/view/47080?setLocale=ru_RU#articleCitations</x:t>
  </x:si>
  <x:si>
    <x:t xml:space="preserve">Comparison of Text Classification Models and Methods</x:t>
  </x:si>
  <x:si>
    <x:t xml:space="preserve">DEXNMS</x:t>
  </x:si>
  <x:si>
    <x:t xml:space="preserve">https://journals.rudn.ru/engineering-researches/article/view/47080</x:t>
  </x:si>
  <x:si>
    <x:t xml:space="preserve">R114</x:t>
  </x:si>
  <x:si>
    <x:t xml:space="preserve">Базаров Т.Ю., Ерофеев А.К., Шмелев А.Г. Коллективное определение понятия «компетенции»: попытка извлечения смысловых тенденций из размытого экспертного знания // Вестник Московского универси-тета. Серия 14: Психология. 2014. № 1. С. 87-102. EDN: RXQFTT</x:t>
  </x:si>
  <x:si>
    <x:t xml:space="preserve">Базаров Т. Ю., Ерофеев А. К., Шмелев А. Г. Коллективное определение понятия «компетенции» : попытка извлечения смысловых тенденций из размытого экспертного знания // Вестник Московского универси-тета. Серия 14: Психология. — 2014. — № 1. — С. 87–102.</x:t>
  </x:si>
  <x:si>
    <x:t xml:space="preserve">Базаров Т. Ю. | Ерофеев А. К. | Шмелев А. Г.</x:t>
  </x:si>
  <x:si>
    <x:t xml:space="preserve">Коллективное определение понятия «компетенции»: попытка извлечения смысловых тенденций из размытого экспертного знания</x:t>
  </x:si>
  <x:si>
    <x:t xml:space="preserve">Вестник Московского универси-тета. Серия 14: Психология</x:t>
  </x:si>
  <x:si>
    <x:t xml:space="preserve">87–102</x:t>
  </x:si>
  <x:si>
    <x:t xml:space="preserve">https://journals.rudn.ru/engineering-researches/article/view/47082?setLocale=ru_RU#articleCitations</x:t>
  </x:si>
  <x:si>
    <x:t xml:space="preserve">Development of Professional Competencies of Specialists in the Field of Motor Transport as a Factor of Increasing the Efficiency of Transport and Logistics Services</x:t>
  </x:si>
  <x:si>
    <x:t xml:space="preserve">RXQFTT</x:t>
  </x:si>
  <x:si>
    <x:t xml:space="preserve">https://journals.rudn.ru/engineering-researches/article/view/47082</x:t>
  </x:si>
  <x:si>
    <x:t xml:space="preserve">R115</x:t>
  </x:si>
  <x:si>
    <x:t xml:space="preserve">Овчинников А.В. Универсальная модель профессиональных компетенций // Науковедение. 2014. № 4 (23). С. 1-11. URL: https://naukovedenie.ru/PDF/100EVN414.pdf (дата обращения: 20.03.2025).</x:t>
  </x:si>
  <x:si>
    <x:t xml:space="preserve">Овчинников А. В. Универсальная модель профессиональных компетенций // Науковедение. — 2014. — № 4 (23). — С. 1–11. — URL: https://naukovedenie.ru/PDF/100EVN414.pdf (дата обращения: 27.10.2026).</x:t>
  </x:si>
  <x:si>
    <x:t xml:space="preserve">Овчинников А. В.</x:t>
  </x:si>
  <x:si>
    <x:t xml:space="preserve">Универсальная модель профессиональных компетенций</x:t>
  </x:si>
  <x:si>
    <x:t xml:space="preserve">Науковедение</x:t>
  </x:si>
  <x:si>
    <x:t xml:space="preserve">4 (23)</x:t>
  </x:si>
  <x:si>
    <x:t xml:space="preserve">1–11</x:t>
  </x:si>
  <x:si>
    <x:t xml:space="preserve">https://naukovedenie.ru/PDF/100EVN414.pdf</x:t>
  </x:si>
  <x:si>
    <x:t xml:space="preserve">Интернет-журнал «НАУКОВЕДЕНИЕ» 
http://naukovedenie.ru 
Выпуск 4 (23), июль – август 2014 
publishing@naukovedenie.ru   
1 
http://naukovedenie.ru  100EVN414 
УДК    331.103.1 
Овчинников Александр Владимирович 
ГБОУ ВО «Московская академия р</x:t>
  </x:si>
  <x:si>
    <x:t xml:space="preserve">HTTP 200; проверка объекта 27.10.2026; https://naukovedenie.ru/PDF/100EVN414.pdf</x:t>
  </x:si>
  <x:si>
    <x:t xml:space="preserve">R116</x:t>
  </x:si>
  <x:si>
    <x:t xml:space="preserve">Акишин А.И. Работоспособность космического оборудования при воздействии собственной внешней атмосферы аппарата // Труды VIII Межвузовской научной школы молодых специалистов «Концентрированные потоки энергии в космической технике, электронике, экологии и медицине» (19-20 ноября 2007). Москва : НИИЯФ МГУ, 2007. С. 15-19. URL: http://nuclphys.sinp.msu.ru/school/s07/s07_03.pdf (дата обращения: 15.06.2023).</x:t>
  </x:si>
  <x:si>
    <x:t xml:space="preserve">Акишин А. И. Работоспособность космического оборудования при воздействии собственной внешней атмосферы аппарата // Труды VIII Межвузовской научной школы молодых специалистов «Концентрированные потоки энергии в космической технике, электронике, экологии и медицине» (19-20 ноября. — 2007. — С. 15–19. — URL: http://nuclphys.sinp.msu.ru/school/s07/s07_03.pdf (дата обращения: 27.10.2026).</x:t>
  </x:si>
  <x:si>
    <x:t xml:space="preserve">Акишин А. И.</x:t>
  </x:si>
  <x:si>
    <x:t xml:space="preserve">Работоспособность космического оборудования при воздействии собственной внешней атмосферы аппарата</x:t>
  </x:si>
  <x:si>
    <x:t xml:space="preserve">Труды VIII Межвузовской научной школы молодых специалистов «Концентрированные потоки энергии в космической технике, электронике, экологии и медицине» (19-20 ноября</x:t>
  </x:si>
  <x:si>
    <x:t xml:space="preserve">15–19</x:t>
  </x:si>
  <x:si>
    <x:t xml:space="preserve">http://nuclphys.sinp.msu.ru/school/s07/s07_03.pdf</x:t>
  </x:si>
  <x:si>
    <x:t xml:space="preserve">https://journals.rudn.ru/engineering-researches/article/view/48342?setLocale=ru_RU#articleCitations</x:t>
  </x:si>
  <x:si>
    <x:t xml:space="preserve">Functional Features and Radiation Protection Methods for a Spacecraft with a Nuclear Power Plant in the Gas-Dust Plasma Environment of its Own External Atmosphere</x:t>
  </x:si>
  <x:si>
    <x:t xml:space="preserve">https://journals.rudn.ru/engineering-researches/article/view/48342</x:t>
  </x:si>
  <x:si>
    <x:t xml:space="preserve">1
РАБОТОСПОСОБНОСТЬ КОСМИЧЕСКОГО 
ОБОРУДОВАНИЯ ПРИ ВОЗДЕЙСТВИИ СОБСТВЕННОЙ 
ВНЕШНЕЙ АТМОСФЕРЫ АППАРАТА 
 А.И. Акишин 
Научно-исследовательский институт ядерной физики им. Д.В.Скобельцина 
(119889, Москва, Воробьевы горы, 
E-mail: akishin@hep.sinp</x:t>
  </x:si>
  <x:si>
    <x:t xml:space="preserve">HTTP 200; проверка объекта 27.10.2026; http://nuclphys.sinp.msu.ru/school/s07/s07_03.pdf</x:t>
  </x:si>
  <x:si>
    <x:t xml:space="preserve">R117</x:t>
  </x:si>
  <x:si>
    <x:t xml:space="preserve">Бюшгенс Г.С. Аэродинамика, устойчивость и управляемость сверхзвуковых самолетов. Москва : Наука, 1998. 402 с. ISBN 5-02-015111-4</x:t>
  </x:si>
  <x:si>
    <x:t xml:space="preserve">Бюшгенс Г. С. Аэродинамика, устойчивость и управляемость сверхзвуковых самолетов. — Москва : Наука, 1998. — 402 с.</x:t>
  </x:si>
  <x:si>
    <x:t xml:space="preserve">Бюшгенс Г. С.</x:t>
  </x:si>
  <x:si>
    <x:t xml:space="preserve">Аэродинамика, устойчивость и управляемость сверхзвуковых самолетов</x:t>
  </x:si>
  <x:si>
    <x:t xml:space="preserve">402</x:t>
  </x:si>
  <x:si>
    <x:t xml:space="preserve">5-02-015111-4</x:t>
  </x:si>
  <x:si>
    <x:t xml:space="preserve">https://journals.rudn.ru/engineering-researches/article/view/48343?setLocale=ru_RU#articleCitations</x:t>
  </x:si>
  <x:si>
    <x:t xml:space="preserve">Aircraft Pitch Control Via Parametric Identification and PID Optimization</x:t>
  </x:si>
  <x:si>
    <x:t xml:space="preserve">https://journals.rudn.ru/engineering-researches/article/view/48343</x:t>
  </x:si>
  <x:si>
    <x:t xml:space="preserve">Проверка оформления Михаилом: достаточно данных — Да. Исходный вариант Михаила до последующего переноса: Бюшгенс, Г. С. Аэродинамика, устойчивость и управляемость сверхзвуковых самолетов. — Москва : Наука, 1998. — 402 с.</x:t>
  </x:si>
  <x:si>
    <x:t xml:space="preserve">R118</x:t>
  </x:si>
  <x:si>
    <x:t xml:space="preserve">Комаров К.В. Основные проблемы управления предприятиями оборонно-промышленного комплекса // Инновации и инвестиции. 2023. № 9. С. 389-392. EDN: UFULYL</x:t>
  </x:si>
  <x:si>
    <x:t xml:space="preserve">Комаров К. В. Основные проблемы управления предприятиями оборонно-промышленного комплекса // Инновации и инвестиции. — 2023. — № 9. — С. 389–392.</x:t>
  </x:si>
  <x:si>
    <x:t xml:space="preserve">Комаров К. В.</x:t>
  </x:si>
  <x:si>
    <x:t xml:space="preserve">Основные проблемы управления предприятиями оборонно-промышленного комплекса</x:t>
  </x:si>
  <x:si>
    <x:t xml:space="preserve">389–392</x:t>
  </x:si>
  <x:si>
    <x:t xml:space="preserve">https://journals.rudn.ru/engineering-researches/article/view/48345?setLocale=ru_RU#articleCitations</x:t>
  </x:si>
  <x:si>
    <x:t xml:space="preserve">Optimizing the Management of Defense Industry Enterprises Using BPMN Notation</x:t>
  </x:si>
  <x:si>
    <x:t xml:space="preserve">UFULYL</x:t>
  </x:si>
  <x:si>
    <x:t xml:space="preserve">https://journals.rudn.ru/engineering-researches/article/view/48345</x:t>
  </x:si>
  <x:si>
    <x:t xml:space="preserve">R119</x:t>
  </x:si>
  <x:si>
    <x:t xml:space="preserve">Орловская М.А., Новицкая Л.Ю. Финансовый контроль в сфере государственного оборонного заказа // Российский научный вестник. 2025. № 1. С. 237-242. https://doi.org/10.24412/2782-3830-2025-1-237-242 EDN: DSEUGS</x:t>
  </x:si>
  <x:si>
    <x:t xml:space="preserve">Орловская М. А., Новицкая Л. Ю. Финансовый контроль в сфере государственного оборонного заказа // Российский научный вестник. — 2025. — № 1. — С. 237–242. — URL: https://cyberleninka.ru/article/n/finansovyy-kontrol-v-sfere-gosudarstvennogo-oboronnogo-zakaza (дата обращения: 27.10.2026).</x:t>
  </x:si>
  <x:si>
    <x:t xml:space="preserve">Орловская М. А. | Новицкая Л. Ю.</x:t>
  </x:si>
  <x:si>
    <x:t xml:space="preserve">Финансовый контроль в сфере государственного оборонного заказа</x:t>
  </x:si>
  <x:si>
    <x:t xml:space="preserve">Российский научный вестник</x:t>
  </x:si>
  <x:si>
    <x:t xml:space="preserve">237–242</x:t>
  </x:si>
  <x:si>
    <x:t xml:space="preserve">https://doi.org/10.24412/2782-3830-2025-1-237-242</x:t>
  </x:si>
  <x:si>
    <x:t xml:space="preserve">10.24412/2782-3830-2025-1-237-242</x:t>
  </x:si>
  <x:si>
    <x:t xml:space="preserve">DSEUGS</x:t>
  </x:si>
  <x:si>
    <x:t xml:space="preserve">https://cyberleninka.ru/article/n/finansovyy-kontrol-v-sfere-gosudarstvennogo-oboronnogo-zakaza</x:t>
  </x:si>
  <x:si>
    <x:t xml:space="preserve">ФИНАНСОВЫЙ КОНТРОЛЬ В СФЕРЕ ГОСУДАРСТВЕННОГО ОБОРОННОГО ЗАКАЗА | ФИНАНСОВЫЙ КОНТРОЛЬ В СФЕРЕ ГОСУДАРСТВЕННОГО ОБОРОННОГО ЗАКАЗА | ФИНАНСОВЫЙ КОНТРОЛЬ В СФЕРЕ ГОСУДАРСТВЕННОГО ОБОРОННОГО ЗАКАЗА – тема научной статьи по экономике и бизнесу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</x:si>
  <x:si>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https://cyberleninka.ru/article/n/finansovyy-kontrol-v-sfere-gosudarstvennogo-oboronnogo-zakaza</x:t>
  </x:si>
  <x:si>
    <x:t xml:space="preserve">R120</x:t>
  </x:si>
  <x:si>
    <x:t xml:space="preserve">Липцер Р.Ш., Ширяев А.Н. Статистика случайных процессов: Нелинейная фильтрация и смежные вопросы. Москва : Наука,1974. 679 с. URL: https://djvu.online/file/368oebqImcvng (дата обращения: 20.03.2025).</x:t>
  </x:si>
  <x:si>
    <x:t xml:space="preserve">Липцер Р. Ш., Ширяев А. Н. Статистика случайных процессов : Нелинейная фильтрация и смежные вопросы. — Москва : Наука, 1974. — 679 с.</x:t>
  </x:si>
  <x:si>
    <x:t xml:space="preserve">Липцер Р. Ш. | Ширяев А. Н.</x:t>
  </x:si>
  <x:si>
    <x:t xml:space="preserve">Статистика случайных процессов: Нелинейная фильтрация и смежные вопросы</x:t>
  </x:si>
  <x:si>
    <x:t xml:space="preserve">679</x:t>
  </x:si>
  <x:si>
    <x:t xml:space="preserve">https://djvu.online/file/368oebqImcvng</x:t>
  </x:si>
  <x:si>
    <x:t xml:space="preserve">https://journals.rudn.ru/engineering-researches/article/view/48346?setLocale=ru_RU#articleCitations</x:t>
  </x:si>
  <x:si>
    <x:t xml:space="preserve">Synthesis of a Discrete Optimal Multidimensional Controller Based on Incomplete Data: Multidimensional Spectral Approach</x:t>
  </x:si>
  <x:si>
    <x:t xml:space="preserve">https://journals.rudn.ru/engineering-researches/article/view/48346</x:t>
  </x:si>
  <x:si>
    <x:t xml:space="preserve">Проверка оформления Михаилом: достаточно данных — Да. Исходный вариант Михаила до последующего переноса: Липцер, Р. Ш. Статистика случайных процессов: Нелинейная фильтрация и смежные вопросы / Р. Ш. Липцер, А. Н. Ширяев. — Москва : Наука, 1974. — 679 с.</x:t>
  </x:si>
  <x:si>
    <x:t xml:space="preserve">R121</x:t>
  </x:si>
  <x:si>
    <x:t xml:space="preserve">Барабанов А.Е. Синтез адаптивных H∞-оптимальных регуляторов // Автоматика и телемеханика. 1999. № 3. C. 55-70. EDN: OJYREL</x:t>
  </x:si>
  <x:si>
    <x:t xml:space="preserve">Барабанов А. Е. Синтез адаптивных H∞-оптимальных регуляторов // Автоматика и телемеханика. — 1999. — № 3. — С. 55–70.</x:t>
  </x:si>
  <x:si>
    <x:t xml:space="preserve">Барабанов А. Е.</x:t>
  </x:si>
  <x:si>
    <x:t xml:space="preserve">Синтез адаптивных H∞-оптимальных регуляторов</x:t>
  </x:si>
  <x:si>
    <x:t xml:space="preserve">Автоматика и телемеханика</x:t>
  </x:si>
  <x:si>
    <x:t xml:space="preserve">55–70</x:t>
  </x:si>
  <x:si>
    <x:t xml:space="preserve">OJYREL</x:t>
  </x:si>
  <x:si>
    <x:t xml:space="preserve">R122</x:t>
  </x:si>
  <x:si>
    <x:t xml:space="preserve">Лаврентьев М.А., Шабат Б.В. Методы теории функций комплексного переменного. Москва : Наука, 1987. 736 c. URL: https://djvu.online/file/MJmIl8DxPlJDL (дата обращения: 20.03.2025).</x:t>
  </x:si>
  <x:si>
    <x:t xml:space="preserve">Лаврентьев М. А., Шабат Б. В. Методы теории функций комплексного переменного. — Москва : Наука, 1987. — 736 с.</x:t>
  </x:si>
  <x:si>
    <x:t xml:space="preserve">Лаврентьев М. А. | Шабат Б. В.</x:t>
  </x:si>
  <x:si>
    <x:t xml:space="preserve">Методы теории функций комплексного переменного</x:t>
  </x:si>
  <x:si>
    <x:t xml:space="preserve">736</x:t>
  </x:si>
  <x:si>
    <x:t xml:space="preserve">https://djvu.online/file/MJmIl8DxPlJDL</x:t>
  </x:si>
  <x:si>
    <x:t xml:space="preserve">R123</x:t>
  </x:si>
  <x:si>
    <x:t xml:space="preserve">Голубев Г.А., Писарев О.В. Линейная фильтрация стационарных процессов с дискретным временем // Автоматика и телемеханика. 1992. № 7. С. 55-61. URL: https://www.mathnet.ru/links/91b23279507370fef418909f58b4235a/at3339.pdf (дата обращения: 20.03.2025).</x:t>
  </x:si>
  <x:si>
    <x:t xml:space="preserve">Голубев Г. А., Писарев О. В. Линейная фильтрация стационарных процессов с дискретным временем // Автоматика и телемеханика. — 1992. — № 7. — С. 55–61. — URL: https://www.mathnet.ru/php/archive.phtml?wshow=paper&amp;jrnid=at&amp;paperid=3339&amp;option_lang=rus (дата обращения: 27.10.2026).</x:t>
  </x:si>
  <x:si>
    <x:t xml:space="preserve">Голубев Г. А. | Писарев О. В.</x:t>
  </x:si>
  <x:si>
    <x:t xml:space="preserve">Линейная фильтрация стационарных процессов с дискретным временем</x:t>
  </x:si>
  <x:si>
    <x:t xml:space="preserve">https://www.mathnet.ru/links/91b23279507370fef418909f58b4235a/at3339.pdf</x:t>
  </x:si>
  <x:si>
    <x:t xml:space="preserve">https://www.mathnet.ru/php/archive.phtml?wshow=paper&amp;jrnid=at&amp;paperid=3339&amp;option_lang=rus</x:t>
  </x:si>
  <x:si>
    <x:t xml:space="preserve">Г. А. Голубев, О. В. Писарев, “Линейная фильтрация стационарных процессов с дискретным временем”, Автомат. и телемех., 1992, № 7, 55–61; Autom. Remote Control, 53:7 (1992), 1000–1005</x:t>
  </x:si>
  <x:si>
    <x:t xml:space="preserve">HTTP 200; проверка объекта 27.10.2026; https://www.mathnet.ru/php/archive.phtml?wshow=paper&amp;jrnid=at&amp;paperid=3339&amp;option_lang=rus</x:t>
  </x:si>
  <x:si>
    <x:t xml:space="preserve">R124</x:t>
  </x:si>
  <x:si>
    <x:t xml:space="preserve">Красовский Н.Н. Управление динамической системой. Москва : Наука, 1985. 520 с.</x:t>
  </x:si>
  <x:si>
    <x:t xml:space="preserve">Красовский Н. Н. Управление динамической системой. — Москва : Наука, 1985. — 520 с.</x:t>
  </x:si>
  <x:si>
    <x:t xml:space="preserve">Красовский Н. Н.</x:t>
  </x:si>
  <x:si>
    <x:t xml:space="preserve">Управление динамической системой</x:t>
  </x:si>
  <x:si>
    <x:t xml:space="preserve">520</x:t>
  </x:si>
  <x:si>
    <x:t xml:space="preserve">R125</x:t>
  </x:si>
  <x:si>
    <x:t xml:space="preserve">Колмогоров А.Н., Фомин С.В. Элементы теории функций и функционального анализа. Москва : Наука, 1976. 544 с. URL: https://djvu.online/file/acB4ODGXeJeSf (дата обращения: 20.03.2025).</x:t>
  </x:si>
  <x:si>
    <x:t xml:space="preserve">Колмогоров А. Н., Фомин С. В. Элементы теории функций и функционального анализа. — Москва : Наука, 1976. — 544 с.</x:t>
  </x:si>
  <x:si>
    <x:t xml:space="preserve">Колмогоров А. Н. | Фомин С. В.</x:t>
  </x:si>
  <x:si>
    <x:t xml:space="preserve">Элементы теории функций и функционального анализа</x:t>
  </x:si>
  <x:si>
    <x:t xml:space="preserve">544</x:t>
  </x:si>
  <x:si>
    <x:t xml:space="preserve">https://djvu.online/file/acB4ODGXeJeSf</x:t>
  </x:si>
  <x:si>
    <x:t xml:space="preserve">R126</x:t>
  </x:si>
  <x:si>
    <x:t xml:space="preserve">Джиган В.И. Адаптивная фильтрация сигналов: теория и алгоритмы. Москва : Техносфера, 2013. 528 c. ISBN 978-5-94836-342-4</x:t>
  </x:si>
  <x:si>
    <x:t xml:space="preserve">Джиган В. И. Адаптивная фильтрация сигналов : теория и алгоритмы. — Москва : Техносфера, 2013. — 528 с.</x:t>
  </x:si>
  <x:si>
    <x:t xml:space="preserve">Джиган В. И.</x:t>
  </x:si>
  <x:si>
    <x:t xml:space="preserve">Адаптивная фильтрация сигналов: теория и алгоритмы</x:t>
  </x:si>
  <x:si>
    <x:t xml:space="preserve">528</x:t>
  </x:si>
  <x:si>
    <x:t xml:space="preserve">Техносфера</x:t>
  </x:si>
  <x:si>
    <x:t xml:space="preserve">978-5-94836-342-4</x:t>
  </x:si>
  <x:si>
    <x:t xml:space="preserve">https://journals.rudn.ru/engineering-researches/article/view/48347?setLocale=ru_RU#articleCitations</x:t>
  </x:si>
  <x:si>
    <x:t xml:space="preserve">Digital Modelling of Low-Frequency ECG Signals Denoising</x:t>
  </x:si>
  <x:si>
    <x:t xml:space="preserve">https://journals.rudn.ru/engineering-researches/article/view/48347</x:t>
  </x:si>
  <x:si>
    <x:t xml:space="preserve">R127</x:t>
  </x:si>
  <x:si>
    <x:t xml:space="preserve">Каракеян В.И., Харламов Н.Р., Рябышенков А.С. Оценка профессиональных рисков в технологических помещениях на предприятии микроэлектроники // Известия высших учебных заведений. Электроника. 2021. Т. 26. № 3-4. С. 265-272. https://doi.org/10.24151/1561-5405-2021-26-3-4-265-272 EDN: WHLIPA</x:t>
  </x:si>
  <x:si>
    <x:t xml:space="preserve">Каракеян В. И., Харламов Н. Р., Рябышенков А. С. Оценка профессиональных рисков в технологических помещениях на предприятии микроэлектроники // Известия высших учебных заведений. Электроника. — 2021. — Т. 26. — № 3-4. — С. 265–272.</x:t>
  </x:si>
  <x:si>
    <x:t xml:space="preserve">Каракеян В. И. | Харламов Н. Р. | Рябышенков А. С.</x:t>
  </x:si>
  <x:si>
    <x:t xml:space="preserve">Оценка профессиональных рисков в технологических помещениях на предприятии микроэлектроники</x:t>
  </x:si>
  <x:si>
    <x:t xml:space="preserve">Известия высших учебных заведений. Электроника</x:t>
  </x:si>
  <x:si>
    <x:t xml:space="preserve">3-4</x:t>
  </x:si>
  <x:si>
    <x:t xml:space="preserve">265–272</x:t>
  </x:si>
  <x:si>
    <x:t xml:space="preserve">https://doi.org/10.24151/1561-5405-2021-26-3-4-265-272</x:t>
  </x:si>
  <x:si>
    <x:t xml:space="preserve">https://journals.rudn.ru/engineering-researches/article/view/48348?setLocale=ru_RU#articleCitations</x:t>
  </x:si>
  <x:si>
    <x:t xml:space="preserve">10.24151/1561-5405-2021-26-3-4-265-272</x:t>
  </x:si>
  <x:si>
    <x:t xml:space="preserve">Development and Experience of Using Digital Tools for the Organization of Labor Protection During the Construction of the Amur Gas Processing Plant</x:t>
  </x:si>
  <x:si>
    <x:t xml:space="preserve">WHLIPA</x:t>
  </x:si>
  <x:si>
    <x:t xml:space="preserve">https://journals.rudn.ru/engineering-researches/article/view/48348</x:t>
  </x:si>
  <x:si>
    <x:t xml:space="preserve">R128</x:t>
  </x:si>
  <x:si>
    <x:t xml:space="preserve">Таранушина И.И., Попова О.В. Анализ управления профессиональными рисками на предприятиях при эксплуатации грузоподъемного оборудования // Безопасность труда в промышленности. 2021. № 4. С. 76-82. https://doi.org/10.24000/0409-2961-2021-4-76-82 EDN: ANBBBR</x:t>
  </x:si>
  <x:si>
    <x:t xml:space="preserve">Таранушина И. И., Попова О. В. Анализ управления профессиональными рисками на предприятиях при эксплуатации грузоподъемного оборудования // Безопасность труда в промышленности. — 2021. — № 4. — С. 76–82. — URL: https://www.btpnadzor.ru/archive/analiz-upravleniya-professionalnymi-riskami-na-predpriyatiyakh-pri-ekspluatatsii-gruzopodemnogo-oborudovaniya (дата обращения: 27.10.2026).</x:t>
  </x:si>
  <x:si>
    <x:t xml:space="preserve">Таранушина И. И. | Попова О. В.</x:t>
  </x:si>
  <x:si>
    <x:t xml:space="preserve">Анализ управления профессиональными рисками на предприятиях при эксплуатации грузоподъемного оборудования</x:t>
  </x:si>
  <x:si>
    <x:t xml:space="preserve">Безопасность труда в промышленности</x:t>
  </x:si>
  <x:si>
    <x:t xml:space="preserve">76–82</x:t>
  </x:si>
  <x:si>
    <x:t xml:space="preserve">https://doi.org/10.24000/0409-2961-2021-4-76-82</x:t>
  </x:si>
  <x:si>
    <x:t xml:space="preserve">10.24000/0409-2961-2021-4-76-82</x:t>
  </x:si>
  <x:si>
    <x:t xml:space="preserve">ANBBBR</x:t>
  </x:si>
  <x:si>
    <x:t xml:space="preserve">https://www.btpnadzor.ru/archive/analiz-upravleniya-professionalnymi-riskami-na-predpriyatiyakh-pri-ekspluatatsii-gruzopodemnogo-oborudovaniya</x:t>
  </x:si>
  <x:si>
    <x:t xml:space="preserve">Analysis of the Occupational Risk Management at the Enterprises during Lifting Equipment Operation | Articles | Occupational Safety in Industry</x:t>
  </x:si>
  <x:si>
    <x:t xml:space="preserve">HTTP 200; проверка объекта 27.10.2026; https://www.btpnadzor.ru/archive/analiz-upravleniya-professionalnymi-riskami-na-predpriyatiyakh-pri-ekspluatatsii-gruzopodemnogo-oborudovaniya</x:t>
  </x:si>
  <x:si>
    <x:t xml:space="preserve">R129</x:t>
  </x:si>
  <x:si>
    <x:t xml:space="preserve">Шамрин М.Ю., Галкина М.В. Роль блокчейна в совершенствовании публичного управления // Вестник Российского университета дружбы народов. Серия: Юридические науки. 2023. Т. 27. № 4. С. 956-968. http://doi.org/10.22363/2313-2337-2023-27-4-956-968 EDN: KGLPFL</x:t>
  </x:si>
  <x:si>
    <x:t xml:space="preserve">Шамрин М. Ю., Галкина М. В. Роль блокчейна в совершенствовании публичного управления // Вестник Российского университета дружбы народов. Серия: Юридические науки. — 2023. — Т. 27. — № 4. — С. 956–968. — URL: https://journals.rudn.ru/law/article/view/36897 (дата обращения: 27.10.2026).</x:t>
  </x:si>
  <x:si>
    <x:t xml:space="preserve">Шамрин М. Ю. | Галкина М. В.</x:t>
  </x:si>
  <x:si>
    <x:t xml:space="preserve">Роль блокчейна в совершенствовании публичного управления</x:t>
  </x:si>
  <x:si>
    <x:t xml:space="preserve">Вестник Российского университета дружбы народов. Серия: Юридические науки</x:t>
  </x:si>
  <x:si>
    <x:t xml:space="preserve">27</x:t>
  </x:si>
  <x:si>
    <x:t xml:space="preserve">956–968</x:t>
  </x:si>
  <x:si>
    <x:t xml:space="preserve">http://doi.org/10.22363/2313-2337-2023-27-4-956-968</x:t>
  </x:si>
  <x:si>
    <x:t xml:space="preserve">https://journals.rudn.ru/engineering-researches/article/view/48349?setLocale=ru_RU#articleCitations</x:t>
  </x:si>
  <x:si>
    <x:t xml:space="preserve">10.22363/2313-2337-2023-27-4-956-968</x:t>
  </x:si>
  <x:si>
    <x:t xml:space="preserve">Blockchain Technology for Managerial Decision Support</x:t>
  </x:si>
  <x:si>
    <x:t xml:space="preserve">KGLPFL</x:t>
  </x:si>
  <x:si>
    <x:t xml:space="preserve">https://journals.rudn.ru/engineering-researches/article/view/48349</x:t>
  </x:si>
  <x:si>
    <x:t xml:space="preserve">https://journals.rudn.ru/law/article/view/36897</x:t>
  </x:si>
  <x:si>
    <x:t xml:space="preserve">The role of blockchain in improving public administration | The role of blockchain in improving public administration | Роль блокчейна в совершенствовании публичного управления | The role of blockchain in improving public administration | Роль блокчейна в совершенствовании публичного управления | The role of blockchain in improving public administration - Shamrin - RUDN Journal of Law</x:t>
  </x:si>
  <x:si>
    <x:t xml:space="preserve">HTTP 200; проверка объекта 27.10.2026; https://journals.rudn.ru/law/article/view/36897</x:t>
  </x:si>
  <x:si>
    <x:t xml:space="preserve">R130</x:t>
  </x:si>
  <x:si>
    <x:t xml:space="preserve">Новоселова И.Ю. Социо-эколого-экономический выбор маршрута нефтепровода // Проблемы региональной экологии. 2024. № 5. С. 85-90. https://doi.org/10.24412/1728-323X-2024-5-85-89 EDN: VZGQNH</x:t>
  </x:si>
  <x:si>
    <x:t xml:space="preserve">Новоселова И. Ю. Социо-эколого-экономический выбор маршрута нефтепровода // Проблемы региональной экологии. — 2024. — № 5. — С. 85–90. — URL: https://cyberleninka.ru/article/n/sotsio-ekologo-ekonomicheskiy-vybor-marshruta-nefteprovoda (дата обращения: 27.10.2026).</x:t>
  </x:si>
  <x:si>
    <x:t xml:space="preserve">Новоселова И. Ю.</x:t>
  </x:si>
  <x:si>
    <x:t xml:space="preserve">Социо-эколого-экономический выбор маршрута нефтепровода</x:t>
  </x:si>
  <x:si>
    <x:t xml:space="preserve">Проблемы региональной экологии</x:t>
  </x:si>
  <x:si>
    <x:t xml:space="preserve">85–90</x:t>
  </x:si>
  <x:si>
    <x:t xml:space="preserve">https://doi.org/10.24412/1728-323X-2024-5-85-89</x:t>
  </x:si>
  <x:si>
    <x:t xml:space="preserve">https://journals.rudn.ru/engineering-researches/article/view/48350?setLocale=ru_RU#articleCitations</x:t>
  </x:si>
  <x:si>
    <x:t xml:space="preserve">10.24412/1728-323X-2024-5-85-89</x:t>
  </x:si>
  <x:si>
    <x:t xml:space="preserve">Application of a Genetic Algorithm for Pipeline Route Design</x:t>
  </x:si>
  <x:si>
    <x:t xml:space="preserve">VZGQNH</x:t>
  </x:si>
  <x:si>
    <x:t xml:space="preserve">https://journals.rudn.ru/engineering-researches/article/view/48350</x:t>
  </x:si>
  <x:si>
    <x:t xml:space="preserve">https://cyberleninka.ru/article/n/sotsio-ekologo-ekonomicheskiy-vybor-marshruta-nefteprovoda</x:t>
  </x:si>
  <x:si>
    <x:t xml:space="preserve">СОЦИО-ЭКОЛОГО-ЭКОНОМИЧЕСКИЙ ВЫБОР МАРШРУТА НЕФТЕПРОВОДА | СОЦИО-ЭКОЛОГО-ЭКОНОМИЧЕСКИЙ ВЫБОР МАРШРУТА НЕФТЕПРОВОДА | СОЦИО-ЭКОЛОГО-ЭКОНОМИЧЕСКИЙ ВЫБОР МАРШРУТА НЕФТЕПРОВОДА – тема научной статьи по строительству и архитектуре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</x:si>
  <x:si>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https://cyberleninka.ru/article/n/sotsio-ekologo-ekonomicheskiy-vybor-marshruta-nefteprovoda</x:t>
  </x:si>
  <x:si>
    <x:t xml:space="preserve">R131</x:t>
  </x:si>
  <x:si>
    <x:t xml:space="preserve">Муродов С.А. Внедрение искусственного интеллекта в бизнес-процессы: перспективы для малых и средних предприятий в развивающихся странах // Raqamli iqtisodiyot. 2025. № 10. С. 63–77. URL: https://cyberleninka.ru/article/n/vnedrenie-iskusstvennogo-intellekta-v-biznes-protsessy-perspektivy-dlya-malyh-i-srednih-predpriyatiy-v-razvivayuschihsya-stranah (дата обращения: 30.03.2025).</x:t>
  </x:si>
  <x:si>
    <x:t xml:space="preserve">Муродов С. А. Внедрение искусственного интеллекта в бизнес-процессы : перспективы для малых и средних предприятий в развивающихся странах // Raqamli iqtisodiyot. — 2025. — № 10. — С. 63–77. — URL: https://cyberleninka.ru/article/n/vnedrenie-iskusstvennogo-intellekta-v-biznes-protsessy-perspektivy-dlya-malyh-i-srednih-predpriyatiy-v-razvivayuschihsya-stranah (дата обращения: 27.10.2026).</x:t>
  </x:si>
  <x:si>
    <x:t xml:space="preserve">Муродов С. А.</x:t>
  </x:si>
  <x:si>
    <x:t xml:space="preserve">Внедрение искусственного интеллекта в бизнес-процессы: перспективы для малых и средних предприятий в развивающихся странах</x:t>
  </x:si>
  <x:si>
    <x:t xml:space="preserve">Raqamli iqtisodiyot</x:t>
  </x:si>
  <x:si>
    <x:t xml:space="preserve">63–77</x:t>
  </x:si>
  <x:si>
    <x:t xml:space="preserve">https://cyberleninka.ru/article/n/vnedrenie-iskusstvennogo-intellekta-v-biznes-protsessy-perspektivy-dlya-malyh-i-srednih-predpriyatiy-v-razvivayuschihsya-stranah</x:t>
  </x:si>
  <x:si>
    <x:t xml:space="preserve">https://journals.rudn.ru/engineering-researches/article/view/48351?setLocale=ru_RU#articleCitations</x:t>
  </x:si>
  <x:si>
    <x:t xml:space="preserve">The Role of Intelligent Data Processing in Optimizing Companies’ Financial Efficiency</x:t>
  </x:si>
  <x:si>
    <x:t xml:space="preserve">https://journals.rudn.ru/engineering-researches/article/view/48351</x:t>
  </x:si>
  <x:si>
    <x:t xml:space="preserve">ВНЕДРЕНИЕ ИСКУССТВЕННОГО ИНТЕЛЛЕКТА В БИЗНЕС-ПРОЦЕССЫ: ПЕРСПЕКТИВЫ ДЛЯ МАЛЫХ И СРЕДНИХ ПРЕДПРИЯТИЙ В РАЗВИВАЮЩИХСЯ СТРАНАХ | ВНЕДРЕНИЕ ИСКУССТВЕННОГО ИНТЕЛЛЕКТА В БИЗНЕС-ПРОЦЕССЫ: ПЕРСПЕКТИВЫ ДЛЯ МАЛЫХ И СРЕДНИХ ПРЕДПРИЯТИЙ В РАЗВИВАЮЩИХСЯ СТРАНАХ | ВНЕДРЕНИЕ ИСКУССТВЕННОГО ИНТЕЛЛЕКТА В БИЗНЕС-ПРОЦЕССЫ: ПЕРСПЕКТИВЫ ДЛЯ МАЛЫХ И СРЕДНИХ ПРЕДПРИЯТИЙ В РАЗВИВАЮЩИХСЯ СТРАНАХ – тема научной статьи по экономике и бизнесу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</x:si>
  <x:si>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https://cyberleninka.ru/article/n/vnedrenie-iskusstvennogo-intellekta-v-biznes-protsessy-perspektivy-dlya-malyh-i-srednih-predpriyatiy-v-razvivayuschihsya-stranah</x:t>
  </x:si>
  <x:si>
    <x:t xml:space="preserve">Проверка оформления Михаилом: достаточно данных — Да. Открылась страница статьи; заглавие совпало (DOI на странице не приведён). Источник: Подтверждения_28_10_2026.html. Исходный вариант Михаила до последующего переноса: Муродов, С. А. Внедрение искусственного интеллекта в бизнес-процессы: перспективы для малых и средних предприятий в развивающихся странах // Raqamli iqtisodiyot. — 2025. — № 10. — С. 63–77. — URL: https://cyberleninka.ru/article/n/vnedrenie-iskusstvennogo-intellekta-v-biznes-protsessy-perspektivy-dlya-malyh-i-srednih-predpriyatiy-v-razvivayuschihsya-stranah (дата обращения: 27.10.2026).</x:t>
  </x:si>
  <x:si>
    <x:t xml:space="preserve">R132</x:t>
  </x:si>
  <x:si>
    <x:t xml:space="preserve">Тестоедов Н.А., Двирный Г.В., Пермяков М.Ю. Определение величины температурной деформации размеростабильных рефлекторов // Вестник Сибирского государственного аэрокосмического университета имени академика М.Ф. Решетнева. 2011. № 2 (35) C. 67-71. EDN: NXUZIP</x:t>
  </x:si>
  <x:si>
    <x:t xml:space="preserve">Тестоедов Н. А., Двирный Г. В., Пермяков М. Ю. Определение величины температурной деформации размеростабильных рефлекторов // Вестник Сибирского государственного аэрокосмического университета имени академика М.Ф. Решетнева. — 2011. — № 2 (35). — С. 67–71.</x:t>
  </x:si>
  <x:si>
    <x:t xml:space="preserve">Тестоедов Н. А. | Двирный Г. В. | Пермяков М. Ю.</x:t>
  </x:si>
  <x:si>
    <x:t xml:space="preserve">Определение величины температурной деформации размеростабильных рефлекторов</x:t>
  </x:si>
  <x:si>
    <x:t xml:space="preserve">Вестник Сибирского государственного аэрокосмического университета имени академика М.Ф. Решетнева</x:t>
  </x:si>
  <x:si>
    <x:t xml:space="preserve">2 (35)</x:t>
  </x:si>
  <x:si>
    <x:t xml:space="preserve">67–71</x:t>
  </x:si>
  <x:si>
    <x:t xml:space="preserve">https://journals.rudn.ru/engineering-researches/article/view/51208?setLocale=ru_RU#articleCitations</x:t>
  </x:si>
  <x:si>
    <x:t xml:space="preserve">Calculation and Experimental Determination of the Thermal Conductivity of a Material in a Full-Scale Space Structure Under Local Radiation Heating</x:t>
  </x:si>
  <x:si>
    <x:t xml:space="preserve">NXUZIP</x:t>
  </x:si>
  <x:si>
    <x:t xml:space="preserve">https://journals.rudn.ru/engineering-researches/article/view/51208</x:t>
  </x:si>
  <x:si>
    <x:t xml:space="preserve">R133</x:t>
  </x:si>
  <x:si>
    <x:t xml:space="preserve">Новиков А.Д., Просунцов П.В., Резник С.В. Определение конструктивного облика рефлектора зеркальной космической антенны из композиционного материала // Вестник Российского университета дружбы народов. Серия: Инженерные исследования. 2017. Т. 18. № 3. С. 308-317. https://doi.org/10.22363/2312-8143-2017-18-3-308-317 EDN: ZSMGPN</x:t>
  </x:si>
  <x:si>
    <x:t xml:space="preserve">Новиков А. Д., Просунцов П. В., Резник С. В. Определение конструктивного облика рефлектора зеркальной космической антенны из композиционного материала // Вестник Российского университета дружбы народов. Серия: Инженерные исследования. — 2017. — Т. 18. — № 3. — С. 308–317. — URL: https://journals.rudn.ru/engineering-researches/article/view/17330 (дата обращения: 27.10.2026).</x:t>
  </x:si>
  <x:si>
    <x:t xml:space="preserve">Новиков А. Д. | Просунцов П. В. | Резник С. В.</x:t>
  </x:si>
  <x:si>
    <x:t xml:space="preserve">Определение конструктивного облика рефлектора зеркальной космической антенны из композиционного материала</x:t>
  </x:si>
  <x:si>
    <x:t xml:space="preserve">308–317</x:t>
  </x:si>
  <x:si>
    <x:t xml:space="preserve">https://doi.org/10.22363/2312-8143-2017-18-3-308-317</x:t>
  </x:si>
  <x:si>
    <x:t xml:space="preserve">10.22363/2312-8143-2017-18-3-308-317</x:t>
  </x:si>
  <x:si>
    <x:t xml:space="preserve">ZSMGPN</x:t>
  </x:si>
  <x:si>
    <x:t xml:space="preserve">https://journals.rudn.ru/engineering-researches/article/view/17330</x:t>
  </x:si>
  <x:si>
    <x:t xml:space="preserve">MIRROR SPACE ANTENNA REFLECTOR MADE OF COMPOSITE MATERIALS CONSTRUCTIVE APPEARANCE DETERMINATION | MIRROR SPACE ANTENNA REFLECTOR MADE OF COMPOSITE MATERIALS CONSTRUCTIVE APPEARANCE DETERMINATION | ОПРЕДЕЛЕНИЕ КОНСТРУКТИВНОГО ОБЛИКА РЕФЛЕКТОРА ЗЕРКАЛЬНОЙ КОСМИЧЕСКОЙ АНТЕННЫ ИЗ КОМПОЗИЦИОННОГО МАТЕРИАЛА | MIRROR SPACE ANTENNA REFLECTOR MADE OF COMPOSITE MATERIALS CONSTRUCTIVE APPEARANCE DETERMINATION | ОПРЕДЕЛЕНИЕ КОНСТРУКТИВНОГО ОБЛИКА РЕФЛЕКТОРА ЗЕРКАЛЬНОЙ КОСМИЧЕСКОЙ АНТЕННЫ ИЗ КОМПОЗИЦИОННОГО МАТЕРИАЛА | MIRROR SPACE ANTENNA REFLECTOR MADE OF COMPOSITE MATERIALS CONSTRUCTIVE APPEARANCE DETERMINATION - Novikov - RUDN Journal of Engineering Research</x:t>
  </x:si>
  <x:si>
    <x:t xml:space="preserve">HTTP 200; проверка объекта 27.10.2026; https://journals.rudn.ru/engineering-researches/article/view/17330</x:t>
  </x:si>
  <x:si>
    <x:t xml:space="preserve">Проверка оформления Михаилом: достаточно данных — Да. Открылась страница статьи (заглавие на английском); DOI на странице совпал с DOI строки. Источник: Подтверждения_28_10_2026.html. Исходный вариант Михаила до последующего переноса: Новиков, А. Д. Определение конструктивного облика рефлектора зеркальной космической антенны из композиционного материала / А. Д. Новиков, П. В. Просунцов, С. В. Резник // Вестник Российского университета дружбы народов. Серия: Инженерные исследования. — 2017. — Т. 18, № 3. — С. 308–317. — URL: https://journals.rudn.ru/engineering-researches/article/view/17330 (дата обращения: 27.10.2026).</x:t>
  </x:si>
  <x:si>
    <x:t xml:space="preserve">R134</x:t>
  </x:si>
  <x:si>
    <x:t xml:space="preserve">Тайгин В.Б., Лопатин А.В. Разработка зеркальной антенны космического аппарата с ультралегким высокоточным размеростабильным рефлектором // Космические аппараты и технологии. 2019. Т. 3. № 3. С. 121-131. https://doi.org/10.26732/2618-7957-2019-3-121-131</x:t>
  </x:si>
  <x:si>
    <x:t xml:space="preserve">Тайгин В. Б., Лопатин А. В. Разработка зеркальной антенны космического аппарата с ультралегким высокоточным размеростабильным рефлектором // Космические аппараты и технологии. — 2019. — Т. 3. — № 3. — С. 121–131.</x:t>
  </x:si>
  <x:si>
    <x:t xml:space="preserve">Тайгин В. Б. | Лопатин А. В.</x:t>
  </x:si>
  <x:si>
    <x:t xml:space="preserve">Разработка зеркальной антенны космического аппарата с ультралегким высокоточным размеростабильным рефлектором</x:t>
  </x:si>
  <x:si>
    <x:t xml:space="preserve">121–131</x:t>
  </x:si>
  <x:si>
    <x:t xml:space="preserve">https://doi.org/10.26732/2618-7957-2019-3-121-131</x:t>
  </x:si>
  <x:si>
    <x:t xml:space="preserve">10.26732/2618-7957-2019-3-121-131</x:t>
  </x:si>
  <x:si>
    <x:t xml:space="preserve">R135</x:t>
  </x:si>
  <x:si>
    <x:t xml:space="preserve">Тайгин В.Б., Лопатин А.В. Метод обеспечения высокой точности формы рефлекторов зеркальных антенн космических аппаратов // Космические аппараты и технологии. 2019. Т. 3. № 4. С. 200-208. https://doi.org/10.26732/2618-7957-2019-4-200-208 EDN: MTTHSW</x:t>
  </x:si>
  <x:si>
    <x:t xml:space="preserve">Тайгин В. Б., Лопатин А. В. Метод обеспечения высокой точности формы рефлекторов зеркальных антенн космических аппаратов // Космические аппараты и технологии. — 2019. — Т. 3. — № 4. — С. 200–208.</x:t>
  </x:si>
  <x:si>
    <x:t xml:space="preserve">Метод обеспечения высокой точности формы рефлекторов зеркальных антенн космических аппаратов</x:t>
  </x:si>
  <x:si>
    <x:t xml:space="preserve">200–208</x:t>
  </x:si>
  <x:si>
    <x:t xml:space="preserve">https://doi.org/10.26732/2618-7957-2019-4-200-208</x:t>
  </x:si>
  <x:si>
    <x:t xml:space="preserve">10.26732/2618-7957-2019-4-200-208</x:t>
  </x:si>
  <x:si>
    <x:t xml:space="preserve">MTTHSW</x:t>
  </x:si>
  <x:si>
    <x:t xml:space="preserve">R136</x:t>
  </x:si>
  <x:si>
    <x:t xml:space="preserve">Ван Ц., Денисов О.В., Денисова Л.В. Методика определения коэффициента теплопроводности в окружном направлении полых стержневых элементов композитных космических конструкций // Тепловые процессы в технике. 2024. Т. 16. № 2. С. 86-99. EDN: BQPWNW</x:t>
  </x:si>
  <x:si>
    <x:t xml:space="preserve">Ван Ц., Денисов О. В., Денисова Л. В. Методика определения коэффициента теплопроводности в окружном направлении полых стержневых элементов композитных космических конструкций // Тепловые процессы в технике. — 2024. — Т. 16. — № 2. — С. 86–99.</x:t>
  </x:si>
  <x:si>
    <x:t xml:space="preserve">Ван Ц. | Денисов О. В. | Денисова Л. В.</x:t>
  </x:si>
  <x:si>
    <x:t xml:space="preserve">Методика определения коэффициента теплопроводности в окружном направлении полых стержневых элементов композитных космических конструкций</x:t>
  </x:si>
  <x:si>
    <x:t xml:space="preserve">Тепловые процессы в технике</x:t>
  </x:si>
  <x:si>
    <x:t xml:space="preserve">86–99</x:t>
  </x:si>
  <x:si>
    <x:t xml:space="preserve">BQPWNW</x:t>
  </x:si>
  <x:si>
    <x:t xml:space="preserve">R137</x:t>
  </x:si>
  <x:si>
    <x:t xml:space="preserve">Алифанов О.М. Обратные задачи теплообмена. Москва : Машиностроение, 1988. 280 с. URL: https://djvu.online/file/AxCbSvCpvgR0Q (дата обращения: 27.08.2025).</x:t>
  </x:si>
  <x:si>
    <x:t xml:space="preserve">Алифанов О. М. Обратные задачи теплообмена. — Москва : Машиностроение, 1988. — 280 с.</x:t>
  </x:si>
  <x:si>
    <x:t xml:space="preserve">Алифанов О. М.</x:t>
  </x:si>
  <x:si>
    <x:t xml:space="preserve">Обратные задачи теплообмена</x:t>
  </x:si>
  <x:si>
    <x:t xml:space="preserve">280</x:t>
  </x:si>
  <x:si>
    <x:t xml:space="preserve">https://djvu.online/file/AxCbSvCpvgR0Q</x:t>
  </x:si>
  <x:si>
    <x:t xml:space="preserve">Проверка оформления Михаилом: достаточно данных — Да. Исходный вариант Михаила до последующего переноса: Алифанов, О. М. Обратные задачи теплообмена. — Москва : Машиностроение, 1988. — 280 с.</x:t>
  </x:si>
  <x:si>
    <x:t xml:space="preserve">R138</x:t>
  </x:si>
  <x:si>
    <x:t xml:space="preserve">Криони Н.К., Рамазанов К.Н., Мингажева А.А., Мингажев А.Д. Влияние ионно-имплантационной активации поверхности конструкционных сталей 40Х и 40ХН на структуру и свойства азотированного слоя // Упрочняющие технологии и покрытия. 2025. Т. 21. № 3. С. 120–123. https://doi.org/10.36652/1813-1336-2025-21-3-120-123 EDN: FCKVZS</x:t>
  </x:si>
  <x:si>
    <x:t xml:space="preserve">Влияние ионно-имплантационной активации поверхности конструкционных сталей 40Х и 40ХН на структуру и свойства азотированного слоя / Н. К. Криони, К. Н. Рамазанов, А. А. Мингажева, А. Д. Мингажев // Упрочняющие технологии и покрытия. — 2025. — Т. 21. — № 3. — С. 120–123. — URL: https://www.mashin.ru/eshop/journals/uprochnyayuwie_tehnologii_i_pokrytiya/2031/16/ (дата обращения: 27.10.2026).</x:t>
  </x:si>
  <x:si>
    <x:t xml:space="preserve">Криони Н. К. | Рамазанов К. Н. | Мингажева А. А. | Мингажев А. Д.</x:t>
  </x:si>
  <x:si>
    <x:t xml:space="preserve">Влияние ионно-имплантационной активации поверхности конструкционных сталей 40Х и 40ХН на структуру и свойства азотированного слоя</x:t>
  </x:si>
  <x:si>
    <x:t xml:space="preserve">Упрочняющие технологии и покрытия</x:t>
  </x:si>
  <x:si>
    <x:t xml:space="preserve">120–123</x:t>
  </x:si>
  <x:si>
    <x:t xml:space="preserve">https://doi.org/10.36652/1813-1336-2025-21-3-120-123</x:t>
  </x:si>
  <x:si>
    <x:t xml:space="preserve">https://journals.rudn.ru/engineering-researches/article/view/51210?setLocale=ru_RU#articleCitations</x:t>
  </x:si>
  <x:si>
    <x:t xml:space="preserve">10.36652/1813-1336-2025-21-3-120-123</x:t>
  </x:si>
  <x:si>
    <x:t xml:space="preserve">Development of a Technological Process for Producing and Investigation of Cermet Electrodes Based on TiC-NiCrAl and TiC-NiCrAlY</x:t>
  </x:si>
  <x:si>
    <x:t xml:space="preserve">FCKVZS</x:t>
  </x:si>
  <x:si>
    <x:t xml:space="preserve">https://journals.rudn.ru/engineering-researches/article/view/51210</x:t>
  </x:si>
  <x:si>
    <x:t xml:space="preserve">https://www.mashin.ru/eshop/journals/uprochnyayuwie_tehnologii_i_pokrytiya/2031/16/</x:t>
  </x:si>
  <x:si>
    <x:t xml:space="preserve">Издательство Машиностроение -  03</x:t>
  </x:si>
  <x:si>
    <x:t xml:space="preserve">HTTP 200; проверка объекта 27.10.2026; https://www.mashin.ru/eshop/journals/uprochnyayuwie_tehnologii_i_pokrytiya/2031/16/</x:t>
  </x:si>
  <x:si>
    <x:t xml:space="preserve">R139</x:t>
  </x:si>
  <x:si>
    <x:t xml:space="preserve">Бурков А.А., Кулик М.А. Электроискровое осаждение покрытий Fe-Cr-Cu на сталь Ст3 // Известия высших учебных заведений. Порошковая металлургия и функциональные покрытия. 2023. Т. 17. № 4. С. 51–58. https://doi.org/10.17073/1997-308X-2023-4-51-58 EDN: VJTQKY</x:t>
  </x:si>
  <x:si>
    <x:t xml:space="preserve">Бурков А. А., Кулик М. А. Электроискровое осаждение покрытий Fe-Cr-Cu на сталь Ст3 // Известия высших учебных заведений. Порошковая металлургия и функциональные покрытия. — 2023. — Т. 17. — № 4. — С. 51–58. — URL: https://powder.misis.ru/jour/article/view/850 (дата обращения: 27.10.2026).</x:t>
  </x:si>
  <x:si>
    <x:t xml:space="preserve">Бурков А. А. | Кулик М. А.</x:t>
  </x:si>
  <x:si>
    <x:t xml:space="preserve">Электроискровое осаждение покрытий Fe-Cr-Cu на сталь Ст3</x:t>
  </x:si>
  <x:si>
    <x:t xml:space="preserve">Известия высших учебных заведений. Порошковая металлургия и функциональные покрытия</x:t>
  </x:si>
  <x:si>
    <x:t xml:space="preserve">51–58</x:t>
  </x:si>
  <x:si>
    <x:t xml:space="preserve">https://doi.org/10.17073/1997-308X-2023-4-51-58</x:t>
  </x:si>
  <x:si>
    <x:t xml:space="preserve">10.17073/1997-308X-2023-4-51-58</x:t>
  </x:si>
  <x:si>
    <x:t xml:space="preserve">VJTQKY</x:t>
  </x:si>
  <x:si>
    <x:t xml:space="preserve">https://powder.misis.ru/jour/article/view/850</x:t>
  </x:si>
  <x:si>
    <x:t xml:space="preserve">Электроискровое осаждение покрытий Fe–Cr–Cu на сталь Ст3 | Бурков | Известия вузов. Порошковая металлургия и функциональные покрытия | Электроискровое осаждение покрытий Fe–Cr–Cu на сталь Ст3 | Electrospark deposition of Fe–Cr–Cu coatings on St3 steel | Электроискровое осаждение покрытий Fe–Cr–Cu на сталь Ст3 | Электроискровое осаждение покрытий Fe–Cr–Cu на сталь Ст3 | Бурков | Известия вузов. Порошковая металлургия и функциональные покрытия</x:t>
  </x:si>
  <x:si>
    <x:t xml:space="preserve">HTTP 200; проверка объекта 27.10.2026; https://powder.misis.ru/jour/article/view/850</x:t>
  </x:si>
  <x:si>
    <x:t xml:space="preserve">Проверка оформления Михаилом: достаточно данных — Да. Открылась страница статьи; DOI на странице совпал с DOI строки. Источник: Подтверждения_28_10_2026.html. Исходный вариант Михаила до последующего переноса: Бурков, А. А. Электроискровое осаждение покрытий Fe-Cr-Cu на сталь Ст3 / А. А. Бурков, М. А. Кулик // Известия высших учебных заведений. Порошковая металлургия и функциональные покрытия. — 2023. — Т. 17, № 4. — С. 51–58. — URL: https://powder.misis.ru/jour/article/view/850 (дата обращения: 27.10.2026).</x:t>
  </x:si>
  <x:si>
    <x:t xml:space="preserve">R140</x:t>
  </x:si>
  <x:si>
    <x:t xml:space="preserve">Лукин Н.А., Филимонов А.Ю. Технологии программирования алгоритмов на архитектурах однородных вычислительных сред // Вестник Томского государственного университета. Управление, вычислительная техника и информатика. 2017. № 40. С. 61-70. https://doi.org/10.17223/19988605/40/7 EDN: ZHJMDX</x:t>
  </x:si>
  <x:si>
    <x:t xml:space="preserve">Лукин Н. А., Филимонов А. Ю. Технологии программирования алгоритмов на архитектурах однородных вычислительных сред // Вестник Томского государственного университета. Управление, вычислительная техника и информатика. — 2017. — № 40. — С. 61–70.</x:t>
  </x:si>
  <x:si>
    <x:t xml:space="preserve">Лукин Н. А. | Филимонов А. Ю.</x:t>
  </x:si>
  <x:si>
    <x:t xml:space="preserve">Технологии программирования алгоритмов на архитектурах однородных вычислительных сред</x:t>
  </x:si>
  <x:si>
    <x:t xml:space="preserve">Вестник Томского государственного университета. Управление, вычислительная техника и информатика</x:t>
  </x:si>
  <x:si>
    <x:t xml:space="preserve">40</x:t>
  </x:si>
  <x:si>
    <x:t xml:space="preserve">61–70</x:t>
  </x:si>
  <x:si>
    <x:t xml:space="preserve">https://doi.org/10.17223/19988605/40/7</x:t>
  </x:si>
  <x:si>
    <x:t xml:space="preserve">https://journals.rudn.ru/engineering-researches/article/view/51211?setLocale=ru_RU#articleCitations</x:t>
  </x:si>
  <x:si>
    <x:t xml:space="preserve">10.17223/19988605/40/7</x:t>
  </x:si>
  <x:si>
    <x:t xml:space="preserve">Algorithm for Adaptive Control of Dynamic Processes in an Organizational and Technical System Within a Neural-Network Computational Framework</x:t>
  </x:si>
  <x:si>
    <x:t xml:space="preserve">ZHJMDX</x:t>
  </x:si>
  <x:si>
    <x:t xml:space="preserve">https://journals.rudn.ru/engineering-researches/article/view/51211</x:t>
  </x:si>
  <x:si>
    <x:t xml:space="preserve">R141</x:t>
  </x:si>
  <x:si>
    <x:t xml:space="preserve">Кварацхелия Л.Д. Программа обеспечения автоматизации управления режимом доступа к ресурсам файловой системы // Евразийский союз учёных (ЕСУ). 2019. № 7 (64), ч. 6. С. 34. https://doi.org/10.31618/ESU.2413-9335.2019.6.64</x:t>
  </x:si>
  <x:si>
    <x:t xml:space="preserve">Кварацхелия Л. Д. Программа обеспечения автоматизации управления режимом доступа к ресурсам файловой системы // Евразийский союз учёных (ЕСУ). — 2019. — № 7 (64). — С. 34.</x:t>
  </x:si>
  <x:si>
    <x:t xml:space="preserve">Кварацхелия Л. Д.</x:t>
  </x:si>
  <x:si>
    <x:t xml:space="preserve">Программа обеспечения автоматизации управления режимом доступа к ресурсам файловой системы</x:t>
  </x:si>
  <x:si>
    <x:t xml:space="preserve">Евразийский союз учёных (ЕСУ)</x:t>
  </x:si>
  <x:si>
    <x:t xml:space="preserve">7 (64)</x:t>
  </x:si>
  <x:si>
    <x:t xml:space="preserve">34</x:t>
  </x:si>
  <x:si>
    <x:t xml:space="preserve">https://doi.org/10.31618/ESU.2413-9335.2019.6.64</x:t>
  </x:si>
  <x:si>
    <x:t xml:space="preserve">https://journals.rudn.ru/engineering-researches/article/view/51212?setLocale=ru_RU#articleCitations</x:t>
  </x:si>
  <x:si>
    <x:t xml:space="preserve">10.31618/ESU.2413-9335.2019.6.64</x:t>
  </x:si>
  <x:si>
    <x:t xml:space="preserve">Comparative Analysis of Open-Source Object Data Storage Systems</x:t>
  </x:si>
  <x:si>
    <x:t xml:space="preserve">https://journals.rudn.ru/engineering-researches/article/view/51212</x:t>
  </x:si>
  <x:si>
    <x:t xml:space="preserve">R142</x:t>
  </x:si>
  <x:si>
    <x:t xml:space="preserve">Смирнов А.А., Бабкин А.А., Галеев В.В. S3-хранилище против блочного и файлового хранилищ // Научный лидер. 2024. № 34 (184). С. 11-12. URL: https://scilead.ru/media/journal_pdf_184.pdf#page=11 (дата обращения: 27.11.2025).</x:t>
  </x:si>
  <x:si>
    <x:t xml:space="preserve">Смирнов А. А., Бабкин А. А., Галеев В. В. S3-хранилище против блочного и файлового хранилищ // Научный лидер. — 2024. — № 34 (184). — С. 11–12. — URL: https://scilead.ru/media/journal_pdf_184.pdf#page=11 (дата обращения: 27.10.2026).</x:t>
  </x:si>
  <x:si>
    <x:t xml:space="preserve">Смирнов А. А. | Бабкин А. А. | Галеев В. В.</x:t>
  </x:si>
  <x:si>
    <x:t xml:space="preserve">S3-хранилище против блочного и файлового хранилищ</x:t>
  </x:si>
  <x:si>
    <x:t xml:space="preserve">Научный лидер</x:t>
  </x:si>
  <x:si>
    <x:t xml:space="preserve">34 (184)</x:t>
  </x:si>
  <x:si>
    <x:t xml:space="preserve">11–12</x:t>
  </x:si>
  <x:si>
    <x:t xml:space="preserve">https://scilead.ru/media/journal_pdf_184.pdf#page=11</x:t>
  </x:si>
  <x:si>
    <x:t xml:space="preserve">Смирнов Арсений Александрович 
Студент 
БГТУ «Военмех» им. Д.Ф. Устинова 
Бабкин Антон Алексеевич 
Студент 
БГТУ «Военмех» им. Д.Ф. Устинова 
Галеев Владислав Владимирович 
Студент 
БГТУ «Военмех» им. Д.Ф. Устинова 
S3 ХРАНИЛИЩЕ ПРОТИВ БЛОЧНОГО И ФАЙ</x:t>
  </x:si>
  <x:si>
    <x:t xml:space="preserve">HTTP 200; проверка объекта 27.10.2026; https://scilead.ru/media/journal_pdf_184.pdf#page=11</x:t>
  </x:si>
  <x:si>
    <x:t xml:space="preserve">R143</x:t>
  </x:si>
  <x:si>
    <x:t xml:space="preserve">Васяйчева В.А. Развитие подходов к управлению инновационной деятельностью промышленных предприятий. Самара : САМАРАМА, 2022. 188 с. ISBN 978-5-6048162-7-1 EDN: WVMOWO</x:t>
  </x:si>
  <x:si>
    <x:t xml:space="preserve">Васяйчева В. А. Развитие подходов к управлению инновационной деятельностью промышленных предприятий. — Самара : САМАРАМА, 2022. — 188 с.</x:t>
  </x:si>
  <x:si>
    <x:t xml:space="preserve">Васяйчева В. А.</x:t>
  </x:si>
  <x:si>
    <x:t xml:space="preserve">Развитие подходов к управлению инновационной деятельностью промышленных предприятий</x:t>
  </x:si>
  <x:si>
    <x:t xml:space="preserve">188</x:t>
  </x:si>
  <x:si>
    <x:t xml:space="preserve">САМАРАМА</x:t>
  </x:si>
  <x:si>
    <x:t xml:space="preserve">Самара</x:t>
  </x:si>
  <x:si>
    <x:t xml:space="preserve">978-5-6048162-7-1</x:t>
  </x:si>
  <x:si>
    <x:t xml:space="preserve">https://journals.rudn.ru/engineering-researches/article/view/51214?setLocale=ru_RU#articleCitations</x:t>
  </x:si>
  <x:si>
    <x:t xml:space="preserve">Adaptive Algorithm for Decentralized Management of Innovation Projects Under Conditions of Limited Managerial Attention Resources</x:t>
  </x:si>
  <x:si>
    <x:t xml:space="preserve">WVMOWO</x:t>
  </x:si>
  <x:si>
    <x:t xml:space="preserve">https://journals.rudn.ru/engineering-researches/article/view/51214</x:t>
  </x:si>
  <x:si>
    <x:t xml:space="preserve">R144</x:t>
  </x:si>
  <x:si>
    <x:t xml:space="preserve">Хайруллин М.Ф. Роль руководителя в системе проектного менеджмента // Экономика и бизнес: теория и практика. 2024. № 12-3. С. 151-153. https://doi.org/10.24412/2411-0450-2024-12-3-151-153 EDN: QGOZER</x:t>
  </x:si>
  <x:si>
    <x:t xml:space="preserve">Хайруллин М. Ф. Роль руководителя в системе проектного менеджмента // Экономика и бизнес: теория и практика. — 2024. — № 12-3. — С. 151–153. — URL: https://cyberleninka.ru/article/n/rol-rukovoditelya-v-sisteme-proektnogo-menedzhmenta (дата обращения: 27.10.2026).</x:t>
  </x:si>
  <x:si>
    <x:t xml:space="preserve">Хайруллин М. Ф.</x:t>
  </x:si>
  <x:si>
    <x:t xml:space="preserve">Роль руководителя в системе проектного менеджмента</x:t>
  </x:si>
  <x:si>
    <x:t xml:space="preserve">Экономика и бизнес: теория и практика</x:t>
  </x:si>
  <x:si>
    <x:t xml:space="preserve">12-3</x:t>
  </x:si>
  <x:si>
    <x:t xml:space="preserve">151–153</x:t>
  </x:si>
  <x:si>
    <x:t xml:space="preserve">https://doi.org/10.24412/2411-0450-2024-12-3-151-153</x:t>
  </x:si>
  <x:si>
    <x:t xml:space="preserve">10.24412/2411-0450-2024-12-3-151-153</x:t>
  </x:si>
  <x:si>
    <x:t xml:space="preserve">QGOZER</x:t>
  </x:si>
  <x:si>
    <x:t xml:space="preserve">https://cyberleninka.ru/article/n/rol-rukovoditelya-v-sisteme-proektnogo-menedzhmenta</x:t>
  </x:si>
  <x:si>
    <x:t xml:space="preserve">РОЛЬ РУКОВОДИТЕЛЯ В СИСТЕМЕ ПРОЕКТНОГО МЕНЕДЖМЕНТА | РОЛЬ РУКОВОДИТЕЛЯ В СИСТЕМЕ ПРОЕКТНОГО МЕНЕДЖМЕНТА | РОЛЬ РУКОВОДИТЕЛЯ В СИСТЕМЕ ПРОЕКТНОГО МЕНЕДЖМЕНТА – тема научной статьи по экономике и бизнесу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</x:si>
  <x:si>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https://cyberleninka.ru/article/n/rol-rukovoditelya-v-sisteme-proektnogo-menedzhmenta</x:t>
  </x:si>
  <x:si>
    <x:t xml:space="preserve">R145</x:t>
  </x:si>
  <x:si>
    <x:t xml:space="preserve">Титов С.А., Титова Н.В. Личность руководителя проекта: характеристики и компетенции // Вестник университета. 2024. № 4. С. 33-41. https://doi.org/10.26425/1816-4277-2024-4-33-41 EDN: XJRMCJ</x:t>
  </x:si>
  <x:si>
    <x:t xml:space="preserve">Титов С. А., Титова Н. В. Личность руководителя проекта : характеристики и компетенции // Вестник университета. — 2024. — № 4. — С. 33–41. — URL: https://vestnik.guu.ru/jour/article/view/5214 (дата обращения: 27.10.2026).</x:t>
  </x:si>
  <x:si>
    <x:t xml:space="preserve">Титов С. А. | Титова Н. В.</x:t>
  </x:si>
  <x:si>
    <x:t xml:space="preserve">Личность руководителя проекта: характеристики и компетенции</x:t>
  </x:si>
  <x:si>
    <x:t xml:space="preserve">Вестник университета</x:t>
  </x:si>
  <x:si>
    <x:t xml:space="preserve">33–41</x:t>
  </x:si>
  <x:si>
    <x:t xml:space="preserve">https://doi.org/10.26425/1816-4277-2024-4-33-41</x:t>
  </x:si>
  <x:si>
    <x:t xml:space="preserve">10.26425/1816-4277-2024-4-33-41</x:t>
  </x:si>
  <x:si>
    <x:t xml:space="preserve">XJRMCJ</x:t>
  </x:si>
  <x:si>
    <x:t xml:space="preserve">https://vestnik.guu.ru/jour/article/view/5214</x:t>
  </x:si>
  <x:si>
    <x:t xml:space="preserve">Личность руководителя проекта: характеристики и компетенции | Титов | Вестник университета | Личность руководителя проекта: характеристики и компетенции | Project manager’s personality: traits and competencies | Личность руководителя проекта: характеристики и компетенции | Личность руководителя проекта: характеристики и компетенции | Титов | Вестник университета</x:t>
  </x:si>
  <x:si>
    <x:t xml:space="preserve">HTTP 200; проверка объекта 27.10.2026; https://vestnik.guu.ru/jour/article/view/5214</x:t>
  </x:si>
  <x:si>
    <x:t xml:space="preserve">R146</x:t>
  </x:si>
  <x:si>
    <x:t xml:space="preserve">Погорелова Л.А. Энтропийный подход к уп-равлению объемами незавершенного производства на предприятии // Вестник Сибирского института бизнеса и информационных технологий. 2025. Т. 14. № 4. С. 119-125. https://doi.org/10.24412/2225-8264-2025-4-1013 EDN KNJKIM</x:t>
  </x:si>
  <x:si>
    <x:t xml:space="preserve">Погорелова Л. А. Энтропийный подход к уп-равлению объемами незавершенного производства на предприятии // Вестник Сибирского института бизнеса и информационных технологий. — 2025. — Т. 14. — № 4. — С. 119–125. — URL: https://cyberleninka.ru/article/n/entropiynyy-podhod-k-upravleniyu-obemami-nezavershennogo-proizvodstva-na-predpriyatii (дата обращения: 27.10.2026).</x:t>
  </x:si>
  <x:si>
    <x:t xml:space="preserve">Погорелова Л. А.</x:t>
  </x:si>
  <x:si>
    <x:t xml:space="preserve">Энтропийный подход к уп-равлению объемами незавершенного производства на предприятии</x:t>
  </x:si>
  <x:si>
    <x:t xml:space="preserve">Вестник Сибирского института бизнеса и информационных технологий</x:t>
  </x:si>
  <x:si>
    <x:t xml:space="preserve">119–125</x:t>
  </x:si>
  <x:si>
    <x:t xml:space="preserve">https://doi.org/10.24412/2225-8264-2025-4-1013</x:t>
  </x:si>
  <x:si>
    <x:t xml:space="preserve">10.24412/2225-8264-2025-4-1013</x:t>
  </x:si>
  <x:si>
    <x:t xml:space="preserve">KNJKIM</x:t>
  </x:si>
  <x:si>
    <x:t xml:space="preserve">https://cyberleninka.ru/article/n/entropiynyy-podhod-k-upravleniyu-obemami-nezavershennogo-proizvodstva-na-predpriyatii</x:t>
  </x:si>
  <x:si>
    <x:t xml:space="preserve">Энтропийный подход к управлению объемами незавершенного производства на предприятии | Энтропийный подход к управлению объемами незавершенного производства на предприятии | Энтропийный подход к управлению объемами незавершенного производства на предприятии – тема научной статьи по экономике и бизнесу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</x:si>
  <x:si>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https://cyberleninka.ru/article/n/entropiynyy-podhod-k-upravleniyu-obemami-nezavershennogo-proizvodstva-na-predpriyatii</x:t>
  </x:si>
  <x:si>
    <x:t xml:space="preserve">R147</x:t>
  </x:si>
  <x:si>
    <x:t xml:space="preserve">Полющенков И.С. Разработка следящего электропривода с векторным управлением вентильным электрическим двигателем // Вестник Ивановского государственного энергетического университета. 2025. № 5. С. 68–80. https://doi.org/10.17588/2072-2672.2025.5.068-080 EDN: GCHDVI</x:t>
  </x:si>
  <x:si>
    <x:t xml:space="preserve">Полющенков И. С. Разработка следящего электропривода с векторным управлением вентильным электрическим двигателем // Вестник Ивановского государственного энергетического университета. — 2025. — № 5. — С. 68–80. — URL: http://vestnik.ispu.ru/sites/vestnik.ispu.ru/files/published/5-25-str.68-80.pdf (дата обращения: 27.10.2026).</x:t>
  </x:si>
  <x:si>
    <x:t xml:space="preserve">Полющенков И. С.</x:t>
  </x:si>
  <x:si>
    <x:t xml:space="preserve">Разработка следящего электропривода с векторным управлением вентильным электрическим двигателем</x:t>
  </x:si>
  <x:si>
    <x:t xml:space="preserve">Вестник Ивановского государственного энергетического университета</x:t>
  </x:si>
  <x:si>
    <x:t xml:space="preserve">68–80</x:t>
  </x:si>
  <x:si>
    <x:t xml:space="preserve">https://doi.org/10.17588/2072-2672.2025.5.068-080</x:t>
  </x:si>
  <x:si>
    <x:t xml:space="preserve">https://journals.rudn.ru/engineering-researches/article/view/51215?setLocale=ru_RU#articleCitations</x:t>
  </x:si>
  <x:si>
    <x:t xml:space="preserve">10.17588/2072-2672.2025.5.068-080</x:t>
  </x:si>
  <x:si>
    <x:t xml:space="preserve">Comparison of the Model and the Experiment of Synchronizing Two Shafts with a PID Controller Using Incremental Encoders and Frequency Converters</x:t>
  </x:si>
  <x:si>
    <x:t xml:space="preserve">GCHDVI</x:t>
  </x:si>
  <x:si>
    <x:t xml:space="preserve">https://journals.rudn.ru/engineering-researches/article/view/51215</x:t>
  </x:si>
  <x:si>
    <x:t xml:space="preserve">http://vestnik.ispu.ru/sites/vestnik.ispu.ru/files/published/5-25-str.68-80.pdf</x:t>
  </x:si>
  <x:si>
    <x:t xml:space="preserve"> «Вестник ИГЭУ».    2025 г.    Вып. 5 
68 
ЭЛЕКТРОМЕХАНИКА 
УДК 621.3+62-51  
Игорь Сергеевич Полющенков 
ООО НПО «Рубикон – Инновация», канд идат технических наук, инженер отдела №36, Росси я, Смоленск ,  
e-mail:</x:t>
  </x:si>
  <x:si>
    <x:t xml:space="preserve">HTTP 200; проверка объекта 27.10.2026; http://vestnik.ispu.ru/sites/vestnik.ispu.ru/files/published/5-25-str.68-80.pdf</x:t>
  </x:si>
  <x:si>
    <x:t xml:space="preserve">R148</x:t>
  </x:si>
  <x:si>
    <x:t xml:space="preserve">Кузнецов А.А., Григорьев С.Г., Гриншкун В.В. Проект примерной программы по информатике для основной общеобразовательной школы // Вестник МГПУ. Серия: Информатика и информатизация образования. 2011. № 22. С. 5–24.</x:t>
  </x:si>
  <x:si>
    <x:t xml:space="preserve">Кузнецов А. А., Григорьев С. Г., Гриншкун В. В. Проект примерной программы по информатике для основной общеобразовательной школы // Вестник МГПУ. Серия: Информатика и информатизация образования. — 2011. — № 22. — С. 5–24.</x:t>
  </x:si>
  <x:si>
    <x:t xml:space="preserve">Кузнецов А. А. | Григорьев С. Г. | Гриншкун В. В.</x:t>
  </x:si>
  <x:si>
    <x:t xml:space="preserve">Проект примерной программы по информатике для основной общеобразовательной школы</x:t>
  </x:si>
  <x:si>
    <x:t xml:space="preserve">Вестник МГПУ. Серия: Информатика и информатизация образования</x:t>
  </x:si>
  <x:si>
    <x:t xml:space="preserve">5–24</x:t>
  </x:si>
  <x:si>
    <x:t xml:space="preserve">https://journals.rudn.ru/informatization-education/article/view/42313?setLocale=ru_RU#articleCitations</x:t>
  </x:si>
  <x:si>
    <x:t xml:space="preserve">Feasibility and appropriateness of using electronic hierarchical structures in teaching computer science in primary school</x:t>
  </x:si>
  <x:si>
    <x:t xml:space="preserve">https://journals.rudn.ru/informatization-education/article/view/42313</x:t>
  </x:si>
  <x:si>
    <x:t xml:space="preserve">R149</x:t>
  </x:si>
  <x:si>
    <x:t xml:space="preserve">Гриншкун В.В. Теория и практика применения иерархических структур в информатизации образования и обучении информатике. М.: МГПУ, 2004. 418 с.</x:t>
  </x:si>
  <x:si>
    <x:t xml:space="preserve">Гриншкун В. В. Теория и практика применения иерархических структур в информатизации образования и обучении информатике. — Москва : МГПУ, 2004. — 418 с.</x:t>
  </x:si>
  <x:si>
    <x:t xml:space="preserve">Гриншкун В. В.</x:t>
  </x:si>
  <x:si>
    <x:t xml:space="preserve">Теория и практика применения иерархических структур в информатизации образования и обучении информатике</x:t>
  </x:si>
  <x:si>
    <x:t xml:space="preserve">418</x:t>
  </x:si>
  <x:si>
    <x:t xml:space="preserve">МГПУ</x:t>
  </x:si>
  <x:si>
    <x:t xml:space="preserve">R150</x:t>
  </x:si>
  <x:si>
    <x:t xml:space="preserve">Фролов Ю.В., Яковлев В.Б., Серышев Р.В., Воловиков С.А. Бизнес-модели, аналитика данных и цифровая трансформация организации: подходы и методы. М.: МГПУ, 2021. 176 с.</x:t>
  </x:si>
  <x:si>
    <x:t xml:space="preserve">Бизнес-модели, аналитика данных и цифровая трансформация организации : подходы и методы / Ю. В. Фролов, В. Б. Яковлев, Р. В. Серышев, С. А. Воловиков. — Москва : МГПУ, 2021. — 176 с.</x:t>
  </x:si>
  <x:si>
    <x:t xml:space="preserve">Фролов Ю. В. | Яковлев В. Б. | Серышев Р. В. | Воловиков С. А.</x:t>
  </x:si>
  <x:si>
    <x:t xml:space="preserve">Бизнес-модели, аналитика данных и цифровая трансформация организации: подходы и методы</x:t>
  </x:si>
  <x:si>
    <x:t xml:space="preserve">https://journals.rudn.ru/informatization-education/article/view/42315?setLocale=ru_RU#articleCitations</x:t>
  </x:si>
  <x:si>
    <x:t xml:space="preserve">Phygitalization of educational technologies in Russia: directions, examples, problems</x:t>
  </x:si>
  <x:si>
    <x:t xml:space="preserve">https://journals.rudn.ru/informatization-education/article/view/42315</x:t>
  </x:si>
  <x:si>
    <x:t xml:space="preserve">R151</x:t>
  </x:si>
  <x:si>
    <x:t xml:space="preserve">Нестеренко Ю.А. Перевод как способ осуществления реферирования текстов // Тенденции развития науки и образования. 2023. № 96. Ч. 3. С. 60–63. https://doi.org/10.18411/trnio-04-2023-132</x:t>
  </x:si>
  <x:si>
    <x:t xml:space="preserve">Нестеренко Ю. А. Перевод как способ осуществления реферирования текстов // Тенденции развития науки и образования. — 2023. — № 96. — С. 60–63. — URL: https://doicode.ru/doifile/lj/96/trnio-04-2023-132.pdf (дата обращения: 27.10.2026).</x:t>
  </x:si>
  <x:si>
    <x:t xml:space="preserve">Нестеренко Ю. А.</x:t>
  </x:si>
  <x:si>
    <x:t xml:space="preserve">Перевод как способ осуществления реферирования текстов</x:t>
  </x:si>
  <x:si>
    <x:t xml:space="preserve">Тенденции развития науки и образования</x:t>
  </x:si>
  <x:si>
    <x:t xml:space="preserve">96</x:t>
  </x:si>
  <x:si>
    <x:t xml:space="preserve">60–63</x:t>
  </x:si>
  <x:si>
    <x:t xml:space="preserve">https://doi.org/10.18411/trnio-04-2023-132</x:t>
  </x:si>
  <x:si>
    <x:t xml:space="preserve">https://journals.rudn.ru/informatization-education/article/view/42316?setLocale=ru_RU#articleCitations</x:t>
  </x:si>
  <x:si>
    <x:t xml:space="preserve">10.18411/trnio-04-2023-132</x:t>
  </x:si>
  <x:si>
    <x:t xml:space="preserve">Approaches to the usage of machine translation systems for the organization of independent work of students of a pedagogical university with English-language scientific texts</x:t>
  </x:si>
  <x:si>
    <x:t xml:space="preserve">https://journals.rudn.ru/informatization-education/article/view/42316</x:t>
  </x:si>
  <x:si>
    <x:t xml:space="preserve">https://doicode.ru/doifile/lj/96/trnio-04-2023-132.pdf</x:t>
  </x:si>
  <x:si>
    <x:t xml:space="preserve">-60- Тенденции развития науки и образования 
Нестеренко Ю.А. 
Перевод как способ осуществления реферирования текстов 
Российская Открытая Академия Транспорта РОАТ (МИИТ) 
(Россия, Москва) 
doi: 10.18411/trnio-04-2023-132 
Аннотация 
Цель статьи с</x:t>
  </x:si>
  <x:si>
    <x:t xml:space="preserve">HTTP 200; проверка объекта 27.10.2026; https://doicode.ru/doifile/lj/96/trnio-04-2023-132.pdf</x:t>
  </x:si>
  <x:si>
    <x:t xml:space="preserve">R152</x:t>
  </x:si>
  <x:si>
    <x:t xml:space="preserve">Готская И.Б., Жучков В.М. Актуализация содержания обучения цифровым производственным технологиям бакалавров и магистров технологического образования: постановка проблемы // Информатизация непрерывного образования – 2018: материалы Международной научной конференции. Т. 1. М.: РУДН, 2018. С. 132–137. https://www.mgpu.ru/wp-content/uploads/2021/01/Sbornik-materialov-t.1.pdf#page=132</x:t>
  </x:si>
  <x:si>
    <x:t xml:space="preserve">Готская И. Б., Жучков В. М. Актуализация содержания обучения цифровым производственным технологиям бакалавров и магистров технологического образования : постановка проблемы // Информатизация непрерывного образования. — 2018. — Т. 1. — С. 132–137.</x:t>
  </x:si>
  <x:si>
    <x:t xml:space="preserve">Готская И. Б. | Жучков В. М.</x:t>
  </x:si>
  <x:si>
    <x:t xml:space="preserve">Актуализация содержания обучения цифровым производственным технологиям бакалавров и магистров технологического образования: постановка проблемы</x:t>
  </x:si>
  <x:si>
    <x:t xml:space="preserve">Информатизация непрерывного образования</x:t>
  </x:si>
  <x:si>
    <x:t xml:space="preserve">132–137</x:t>
  </x:si>
  <x:si>
    <x:t xml:space="preserve">https://www.mgpu.ru/wp-content/uploads/2021/01/Sbornik-materialov-t.1.pdf#page=132</x:t>
  </x:si>
  <x:si>
    <x:t xml:space="preserve">R153</x:t>
  </x:si>
  <x:si>
    <x:t xml:space="preserve">Селиверстова Н.А. Информальное образование: результаты качественного исследования // Знание. Понимание. Умение. 2018. № 3. С. 112–122. https://doi.org/10.17805/zpu.2018.3.10</x:t>
  </x:si>
  <x:si>
    <x:t xml:space="preserve">Селиверстова Н. А. Информальное образование : результаты качественного исследования // Знание. Понимание. Умение. — 2018. — № 3. — С. 112–122. — URL: http://journals.mosgu.ru/zpu/article/view/780 (дата обращения: 27.10.2026).</x:t>
  </x:si>
  <x:si>
    <x:t xml:space="preserve">Селиверстова Н. А.</x:t>
  </x:si>
  <x:si>
    <x:t xml:space="preserve">Информальное образование: результаты качественного исследования</x:t>
  </x:si>
  <x:si>
    <x:t xml:space="preserve">Знание. Понимание. Умение</x:t>
  </x:si>
  <x:si>
    <x:t xml:space="preserve">112–122</x:t>
  </x:si>
  <x:si>
    <x:t xml:space="preserve">https://doi.org/10.17805/zpu.2018.3.10</x:t>
  </x:si>
  <x:si>
    <x:t xml:space="preserve">https://journals.rudn.ru/informatization-education/article/view/42317?setLocale=ru_RU#articleCitations</x:t>
  </x:si>
  <x:si>
    <x:t xml:space="preserve">10.17805/zpu.2018.3.10</x:t>
  </x:si>
  <x:si>
    <x:t xml:space="preserve">A conceptual framework for the instructional design of a Moodle-based e-learning course for mainstreaming informal master’s education outcomes into ESP teaching in a formal non-linguistic setting</x:t>
  </x:si>
  <x:si>
    <x:t xml:space="preserve">https://journals.rudn.ru/informatization-education/article/view/42317</x:t>
  </x:si>
  <x:si>
    <x:t xml:space="preserve">http://journals.mosgu.ru/zpu/article/view/780</x:t>
  </x:si>
  <x:si>
    <x:t xml:space="preserve">Информальное образование: результаты качественного исследования | Информальное образование: результаты качественного исследования | Информальное образование: результаты качественного исследования | Селиверстова | Знание. Понимание. Умение</x:t>
  </x:si>
  <x:si>
    <x:t xml:space="preserve">HTTP 200; проверка объекта 27.10.2026; http://journals.mosgu.ru/zpu/article/view/780</x:t>
  </x:si>
  <x:si>
    <x:t xml:space="preserve">R154</x:t>
  </x:si>
  <x:si>
    <x:t xml:space="preserve">Сапрыкина Д.И., Волохович А.А. Проблемы перехода на дистанционное обучение в Российской Федерации глазами учителей. М.: НИУ ВШЭ, 2020. 32 с. (Серия «Факты образования». Вып. 4(29)).</x:t>
  </x:si>
  <x:si>
    <x:t xml:space="preserve">Сапрыкина Д. И., Волохович А. А. Проблемы перехода на дистанционное обучение в Российской Федерации глазами учителей. — Москва : НИУ ВШЭ, 2020. — 32 с.</x:t>
  </x:si>
  <x:si>
    <x:t xml:space="preserve">Сапрыкина Д. И. | Волохович А. А.</x:t>
  </x:si>
  <x:si>
    <x:t xml:space="preserve">Проблемы перехода на дистанционное обучение в Российской Федерации глазами учителей</x:t>
  </x:si>
  <x:si>
    <x:t xml:space="preserve">НИУ ВШЭ</x:t>
  </x:si>
  <x:si>
    <x:t xml:space="preserve">https://journals.rudn.ru/informatization-education/article/view/42318?setLocale=ru_RU#articleCitations</x:t>
  </x:si>
  <x:si>
    <x:t xml:space="preserve">Assessing the effectiveness of using electronic distance learning methods and the relationship with the results of the Bennett and Unified State Exam tests</x:t>
  </x:si>
  <x:si>
    <x:t xml:space="preserve">https://journals.rudn.ru/informatization-education/article/view/42318</x:t>
  </x:si>
  <x:si>
    <x:t xml:space="preserve">R155</x:t>
  </x:si>
  <x:si>
    <x:t xml:space="preserve">Чистобаева Л.В. К вопросу об интеграции цифровых образовательных ресурсов и сервисов в процесс профессионально-ориентированной языковой подго­товки в техническом вузе в условиях реализации смешанного формата обучения // Вестник Майкопского государственного технологического университета. 2021. № 1 (13). С. 87–93. https://doi.org/10.47370/2078-1024-2021-13-1-87-93</x:t>
  </x:si>
  <x:si>
    <x:t xml:space="preserve">Чистобаева Л. В. К вопросу об интеграции цифровых образовательных ресурсов и сервисов в процесс профессионально-ориентированной языковой подго­товки в техническом вузе в условиях реализации смешанного формата обучения // Вестник Майкопского государственного технологического университета. — 2021. — № 1 (13). — С. 87–93. — URL: http://lib.mkgtu.ru/images/stories/journal-vmgtu/2021-01/011.pdf (дата обращения: 27.10.2026).</x:t>
  </x:si>
  <x:si>
    <x:t xml:space="preserve">Чистобаева Л. В.</x:t>
  </x:si>
  <x:si>
    <x:t xml:space="preserve">К вопросу об интеграции цифровых образовательных ресурсов и сервисов в процесс профессионально-ориентированной языковой подго­товки в техническом вузе в условиях реализации смешанного формата обучения</x:t>
  </x:si>
  <x:si>
    <x:t xml:space="preserve">Вестник Майкопского государственного технологического университета</x:t>
  </x:si>
  <x:si>
    <x:t xml:space="preserve">1 (13)</x:t>
  </x:si>
  <x:si>
    <x:t xml:space="preserve">87–93</x:t>
  </x:si>
  <x:si>
    <x:t xml:space="preserve">https://doi.org/10.47370/2078-1024-2021-13-1-87-93</x:t>
  </x:si>
  <x:si>
    <x:t xml:space="preserve">https://journals.rudn.ru/informatization-education/article/view/42320?setLocale=ru_RU#articleCitations</x:t>
  </x:si>
  <x:si>
    <x:t xml:space="preserve">10.47370/2078-1024-2021-13-1-87-93</x:t>
  </x:si>
  <x:si>
    <x:t xml:space="preserve">A model of digital transformation of the learning process in higher education</x:t>
  </x:si>
  <x:si>
    <x:t xml:space="preserve">https://journals.rudn.ru/informatization-education/article/view/42320</x:t>
  </x:si>
  <x:si>
    <x:t xml:space="preserve">http://lib.mkgtu.ru/images/stories/journal-vmgtu/2021-01/011.pdf</x:t>
  </x:si>
  <x:si>
    <x:t xml:space="preserve">ISSN 2078-1024  VESTNIK  MAJKOPSKOGO  GOSUDARSTVENNOGO  TEHNOLOGICESKOGO  UNIVERSITETA  2021.  13/1 
https://doi.org/10.47370/2078-1024-2021-13-1-87-93 
УДК  378.016:811.111 
Чистобаева  Л.  В. 
К ВОПРОСУ  ОБ  ИНТЕГРАЦИИ  ЦИФРОВЫХ 
ОБРАЗОВАТЕЛЬНЫХ  Р</x:t>
  </x:si>
  <x:si>
    <x:t xml:space="preserve">HTTP 200; проверка объекта 27.10.2026; http://lib.mkgtu.ru/images/stories/journal-vmgtu/2021-01/011.pdf</x:t>
  </x:si>
  <x:si>
    <x:t xml:space="preserve">R156</x:t>
  </x:si>
  <x:si>
    <x:t xml:space="preserve">Коннова Л.П., Липагина Л.В., Олехова Е.Ф., Рылов А.А., Степанян И.К. Корректирующий подход к оцениванию академических достижений студентов в LMS MOODLE // Информатика и образование. 2022. Т. 37. № 6. С. 75–85. https://doi.org/10.32517/0234-0453-2022-37-6-75-85</x:t>
  </x:si>
  <x:si>
    <x:t xml:space="preserve">Корректирующий подход к оцениванию академических достижений студентов в LMS MOODLE / Л. П. Коннова, Л. В. Липагина, Е. Ф. Олехова, А. А. Рылов, И. К. Степанян // Информатика и образование. — 2022. — Т. 37. — № 6. — С. 75–85. — URL: https://info.infojournal.ru/jour/article/view/887 (дата обращения: 27.10.2026).</x:t>
  </x:si>
  <x:si>
    <x:t xml:space="preserve">Коннова Л. П. | Липагина Л. В. | Олехова Е. Ф. | Рылов А. А. | Степанян И. К.</x:t>
  </x:si>
  <x:si>
    <x:t xml:space="preserve">Корректирующий подход к оцениванию академических достижений студентов в LMS MOODLE</x:t>
  </x:si>
  <x:si>
    <x:t xml:space="preserve">Информатика и образование</x:t>
  </x:si>
  <x:si>
    <x:t xml:space="preserve">37</x:t>
  </x:si>
  <x:si>
    <x:t xml:space="preserve">75–85</x:t>
  </x:si>
  <x:si>
    <x:t xml:space="preserve">https://doi.org/10.32517/0234-0453-2022-37-6-75-85</x:t>
  </x:si>
  <x:si>
    <x:t xml:space="preserve">10.32517/0234-0453-2022-37-6-75-85</x:t>
  </x:si>
  <x:si>
    <x:t xml:space="preserve">https://info.infojournal.ru/jour/article/view/887</x:t>
  </x:si>
  <x:si>
    <x:t xml:space="preserve">Корректирующий подход к оцениванию академических достижений студентов в LMS Moodle | Коннова | Информатика и образование | Корректирующий подход к оцениванию академических достижений студентов в LMS Moodle | A corrective approach to assessing students’ academic achievements in LMS Moodle | Корректирующий подход к оцениванию академических достижений студентов в LMS Moodle | Корректирующий подход к оцениванию академических достижений студентов в LMS Moodle | Коннова | Информатика и образование</x:t>
  </x:si>
  <x:si>
    <x:t xml:space="preserve">HTTP 200; проверка объекта 27.10.2026; https://info.infojournal.ru/jour/article/view/887</x:t>
  </x:si>
  <x:si>
    <x:t xml:space="preserve">Проверка оформления Михаилом: достаточно данных — Да. Открылась страница статьи; DOI на странице совпал с DOI строки. Источник: Подтверждения_28_10_2026.html. Исходный вариант Михаила до последующего переноса: Корректирующий подход к оцениванию академических достижений студентов в LMS MOODLE / Л. П. Коннова, Л. В. Липагина, Е. Ф. Олехова [и др.] // Информатика и образование. — 2022. — Т. 37, № 6. — С. 75–85. — URL: https://info.infojournal.ru/jour/article/view/887 (дата обращения: 27.10.2026).</x:t>
  </x:si>
  <x:si>
    <x:t xml:space="preserve">R157</x:t>
  </x:si>
  <x:si>
    <x:t xml:space="preserve">Егоров В.Б. Некоторые вопросы программного определения центров обработки данных // Системы и средства информатики. 2020. Т. 30. Вып. 2. С. 103-112 https://doi.org/10.14357/08696527200210</x:t>
  </x:si>
  <x:si>
    <x:t xml:space="preserve">Егоров В. Б. Некоторые вопросы программного определения центров обработки данных // Системы и средства информатики. — 2020. — Т. 30. — № 2. — С. 103–112.</x:t>
  </x:si>
  <x:si>
    <x:t xml:space="preserve">Егоров В. Б.</x:t>
  </x:si>
  <x:si>
    <x:t xml:space="preserve">Некоторые вопросы программного определения центров обработки данных</x:t>
  </x:si>
  <x:si>
    <x:t xml:space="preserve">Системы и средства информатики</x:t>
  </x:si>
  <x:si>
    <x:t xml:space="preserve">103–112</x:t>
  </x:si>
  <x:si>
    <x:t xml:space="preserve">https://doi.org/10.14357/08696527200210</x:t>
  </x:si>
  <x:si>
    <x:t xml:space="preserve">https://journals.rudn.ru/informatization-education/article/view/42729?setLocale=ru_RU#articleCitations</x:t>
  </x:si>
  <x:si>
    <x:t xml:space="preserve">10.14357/08696527200210</x:t>
  </x:si>
  <x:si>
    <x:t xml:space="preserve">Designing the trajectories of variant teaching of the basics of artificial intelligence in the school course of computer science taking into account the possibilities of project-research and extracurricular activities</x:t>
  </x:si>
  <x:si>
    <x:t xml:space="preserve">https://journals.rudn.ru/informatization-education/article/view/42729</x:t>
  </x:si>
  <x:si>
    <x:t xml:space="preserve">Проверка оформления Михаилом: достаточно данных — Да. Исходный вариант Михаила до последующего переноса: Егоров, В. Б. Некоторые вопросы программного определения центров обработки данных // Системы и средства информатики. — 2020. — Т. 30, вып. 2. — С. 103–112.</x:t>
  </x:si>
  <x:si>
    <x:t xml:space="preserve">R158</x:t>
  </x:si>
  <x:si>
    <x:t xml:space="preserve">Лапина М.А., Токмакова М.Е., Демин Д.А., Есаян Г.А. Особенности внедрения искусственного интеллекта в образовательный процесс // Auditorium. 2023. № 3 (39). С. 48-53.</x:t>
  </x:si>
  <x:si>
    <x:t xml:space="preserve">Особенности внедрения искусственного интеллекта в образовательный процесс / М. А. Лапина, М. Е. Токмакова, Д. А. Демин, Г. А. Есаян // Auditorium. — 2023. — № 3 (39). — С. 48–53.</x:t>
  </x:si>
  <x:si>
    <x:t xml:space="preserve">Лапина М. А. | Токмакова М. Е. | Демин Д. А. | Есаян Г. А.</x:t>
  </x:si>
  <x:si>
    <x:t xml:space="preserve">Особенности внедрения искусственного интеллекта в образовательный процесс</x:t>
  </x:si>
  <x:si>
    <x:t xml:space="preserve">Auditorium</x:t>
  </x:si>
  <x:si>
    <x:t xml:space="preserve">3 (39)</x:t>
  </x:si>
  <x:si>
    <x:t xml:space="preserve">48–53</x:t>
  </x:si>
  <x:si>
    <x:t xml:space="preserve">https://journals.rudn.ru/informatization-education/article/view/42733?setLocale=ru_RU#articleCitations</x:t>
  </x:si>
  <x:si>
    <x:t xml:space="preserve">Artificial intelligence in higher education: problems, opportunities, risks</x:t>
  </x:si>
  <x:si>
    <x:t xml:space="preserve">https://journals.rudn.ru/informatization-education/article/view/42733</x:t>
  </x:si>
  <x:si>
    <x:t xml:space="preserve">R159</x:t>
  </x:si>
  <x:si>
    <x:t xml:space="preserve">Далингер В.А. Цифровые образовательные ресурсы на службе у методики обучения геометрии в школе // Информация и образование: границы коммуникаций INFO. 2020. № 12 (20). С. 47-50.</x:t>
  </x:si>
  <x:si>
    <x:t xml:space="preserve">Далингер В. А. Цифровые образовательные ресурсы на службе у методики обучения геометрии в школе // Информация и образование: границы коммуникаций INFO. — 2020. — № 12 (20). — С. 47–50.</x:t>
  </x:si>
  <x:si>
    <x:t xml:space="preserve">Далингер В. А.</x:t>
  </x:si>
  <x:si>
    <x:t xml:space="preserve">Цифровые образовательные ресурсы на службе у методики обучения геометрии в школе</x:t>
  </x:si>
  <x:si>
    <x:t xml:space="preserve">Информация и образование: границы коммуникаций INFO</x:t>
  </x:si>
  <x:si>
    <x:t xml:space="preserve">12 (20)</x:t>
  </x:si>
  <x:si>
    <x:t xml:space="preserve">47–50</x:t>
  </x:si>
  <x:si>
    <x:t xml:space="preserve">https://journals.rudn.ru/informatization-education/article/view/42750?setLocale=ru_RU#articleCitations</x:t>
  </x:si>
  <x:si>
    <x:t xml:space="preserve">Developing the digital research competence of a future mathematics teacher as a part of project activities</x:t>
  </x:si>
  <x:si>
    <x:t xml:space="preserve">https://journals.rudn.ru/informatization-education/article/view/42750</x:t>
  </x:si>
  <x:si>
    <x:t xml:space="preserve">R160</x:t>
  </x:si>
  <x:si>
    <x:t xml:space="preserve">Санько А.М. Средства обучения в условиях цифровизации образования. Самара: Самарский национальный исследовательский университет имени академика С.П. Королева, 2020. 100 с.</x:t>
  </x:si>
  <x:si>
    <x:t xml:space="preserve">Санько А. М. Средства обучения в условиях цифровизации образования. — Самара : Самарский национальный исследовательский университет имени академика С.П. Королева, 2020. — 100 с.</x:t>
  </x:si>
  <x:si>
    <x:t xml:space="preserve">Санько А. М.</x:t>
  </x:si>
  <x:si>
    <x:t xml:space="preserve">Средства обучения в условиях цифровизации образования</x:t>
  </x:si>
  <x:si>
    <x:t xml:space="preserve">100</x:t>
  </x:si>
  <x:si>
    <x:t xml:space="preserve">Самарский национальный исследовательский университет имени академика С.П. Королева</x:t>
  </x:si>
  <x:si>
    <x:t xml:space="preserve">https://journals.rudn.ru/informatization-education/article/view/42751?setLocale=ru_RU#articleCitations</x:t>
  </x:si>
  <x:si>
    <x:t xml:space="preserve">Development of digital competence of university teachers and teaching staff</x:t>
  </x:si>
  <x:si>
    <x:t xml:space="preserve">https://journals.rudn.ru/informatization-education/article/view/42751</x:t>
  </x:si>
  <x:si>
    <x:t xml:space="preserve">R161</x:t>
  </x:si>
  <x:si>
    <x:t xml:space="preserve">Левицкий М.Л., Гриншкун В.В., Заславская О.Ю. Тенденции и особенности современного этапа информатизации высшей школы // Вестник Российского университета дружбы народов. Серия: Информатизация образования. 2022. Т. 19. № 4. С. 285-299. http://doi.org/10.22363/2312-8631-2022-19-4-285-299</x:t>
  </x:si>
  <x:si>
    <x:t xml:space="preserve">Левицкий М. Л., Гриншкун В. В., Заславская О. Ю. Тенденции и особенности современного этапа информатизации высшей школы // Вестник Российского университета дружбы народов. Серия: Информатизация образования. — 2022. — Т. 19. — № 4. — С. 285–299. — URL: https://journals.rudn.ru/informatization-education/article/view/33258 (дата обращения: 27.10.2026).</x:t>
  </x:si>
  <x:si>
    <x:t xml:space="preserve">Левицкий М. Л. | Гриншкун В. В. | Заславская О. Ю.</x:t>
  </x:si>
  <x:si>
    <x:t xml:space="preserve">Тенденции и особенности современного этапа информатизации высшей школы</x:t>
  </x:si>
  <x:si>
    <x:t xml:space="preserve">Вестник Российского университета дружбы народов. Серия: Информатизация образования</x:t>
  </x:si>
  <x:si>
    <x:t xml:space="preserve">285–299</x:t>
  </x:si>
  <x:si>
    <x:t xml:space="preserve">http://doi.org/10.22363/2312-8631-2022-19-4-285-299</x:t>
  </x:si>
  <x:si>
    <x:t xml:space="preserve">10.22363/2312-8631-2022-19-4-285-299</x:t>
  </x:si>
  <x:si>
    <x:t xml:space="preserve">https://journals.rudn.ru/informatization-education/article/view/33258</x:t>
  </x:si>
  <x:si>
    <x:t xml:space="preserve">Trends and features of the informatization of higher education modern stage | Trends and features of the informatization of higher education modern stage | Тенденции и особенности современного этапа информатизации высшей школы | Trends and features of the informatization of higher education modern stage | Тенденции и особенности современного этапа информатизации высшей школы | Trends and features of the informatization of higher education modern stage - Levitsky - RUDN Journal of Informatization in Education</x:t>
  </x:si>
  <x:si>
    <x:t xml:space="preserve">HTTP 200; проверка объекта 27.10.2026; https://journals.rudn.ru/informatization-education/article/view/33258</x:t>
  </x:si>
  <x:si>
    <x:t xml:space="preserve">R162</x:t>
  </x:si>
  <x:si>
    <x:t xml:space="preserve">Аймалетдинов Т.А., Баймуратова Л.Р., Зайцева О.А., Имаева Г.Р., Спиридонова Л.В. Цифровая грамотность российских педагогов. Готовность к использованию цифровых технологий в учебном процессе. М.: Изд-во НАФИ, 2019. 84 с.</x:t>
  </x:si>
  <x:si>
    <x:t xml:space="preserve">Цифровая грамотность российских педагогов. Готовность к использованию цифровых технологий в учебном процессе / Т. А. Аймалетдинов, Л. Р. Баймуратова, О. А. Зайцева, Г. Р. Имаева, Л. В. Спиридонова. — Москва : Изд-во НАФИ, 2019. — 84 с.</x:t>
  </x:si>
  <x:si>
    <x:t xml:space="preserve">Аймалетдинов Т. А. | Баймуратова Л. Р. | Зайцева О. А. | Имаева Г. Р. | Спиридонова Л. В.</x:t>
  </x:si>
  <x:si>
    <x:t xml:space="preserve">Цифровая грамотность российских педагогов. Готовность к использованию цифровых технологий в учебном процессе</x:t>
  </x:si>
  <x:si>
    <x:t xml:space="preserve">84</x:t>
  </x:si>
  <x:si>
    <x:t xml:space="preserve">Изд-во НАФИ</x:t>
  </x:si>
  <x:si>
    <x:t xml:space="preserve">R163</x:t>
  </x:si>
  <x:si>
    <x:t xml:space="preserve">Калашников П.К., Мартынов В.Г., Подуфалов Н.Д., Савенков А.И. Формирование общей теории и дидактики высшего профессионального образования в условиях цифровой трансформации / под ред. В.П. Борисенкова, М.Л. Левицкого // Ценностные основы развития российского образования: теория и практика: монография. М.: МАКС Пресс, 2023. С. 71-79.</x:t>
  </x:si>
  <x:si>
    <x:t xml:space="preserve">Формирование общей теории и дидактики высшего профессионального образования в условиях цифровой трансформации / под ред. В.П. Борисенкова, М.Л. Левицкого / П. К. Калашников, В. Г. Мартынов, Н. Д. Подуфалов, А. И. Савенков // Ценностные основы развития российского образования: теория и практика: монография. М.: МАКС Пресс. — 2023. — С. 71–79.</x:t>
  </x:si>
  <x:si>
    <x:t xml:space="preserve">Калашников П. К. | Мартынов В. Г. | Подуфалов Н. Д. | Савенков А. И.</x:t>
  </x:si>
  <x:si>
    <x:t xml:space="preserve">Формирование общей теории и дидактики высшего профессионального образования в условиях цифровой трансформации / под ред. В.П. Борисенкова, М.Л. Левицкого</x:t>
  </x:si>
  <x:si>
    <x:t xml:space="preserve">Ценностные основы развития российского образования: теория и практика: монография. М.: МАКС Пресс</x:t>
  </x:si>
  <x:si>
    <x:t xml:space="preserve">71–79</x:t>
  </x:si>
  <x:si>
    <x:t xml:space="preserve">https://journals.rudn.ru/informatization-education/article/view/43513?setLocale=ru_RU#articleCitations</x:t>
  </x:si>
  <x:si>
    <x:t xml:space="preserve">On the development of didactic systems in the context of digital transformation of vocational education (part 1)</x:t>
  </x:si>
  <x:si>
    <x:t xml:space="preserve">https://journals.rudn.ru/informatization-education/article/view/43513</x:t>
  </x:si>
  <x:si>
    <x:t xml:space="preserve">R164</x:t>
  </x:si>
  <x:si>
    <x:t xml:space="preserve">Мельников Ю.Б. Математическое моделирование: структура, алгебра моделей, обучение построению математических моделей: монография. Екатеринбург: Уральское издательство, 2004. 384 с.</x:t>
  </x:si>
  <x:si>
    <x:t xml:space="preserve">Мельников Ю. Б. Математическое моделирование : структура, алгебра моделей, обучение построению математических моделей : монография. — Екатеринбург : Уральское издательство, 2004. — 384 с.</x:t>
  </x:si>
  <x:si>
    <x:t xml:space="preserve">Мельников Ю. Б.</x:t>
  </x:si>
  <x:si>
    <x:t xml:space="preserve">Математическое моделирование: структура, алгебра моделей, обучение построению математических моделей: монография</x:t>
  </x:si>
  <x:si>
    <x:t xml:space="preserve">384</x:t>
  </x:si>
  <x:si>
    <x:t xml:space="preserve">Уральское издательство</x:t>
  </x:si>
  <x:si>
    <x:t xml:space="preserve">Екатеринбург</x:t>
  </x:si>
  <x:si>
    <x:t xml:space="preserve">https://journals.rudn.ru/informatization-education/article/view/43515?setLocale=ru_RU#articleCitations</x:t>
  </x:si>
  <x:si>
    <x:t xml:space="preserve">Theoretical aspects of the method of teaching higher mathematics using the computer program Maple for students of technical universities</x:t>
  </x:si>
  <x:si>
    <x:t xml:space="preserve">https://journals.rudn.ru/informatization-education/article/view/43515</x:t>
  </x:si>
  <x:si>
    <x:t xml:space="preserve">Проверка оформления Михаилом: достаточно данных — Да. Исходный вариант Михаила до последующего переноса: Мельников, Ю. Б. Математическое моделирование: структура, алгебра моделей, обучение построению математических моделей : монография. — Екатеринбург : Уральское издательство, 2004. — 384 с.</x:t>
  </x:si>
  <x:si>
    <x:t xml:space="preserve">R165</x:t>
  </x:si>
  <x:si>
    <x:t xml:space="preserve">Баженова И.В., Клунникова М.М., Пак Н.И. Школьно-вузовский кластер дисциплин как средство развития расчетно-алгоритмического компонента вычислительного мышления // Информатика и образование. 2021. № 3. С. 42–49. https://doi.org/10.32517/0234-0453-2021-36-3-42-49</x:t>
  </x:si>
  <x:si>
    <x:t xml:space="preserve">Баженова И. В., Клунникова М. М., Пак Н. И. Школьно-вузовский кластер дисциплин как средство развития расчетно-алгоритмического компонента вычислительного мышления // Информатика и образование. — 2021. — № 3. — С. 42–49. — URL: https://info.infojournal.ru/jour/article/view/659 (дата обращения: 27.10.2026).</x:t>
  </x:si>
  <x:si>
    <x:t xml:space="preserve">Баженова И. В. | Клунникова М. М. | Пак Н. И.</x:t>
  </x:si>
  <x:si>
    <x:t xml:space="preserve">Школьно-вузовский кластер дисциплин как средство развития расчетно-алгоритмического компонента вычислительного мышления</x:t>
  </x:si>
  <x:si>
    <x:t xml:space="preserve">42–49</x:t>
  </x:si>
  <x:si>
    <x:t xml:space="preserve">https://doi.org/10.32517/0234-0453-2021-36-3-42-49</x:t>
  </x:si>
  <x:si>
    <x:t xml:space="preserve">https://journals.rudn.ru/informatization-education/article/view/43516?setLocale=ru_RU#articleCitations</x:t>
  </x:si>
  <x:si>
    <x:t xml:space="preserve">10.32517/0234-0453-2021-36-3-42-49</x:t>
  </x:si>
  <x:si>
    <x:t xml:space="preserve">Developing structural component of computational thinking using the algorithmic primitives method</x:t>
  </x:si>
  <x:si>
    <x:t xml:space="preserve">https://journals.rudn.ru/informatization-education/article/view/43516</x:t>
  </x:si>
  <x:si>
    <x:t xml:space="preserve">https://info.infojournal.ru/jour/article/view/659</x:t>
  </x:si>
  <x:si>
    <x:t xml:space="preserve">Школьно-вузовский кластер дисциплин как средство развития расчетно-алгоритмического компонента вычислительного мышления | Баженова | Информатика и образование | Школьно-вузовский кластер дисциплин как средство развития расчетно-алгоритмического компонента вычислительного мышления | School-university cluster of disciplines developing the calculative-algorithmic component of computational thinking | Школьно-вузовский кластер дисциплин как средство развития расчетно-алгоритмического компонента вычислительного мышления | Школьно-вузовский кластер дисциплин как средство развития расчетно-алгоритмического компонента вычислительного мышления | Баженова | Информатика и образование</x:t>
  </x:si>
  <x:si>
    <x:t xml:space="preserve">HTTP 200; проверка объекта 27.10.2026; https://info.infojournal.ru/jour/article/view/659</x:t>
  </x:si>
  <x:si>
    <x:t xml:space="preserve">R166</x:t>
  </x:si>
  <x:si>
    <x:t xml:space="preserve">Гольцова Т.А., Проценко Е.А. Геймификация как эффективная технология обучения иностранным языкам в условиях цифровизации образовательного процесса // Отечественная и зарубежная педагогика. 2020. Т. 1. № 3 (68). С. 65–77. https://cyberleninka.ru/article/n/geymifikatsiya-kak-effektivnaya-tehnologiya-obucheniya-inostrannym-yazykam-v-usloviyah-tsifrovizatsii-obrazovatelnogo-protsessa</x:t>
  </x:si>
  <x:si>
    <x:t xml:space="preserve">Гольцова Т. А., Проценко Е. А. Геймификация как эффективная технология обучения иностранным языкам в условиях цифровизации образовательного процесса // Отечественная и зарубежная педагогика. — 2020. — Т. 1. — № 3 (68). — С. 65–77. — URL: https://cyberleninka.ru/article/n/geymifikatsiya-kak-effektivnaya-tehnologiya-obucheniya-inostrannym-yazykam-v-usloviyah-tsifrovizatsii-obrazovatelnogo-protsessa (дата обращения: 27.10.2026).</x:t>
  </x:si>
  <x:si>
    <x:t xml:space="preserve">Гольцова Т. А. | Проценко Е. А.</x:t>
  </x:si>
  <x:si>
    <x:t xml:space="preserve">Геймификация как эффективная технология обучения иностранным языкам в условиях цифровизации образовательного процесса</x:t>
  </x:si>
  <x:si>
    <x:t xml:space="preserve">Отечественная и зарубежная педагогика</x:t>
  </x:si>
  <x:si>
    <x:t xml:space="preserve">3 (68)</x:t>
  </x:si>
  <x:si>
    <x:t xml:space="preserve">65–77</x:t>
  </x:si>
  <x:si>
    <x:t xml:space="preserve">https://cyberleninka.ru/article/n/geymifikatsiya-kak-effektivnaya-tehnologiya-obucheniya-inostrannym-yazykam-v-usloviyah-tsifrovizatsii-obrazovatelnogo-protsessa</x:t>
  </x:si>
  <x:si>
    <x:t xml:space="preserve">https://journals.rudn.ru/informatization-education/article/view/43517?setLocale=ru_RU#articleCitations</x:t>
  </x:si>
  <x:si>
    <x:t xml:space="preserve">Aspects of developing English-Russian electronic dictionary on data analysis for IT students</x:t>
  </x:si>
  <x:si>
    <x:t xml:space="preserve">https://journals.rudn.ru/informatization-education/article/view/43517</x:t>
  </x:si>
  <x:si>
    <x:t xml:space="preserve">Геймификация как эффективная технология обучения иностранным языкам в условиях цифровизации образовательного процесса | Геймификация как эффективная технология обучения иностранным языкам в условиях цифровизации образовательного процесса | Геймификация как эффективная технология обучения иностранным языкам в условиях цифровизации образовательного процесса – тема научной статьи по наукам об образовании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</x:si>
  <x:si>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https://cyberleninka.ru/article/n/geymifikatsiya-kak-effektivnaya-tehnologiya-obucheniya-inostrannym-yazykam-v-usloviyah-tsifrovizatsii-obrazovatelnogo-protsessa</x:t>
  </x:si>
  <x:si>
    <x:t xml:space="preserve">R167</x:t>
  </x:si>
  <x:si>
    <x:t xml:space="preserve">Миронова А.Н. Модель подготовки будущих педагогов к использованию субъектно-ориентированных технологий в профессиональной деятельности // Вестник Кыргызстана. 2023. № 1 (2). С. 118-124.</x:t>
  </x:si>
  <x:si>
    <x:t xml:space="preserve">Миронова А. Н. Модель подготовки будущих педагогов к использованию субъектно-ориентированных технологий в профессиональной деятельности // Вестник Кыргызстана. — 2023. — № 1 (2). — С. 118–124.</x:t>
  </x:si>
  <x:si>
    <x:t xml:space="preserve">Миронова А. Н.</x:t>
  </x:si>
  <x:si>
    <x:t xml:space="preserve">Модель подготовки будущих педагогов к использованию субъектно-ориентированных технологий в профессиональной деятельности</x:t>
  </x:si>
  <x:si>
    <x:t xml:space="preserve">Вестник Кыргызстана</x:t>
  </x:si>
  <x:si>
    <x:t xml:space="preserve">1 (2)</x:t>
  </x:si>
  <x:si>
    <x:t xml:space="preserve">118–124</x:t>
  </x:si>
  <x:si>
    <x:t xml:space="preserve">https://journals.rudn.ru/informatization-education/article/view/44956?setLocale=ru_RU#articleCitations</x:t>
  </x:si>
  <x:si>
    <x:t xml:space="preserve">Modeling of the teacher training for professional communications based on the use of digital technologies in didactic discourse</x:t>
  </x:si>
  <x:si>
    <x:t xml:space="preserve">https://journals.rudn.ru/informatization-education/article/view/44956</x:t>
  </x:si>
  <x:si>
    <x:t xml:space="preserve">R168</x:t>
  </x:si>
  <x:si>
    <x:t xml:space="preserve">Каракозов С.Д., Рыжова Н.И. Теория развития и практика реализации содержания обучения в области информационно-образовательных систем : монография. М. : Моск овский педагогический государственный университет, 2017. 392 с.</x:t>
  </x:si>
  <x:si>
    <x:t xml:space="preserve">Каракозов С. Д., Рыжова Н. И. Теория развития и практика реализации содержания обучения в области информационно-образовательных систем : монография. — Москва : Моск овский педагогический государственный университет, 2017. — 392 с.</x:t>
  </x:si>
  <x:si>
    <x:t xml:space="preserve">Каракозов С. Д. | Рыжова Н. И.</x:t>
  </x:si>
  <x:si>
    <x:t xml:space="preserve">Теория развития и практика реализации содержания обучения в области информационно-образовательных систем : монография</x:t>
  </x:si>
  <x:si>
    <x:t xml:space="preserve">392</x:t>
  </x:si>
  <x:si>
    <x:t xml:space="preserve">Моск овский педагогический государственный университет</x:t>
  </x:si>
  <x:si>
    <x:t xml:space="preserve">https://journals.rudn.ru/informatization-education/article/view/44957?setLocale=ru_RU#articleCitations</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</x:si>
  <x:si>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разрыв слова «Моск овский»; в поле соединено без смыслового исправления. Согласованные решения от 28.10.2026: Заглавие: Теория развития и практика реализации содержания обучения в области информационно-образовательных систем : монография. Согласен для буквального извлечения сохранить пробел перед двоеточием; смысл заглавия совпадает с предыдущим файлом. | Издатель: Моск овский педагогический государственный университет. Согласен для буквального извлечения сохранить «Моск овский». Нормализованное «Московский» из предыдущего файла допустимо отдельно, без изменения исходного значения.</x:t>
  </x:si>
  <x:si>
    <x:t xml:space="preserve">Ontology of genesis of the general education course of Informatics in Russia based on historical and pedagogical analysis</x:t>
  </x:si>
  <x:si>
    <x:t xml:space="preserve">https://journals.rudn.ru/informatization-education/article/view/44957</x:t>
  </x:si>
  <x:si>
    <x:t xml:space="preserve">Проверка оформления Михаилом: достаточно данных — Да. Исходный вариант Михаила до последующего переноса: Каракозов, С. Д. Теория развития и практика реализации содержания обучения в области информационно-образовательных систем : монография / С. Д. Каракозов, Н. И. Рыжова. — М. : Московский педагогический государственный университет, 2017. — 392 с.</x:t>
  </x:si>
  <x:si>
    <x:t xml:space="preserve">R169</x:t>
  </x:si>
  <x:si>
    <x:t xml:space="preserve">Леднев В.С. Содержание образования : учебное пособие. М. : Высшая школа, 1989. 360 с.</x:t>
  </x:si>
  <x:si>
    <x:t xml:space="preserve">Леднев В. С. Содержание образования : учебное пособие. — Москва : Высшая школа, 1989. — 360 с.</x:t>
  </x:si>
  <x:si>
    <x:t xml:space="preserve">Леднев В. С.</x:t>
  </x:si>
  <x:si>
    <x:t xml:space="preserve">Содержание образования : учебное пособие</x:t>
  </x:si>
  <x:si>
    <x:t xml:space="preserve">360</x:t>
  </x:si>
  <x:si>
    <x:t xml:space="preserve">Высшая школа</x:t>
  </x:si>
  <x:si>
    <x:t xml:space="preserve">R170</x:t>
  </x:si>
  <x:si>
    <x:t xml:space="preserve">Борисенков В.П., Пустовойтов В.Н., Тореева Т.А. Развитие педагогического образования в едином образовательном пространстве России: от методологии к практике // Вестник Московского университета. Серия 20: Педагогическое образование. 2024. № 22 (1). С. 190-204.</x:t>
  </x:si>
  <x:si>
    <x:t xml:space="preserve">Борисенков В. П., Пустовойтов В. Н., Тореева Т. А. Развитие педагогического образования в едином образовательном пространстве России : от методологии к практике // Вестник Московского университета. Серия 20: Педагогическое образование. — 2024. — № 22 (1). — С. 190–204.</x:t>
  </x:si>
  <x:si>
    <x:t xml:space="preserve">Борисенков В. П. | Пустовойтов В. Н. | Тореева Т. А.</x:t>
  </x:si>
  <x:si>
    <x:t xml:space="preserve">Развитие педагогического образования в едином образовательном пространстве России: от методологии к практике</x:t>
  </x:si>
  <x:si>
    <x:t xml:space="preserve">Вестник Московского университета. Серия 20: Педагогическое образование</x:t>
  </x:si>
  <x:si>
    <x:t xml:space="preserve">22 (1)</x:t>
  </x:si>
  <x:si>
    <x:t xml:space="preserve">190–204</x:t>
  </x:si>
  <x:si>
    <x:t xml:space="preserve">https://journals.rudn.ru/informatization-education/article/view/44958?setLocale=ru_RU#articleCitations</x:t>
  </x:si>
  <x:si>
    <x:t xml:space="preserve">Research activity as a factor in the formation of professional competence of future teachers in the context of digital transformation</x:t>
  </x:si>
  <x:si>
    <x:t xml:space="preserve">https://journals.rudn.ru/informatization-education/article/view/44958</x:t>
  </x:si>
  <x:si>
    <x:t xml:space="preserve">R171</x:t>
  </x:si>
  <x:si>
    <x:t xml:space="preserve">Босова Л.Л., Самылкина Н.Н., Босова А.Ю. Формирующее оценивание образовательных результатов обучающихся по информатике в основной школе // Информатика в школе. 2024. №. 2. С. 4–16. https://doi.org/10.32517/2221-1993-2024-23-2-4-16 EDN: AAMOKX</x:t>
  </x:si>
  <x:si>
    <x:t xml:space="preserve">Босова Л. Л., Самылкина Н. Н., Босова А. Ю. Формирующее оценивание образовательных результатов обучающихся по информатике в основной школе // Информатика в школе. — 2024. — С. 4–16. — URL: https://school.infojournal.ru/jour/article/view/772 (дата обращения: 27.10.2026).</x:t>
  </x:si>
  <x:si>
    <x:t xml:space="preserve">Босова Л. Л. | Самылкина Н. Н. | Босова А. Ю.</x:t>
  </x:si>
  <x:si>
    <x:t xml:space="preserve">Формирующее оценивание образовательных результатов обучающихся по информатике в основной школе</x:t>
  </x:si>
  <x:si>
    <x:t xml:space="preserve">Информатика в школе</x:t>
  </x:si>
  <x:si>
    <x:t xml:space="preserve">4–16</x:t>
  </x:si>
  <x:si>
    <x:t xml:space="preserve">https://doi.org/10.32517/2221-1993-2024-23-2-4-16</x:t>
  </x:si>
  <x:si>
    <x:t xml:space="preserve">https://journals.rudn.ru/informatization-education/article/view/46155?setLocale=ru_RU#articleCitations</x:t>
  </x:si>
  <x:si>
    <x:t xml:space="preserve">10.32517/2221-1993-2024-23-2-4-16</x:t>
  </x:si>
  <x:si>
    <x:t xml:space="preserve">Methodology of multilevel personalized programming teaching in basic school</x:t>
  </x:si>
  <x:si>
    <x:t xml:space="preserve">AAMOKX</x:t>
  </x:si>
  <x:si>
    <x:t xml:space="preserve">https://journals.rudn.ru/informatization-education/article/view/46155</x:t>
  </x:si>
  <x:si>
    <x:t xml:space="preserve">https://school.infojournal.ru/jour/article/view/772</x:t>
  </x:si>
  <x:si>
    <x:t xml:space="preserve">Формирующее оценивание образовательных результатов  обучающихся по  информатике в  основной школе | Босова | Информатика в школе | Формирующее оценивание образовательных результатов  обучающихся по  информатике в  основной школе | Formative assessment of students' educational results in informatics in basic school | Формирующее оценивание образовательных результатов  обучающихся по  информатике в  основной школе | Формирующее оценивание образовательных результатов  обучающихся по  информатике в  основной школе | Босова | Информатика в школе</x:t>
  </x:si>
  <x:si>
    <x:t xml:space="preserve">HTTP 200; проверка объекта 27.10.2026; https://school.infojournal.ru/jour/article/view/772</x:t>
  </x:si>
  <x:si>
    <x:t xml:space="preserve">R172</x:t>
  </x:si>
  <x:si>
    <x:t xml:space="preserve">Мосина М.А. Инструменты формирующего оценивания в практике работы современной школы // Гуманитарные исследования. Педагогика и психология. 2020. № 1. С. 18–27. EDN: LEKHSG</x:t>
  </x:si>
  <x:si>
    <x:t xml:space="preserve">Мосина М. А. Инструменты формирующего оценивания в практике работы современной школы // Гуманитарные исследования. Педагогика и психология. — 2020. — № 1. — С. 18–27.</x:t>
  </x:si>
  <x:si>
    <x:t xml:space="preserve">Мосина М. А.</x:t>
  </x:si>
  <x:si>
    <x:t xml:space="preserve">Инструменты формирующего оценивания в практике работы современной школы</x:t>
  </x:si>
  <x:si>
    <x:t xml:space="preserve">Гуманитарные исследования. Педагогика и психология</x:t>
  </x:si>
  <x:si>
    <x:t xml:space="preserve">18–27</x:t>
  </x:si>
  <x:si>
    <x:t xml:space="preserve">LEKHSG</x:t>
  </x:si>
  <x:si>
    <x:t xml:space="preserve">R173</x:t>
  </x:si>
  <x:si>
    <x:t xml:space="preserve">Токтарова В.И., Пашкова Ю.А. Предиктивная аналитика в цифровом образовании: анализ и оценка успешности обучения студентов // Сибирский педагогический журнал. 2022. № 1. С. 97–106. http://dx.doi.org/10.15293/1813-4718.2201.09 EDN: NSPMDR</x:t>
  </x:si>
  <x:si>
    <x:t xml:space="preserve">Токтарова В. И., Пашкова Ю. А. Предиктивная аналитика в цифровом образовании : анализ и оценка успешности обучения студентов // Сибирский педагогический журнал. — 2022. — № 1. — С. 97–106. — URL: http://en.sp-journal.ru/article/8928 (дата обращения: 27.10.2026).</x:t>
  </x:si>
  <x:si>
    <x:t xml:space="preserve">Токтарова В. И. | Пашкова Ю. А.</x:t>
  </x:si>
  <x:si>
    <x:t xml:space="preserve">Предиктивная аналитика в цифровом образовании: анализ и оценка успешности обучения студентов</x:t>
  </x:si>
  <x:si>
    <x:t xml:space="preserve">Сибирский педагогический журнал</x:t>
  </x:si>
  <x:si>
    <x:t xml:space="preserve">97–106</x:t>
  </x:si>
  <x:si>
    <x:t xml:space="preserve">http://dx.doi.org/10.15293/1813-4718.2201.09</x:t>
  </x:si>
  <x:si>
    <x:t xml:space="preserve">https://journals.rudn.ru/informatization-education/article/view/46156?setLocale=ru_RU#articleCitations</x:t>
  </x:si>
  <x:si>
    <x:t xml:space="preserve">10.15293/1813-4718.2201.09</x:t>
  </x:si>
  <x:si>
    <x:t xml:space="preserve">Key elements of e-learning course design that provides high-quality prediction of student learning success</x:t>
  </x:si>
  <x:si>
    <x:t xml:space="preserve">NSPMDR</x:t>
  </x:si>
  <x:si>
    <x:t xml:space="preserve">https://journals.rudn.ru/informatization-education/article/view/46156</x:t>
  </x:si>
  <x:si>
    <x:t xml:space="preserve">http://en.sp-journal.ru/article/8928</x:t>
  </x:si>
  <x:si>
    <x:t xml:space="preserve">Предиктивная аналитика в цифровом образовании: анализ и оценка успешности обучения студентов | The Siberian Pedagogical Journal |(Sibirskiy pedagogicheskiy zhurnal)</x:t>
  </x:si>
  <x:si>
    <x:t xml:space="preserve">HTTP 200; проверка объекта 27.10.2026; http://en.sp-journal.ru/article/8928</x:t>
  </x:si>
  <x:si>
    <x:t xml:space="preserve">R174</x:t>
  </x:si>
  <x:si>
    <x:t xml:space="preserve">Сухомлин В.А., Зубарева Е.В. Новый этап международной стандартизации ИТ-образования // Современные информационные технологии и ИТ-образование. 2021. Т. 17. № 3. С. 697–723. https://doi.org/10.25559/SITITO.17.202103.697-723 EDN: KEKGKW</x:t>
  </x:si>
  <x:si>
    <x:t xml:space="preserve">Сухомлин В. А., Зубарева Е. В. Новый этап международной стандартизации ИТ-образования // Современные информационные технологии и ИТ-образование. — 2021. — Т. 17. — № 3. — С. 697–723. — URL: http://sitito.cs.msu.ru/index.php/SITITO/article/view/794 (дата обращения: 27.10.2026).</x:t>
  </x:si>
  <x:si>
    <x:t xml:space="preserve">Сухомлин В. А. | Зубарева Е. В.</x:t>
  </x:si>
  <x:si>
    <x:t xml:space="preserve">Новый этап международной стандартизации ИТ-образования</x:t>
  </x:si>
  <x:si>
    <x:t xml:space="preserve">Современные информационные технологии и ИТ-образование</x:t>
  </x:si>
  <x:si>
    <x:t xml:space="preserve">697–723</x:t>
  </x:si>
  <x:si>
    <x:t xml:space="preserve">https://doi.org/10.25559/SITITO.17.202103.697-723</x:t>
  </x:si>
  <x:si>
    <x:t xml:space="preserve">https://journals.rudn.ru/informatization-education/article/view/46158?setLocale=ru_RU#articleCitations</x:t>
  </x:si>
  <x:si>
    <x:t xml:space="preserve">10.25559/SITITO.17.202103.697-723</x:t>
  </x:si>
  <x:si>
    <x:t xml:space="preserve">Training of IT specialists in regional universities of Russia and Europe based on international recommendations: comparative analysis</x:t>
  </x:si>
  <x:si>
    <x:t xml:space="preserve">KEKGKW</x:t>
  </x:si>
  <x:si>
    <x:t xml:space="preserve">https://journals.rudn.ru/informatization-education/article/view/46158</x:t>
  </x:si>
  <x:si>
    <x:t xml:space="preserve">http://sitito.cs.msu.ru/index.php/SITITO/article/view/794</x:t>
  </x:si>
  <x:si>
    <x:t xml:space="preserve">Новый этап международной стандартизации ИТ-образования |  Новый этап международной стандартизации ИТ-образования | 
		 Новый этап международной стандартизации ИТ-образования
							| Современные информационные технологии и ИТ-образование</x:t>
  </x:si>
  <x:si>
    <x:t xml:space="preserve">HTTP 200; проверка объекта 27.10.2026; http://sitito.cs.msu.ru/index.php/SITITO/article/view/794</x:t>
  </x:si>
  <x:si>
    <x:t xml:space="preserve">R175</x:t>
  </x:si>
  <x:si>
    <x:t xml:space="preserve">Соколов Н.В. Оценка статистической значимости между академической успеваемостью и уровнем формирования компетенций у студентов-бакалавров в области искусственного интеллекта // Педагогическое образование и наука. 2023. № 2. С. 53–58. EDN: DASIFM</x:t>
  </x:si>
  <x:si>
    <x:t xml:space="preserve">Соколов Н. В. Оценка статистической значимости между академической успеваемостью и уровнем формирования компетенций у студентов-бакалавров в области искусственного интеллекта // Педагогическое образование и наука. — 2023. — № 2. — С. 53–58.</x:t>
  </x:si>
  <x:si>
    <x:t xml:space="preserve">Соколов Н. В.</x:t>
  </x:si>
  <x:si>
    <x:t xml:space="preserve">Оценка статистической значимости между академической успеваемостью и уровнем формирования компетенций у студентов-бакалавров в области искусственного интеллекта</x:t>
  </x:si>
  <x:si>
    <x:t xml:space="preserve">Педагогическое образование и наука</x:t>
  </x:si>
  <x:si>
    <x:t xml:space="preserve">53–58</x:t>
  </x:si>
  <x:si>
    <x:t xml:space="preserve">https://journals.rudn.ru/informatization-education/article/view/46162?setLocale=ru_RU#articleCitations</x:t>
  </x:si>
  <x:si>
    <x:t xml:space="preserve">Defining the concepts of literacy and competences in artificial intelligence in the context of teacher education</x:t>
  </x:si>
  <x:si>
    <x:t xml:space="preserve">DASIFM</x:t>
  </x:si>
  <x:si>
    <x:t xml:space="preserve">https://journals.rudn.ru/informatization-education/article/view/46162</x:t>
  </x:si>
  <x:si>
    <x:t xml:space="preserve">R176</x:t>
  </x:si>
  <x:si>
    <x:t xml:space="preserve">Шошев М.Д. Нейропедагогика как новая прикладная область в системе образования в Болгарии // Психология человека в образовании. 2023. Т. 5. № 4. С. 568–578. https://doi.org/10.33910/2686-9527-2023-5-4-568-578 EDN: OWRLBO</x:t>
  </x:si>
  <x:si>
    <x:t xml:space="preserve">Шошев М. Д. Нейропедагогика как новая прикладная область в системе образования в Болгарии // Психология человека в образовании. — 2023. — Т. 5. — № 4. — С. 568–578.</x:t>
  </x:si>
  <x:si>
    <x:t xml:space="preserve">Шошев М. Д.</x:t>
  </x:si>
  <x:si>
    <x:t xml:space="preserve">Нейропедагогика как новая прикладная область в системе образования в Болгарии</x:t>
  </x:si>
  <x:si>
    <x:t xml:space="preserve">Психология человека в образовании</x:t>
  </x:si>
  <x:si>
    <x:t xml:space="preserve">568–578</x:t>
  </x:si>
  <x:si>
    <x:t xml:space="preserve">https://doi.org/10.33910/2686-9527-2023-5-4-568-578</x:t>
  </x:si>
  <x:si>
    <x:t xml:space="preserve">https://journals.rudn.ru/informatization-education/article/view/47478?setLocale=ru_RU#articleCitations</x:t>
  </x:si>
  <x:si>
    <x:t xml:space="preserve">10.33910/2686-9527-2023-5-4-568-578</x:t>
  </x:si>
  <x:si>
    <x:t xml:space="preserve">Professional identity of a teacher in the era of AI: towards developing a research program</x:t>
  </x:si>
  <x:si>
    <x:t xml:space="preserve">OWRLBO</x:t>
  </x:si>
  <x:si>
    <x:t xml:space="preserve">https://journals.rudn.ru/informatization-education/article/view/47478</x:t>
  </x:si>
  <x:si>
    <x:t xml:space="preserve">R177</x:t>
  </x:si>
  <x:si>
    <x:t xml:space="preserve">Кудрявцева М.Е., Пряхина А.В. Цифровая культура личности как фактор социально-психологической безопасности цифрового пространства // Дискурс. 2023. Т. 9. № 5. С. 98–116. https://doi.org/10.32603/2412-8562-2023-9-5-98-116 EDN: SLLEDU</x:t>
  </x:si>
  <x:si>
    <x:t xml:space="preserve">Кудрявцева М. Е., Пряхина А. В. Цифровая культура личности как фактор социально-психологической безопасности цифрового пространства // Дискурс. — 2023. — Т. 9. — № 5. — С. 98–116. — URL: https://discourse.elpub.ru/jour/article/view/626 (дата обращения: 27.10.2026).</x:t>
  </x:si>
  <x:si>
    <x:t xml:space="preserve">Кудрявцева М. Е. | Пряхина А. В.</x:t>
  </x:si>
  <x:si>
    <x:t xml:space="preserve">Цифровая культура личности как фактор социально-психологической безопасности цифрового пространства</x:t>
  </x:si>
  <x:si>
    <x:t xml:space="preserve">Дискурс</x:t>
  </x:si>
  <x:si>
    <x:t xml:space="preserve">98–116</x:t>
  </x:si>
  <x:si>
    <x:t xml:space="preserve">https://doi.org/10.32603/2412-8562-2023-9-5-98-116</x:t>
  </x:si>
  <x:si>
    <x:t xml:space="preserve">https://journals.rudn.ru/informatization-education/article/view/47479?setLocale=ru_RU#articleCitations</x:t>
  </x:si>
  <x:si>
    <x:t xml:space="preserve">10.32603/2412-8562-2023-9-5-98-116</x:t>
  </x:si>
  <x:si>
    <x:t xml:space="preserve">The culture of using artificial intelligence by young people as a factor in countering the risks of neural network applications in education</x:t>
  </x:si>
  <x:si>
    <x:t xml:space="preserve">SLLEDU</x:t>
  </x:si>
  <x:si>
    <x:t xml:space="preserve">https://journals.rudn.ru/informatization-education/article/view/47479</x:t>
  </x:si>
  <x:si>
    <x:t xml:space="preserve">https://discourse.elpub.ru/jour/article/view/626</x:t>
  </x:si>
  <x:si>
    <x:t xml:space="preserve">Цифровая культура личности как фактор социально-психологической безопасности цифрового пространства | Кудрявцева | Дискурс | Цифровая культура личности как фактор социально-психологической безопасности цифрового пространства | Digital Culture of the Individual as a Factor in the Socio-Psychological Safety of the Digital Space | Цифровая культура личности как фактор социально-психологической безопасности цифрового пространства | Цифровая культура личности как фактор социально-психологической безопасности цифрового пространства | Кудрявцева | Дискурс</x:t>
  </x:si>
  <x:si>
    <x:t xml:space="preserve">HTTP 200; проверка объекта 27.10.2026; https://discourse.elpub.ru/jour/article/view/626</x:t>
  </x:si>
  <x:si>
    <x:t xml:space="preserve">R178</x:t>
  </x:si>
  <x:si>
    <x:t xml:space="preserve">Босенко Т.М. Интеграция мультимодальных технологий в образовательный процесс на примере разработки модели машинного обучения на платформе Apache Spark // Вестник МГПУ. Серия: Информатика и информатизация образования. 2025. № 1(71). С. 80-89. https://doi.org/10.24412/2072-9014-2025-171-80-89</x:t>
  </x:si>
  <x:si>
    <x:t xml:space="preserve">Босенко Т. М. Интеграция мультимодальных технологий в образовательный процесс на примере разработки модели машинного обучения на платформе Apache Spark // Вестник МГПУ. Серия: Информатика и информатизация образования. — 2025. — № 1(71). — С. 80–89. — URL: https://cyberleninka.ru/article/n/integratsiya-multimodalnyh-tehnologiy-v-obrazovatelnyy-protsess-na-primere-razrabotki-modeli-mashinnogo-obucheniya-na-platforme (дата обращения: 27.10.2026).</x:t>
  </x:si>
  <x:si>
    <x:t xml:space="preserve">Босенко Т. М.</x:t>
  </x:si>
  <x:si>
    <x:t xml:space="preserve">Интеграция мультимодальных технологий в образовательный процесс на примере разработки модели машинного обучения на платформе Apache Spark</x:t>
  </x:si>
  <x:si>
    <x:t xml:space="preserve">1(71)</x:t>
  </x:si>
  <x:si>
    <x:t xml:space="preserve">80–89</x:t>
  </x:si>
  <x:si>
    <x:t xml:space="preserve">https://doi.org/10.24412/2072-9014-2025-171-80-89</x:t>
  </x:si>
  <x:si>
    <x:t xml:space="preserve">https://journals.rudn.ru/informatization-education/article/view/48624?setLocale=ru_RU#articleCitations</x:t>
  </x:si>
  <x:si>
    <x:t xml:space="preserve">10.24412/2072-9014-2025-171-80-89</x:t>
  </x:si>
  <x:si>
    <x:t xml:space="preserve">Multimodal verification of pedagogical features using SAR analysis</x:t>
  </x:si>
  <x:si>
    <x:t xml:space="preserve">https://journals.rudn.ru/informatization-education/article/view/48624</x:t>
  </x:si>
  <x:si>
    <x:t xml:space="preserve">https://cyberleninka.ru/article/n/integratsiya-multimodalnyh-tehnologiy-v-obrazovatelnyy-protsess-na-primere-razrabotki-modeli-mashinnogo-obucheniya-na-platforme</x:t>
  </x:si>
  <x:si>
    <x:t xml:space="preserve">ИНТЕГРАЦИЯ МУЛЬТИМОДАЛЬНЫХ ТЕХНОЛОГИЙ В ОБРАЗОВАТЕЛЬНЫЙ ПРОЦЕСС НА ПРИМЕРЕ РАЗРАБОТКИ МОДЕЛИ МАШИННОГО ОБУЧЕНИЯ НА ПЛАТФОРМЕ APACHE SPARK | ИНТЕГРАЦИЯ МУЛЬТИМОДАЛЬНЫХ ТЕХНОЛОГИЙ В ОБРАЗОВАТЕЛЬНЫЙ ПРОЦЕСС НА ПРИМЕРЕ РАЗРАБОТКИ МОДЕЛИ МАШИННОГО ОБУЧЕНИЯ НА ПЛАТФОРМЕ APACHE SPARK | ИНТЕГРАЦИЯ МУЛЬТИМОДАЛЬНЫХ ТЕХНОЛОГИЙ В ОБРАЗОВАТЕЛЬНЫЙ ПРОЦЕСС НА ПРИМЕРЕ РАЗРАБОТКИ МОДЕЛИ МАШИННОГО ОБУЧЕНИЯ НА ПЛАТФОРМЕ APACHE SPARK – тема научной статьи по компьютерным и информационным наукам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</x:si>
  <x:si>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https://cyberleninka.ru/article/n/integratsiya-multimodalnyh-tehnologiy-v-obrazovatelnyy-protsess-na-primere-razrabotki-modeli-mashinnogo-obucheniya-na-platforme</x:t>
  </x:si>
  <x:si>
    <x:t xml:space="preserve">R179</x:t>
  </x:si>
  <x:si>
    <x:t xml:space="preserve">Вавилов Н.А. Компьютер как новая реальность математики. I. Personal account // Компьютерные инструменты в образовании. 2020. № 2. С. 5-26. https://doi.org/10.32603/2071-2340-2020-2-5-26 EDN: JRMMBP</x:t>
  </x:si>
  <x:si>
    <x:t xml:space="preserve">Вавилов Н. А. Компьютер как новая реальность математики. I. Personal account // Компьютерные инструменты в образовании. — 2020. — № 2. — С. 5–26. — URL: http://cte.eltech.ru/ojs/index.php/kio/ru/article/view/1657 (дата обращения: 27.10.2026).</x:t>
  </x:si>
  <x:si>
    <x:t xml:space="preserve">Вавилов Н. А.</x:t>
  </x:si>
  <x:si>
    <x:t xml:space="preserve">Компьютер как новая реальность математики. I. Personal account</x:t>
  </x:si>
  <x:si>
    <x:t xml:space="preserve">Компьютерные инструменты в образовании</x:t>
  </x:si>
  <x:si>
    <x:t xml:space="preserve">5–26</x:t>
  </x:si>
  <x:si>
    <x:t xml:space="preserve">https://doi.org/10.32603/2071-2340-2020-2-5-26</x:t>
  </x:si>
  <x:si>
    <x:t xml:space="preserve">https://journals.rudn.ru/informatization-education/article/view/48627?setLocale=ru_RU#articleCitations</x:t>
  </x:si>
  <x:si>
    <x:t xml:space="preserve">10.32603/2071-2340-2020-2-5-26</x:t>
  </x:si>
  <x:si>
    <x:t xml:space="preserve">Methods of teaching of using computer experiments in solving mathematical problems</x:t>
  </x:si>
  <x:si>
    <x:t xml:space="preserve">JRMMBP</x:t>
  </x:si>
  <x:si>
    <x:t xml:space="preserve">https://journals.rudn.ru/informatization-education/article/view/48627</x:t>
  </x:si>
  <x:si>
    <x:t xml:space="preserve">http://cte.eltech.ru/ojs/index.php/kio/ru/article/view/1657</x:t>
  </x:si>
  <x:si>
    <x:t xml:space="preserve">Компьютер как новая реальность математики. I. Personal account |   Компьютер как новая реальность математики. I. Personal account | 
		  Компьютер как новая реальность математики. I. Personal account
							| Компьютерные инструменты в образовании</x:t>
  </x:si>
  <x:si>
    <x:t xml:space="preserve">HTTP 200; проверка объекта 27.10.2026; http://cte.eltech.ru/ojs/index.php/kio/ru/article/view/1657</x:t>
  </x:si>
  <x:si>
    <x:t xml:space="preserve">R180</x:t>
  </x:si>
  <x:si>
    <x:t xml:space="preserve">Экелекян В.Л. Интегрированная лабораторная работа по информатике, математике и физике // Информатика. Приложение к газете «Первое сентября». 2004. № 37. С. 22-24.</x:t>
  </x:si>
  <x:si>
    <x:t xml:space="preserve">Экелекян В. Л. Интегрированная лабораторная работа по информатике, математике и физике // Информатика. Приложение к газете «Первое сентября». — 2004. — № 37. — С. 22–24.</x:t>
  </x:si>
  <x:si>
    <x:t xml:space="preserve">Экелекян В. Л.</x:t>
  </x:si>
  <x:si>
    <x:t xml:space="preserve">Интегрированная лабораторная работа по информатике, математике и физике</x:t>
  </x:si>
  <x:si>
    <x:t xml:space="preserve">Информатика. Приложение к газете «Первое сентября»</x:t>
  </x:si>
  <x:si>
    <x:t xml:space="preserve">22–24</x:t>
  </x:si>
  <x:si>
    <x:t xml:space="preserve">R181</x:t>
  </x:si>
  <x:si>
    <x:t xml:space="preserve">Дворецкая И.В., Мерцалова Т.А. Возможности и предпочтения учителей в выборе способов развития компетенций использования цифровых образовательных технологий // Мониторинг общественного мнения: экономические и социальные перемены. 2024. № 4(182). С. 126-147. https://doi.org/10.14515/monitoring.2024.4.2487</x:t>
  </x:si>
  <x:si>
    <x:t xml:space="preserve">Дворецкая И. В., Мерцалова Т. А. Возможности и предпочтения учителей в выборе способов развития компетенций использования цифровых образовательных технологий // Мониторинг общественного мнения: экономические и социальные перемены. — 2024. — № 4(182). — С. 126–147. — URL: https://monitoringjournal.ru/index.php/monitoring/article/view/2487 (дата обращения: 27.10.2026).</x:t>
  </x:si>
  <x:si>
    <x:t xml:space="preserve">Дворецкая И. В. | Мерцалова Т. А.</x:t>
  </x:si>
  <x:si>
    <x:t xml:space="preserve">Возможности и предпочтения учителей в выборе способов развития компетенций использования цифровых образовательных технологий</x:t>
  </x:si>
  <x:si>
    <x:t xml:space="preserve">Мониторинг общественного мнения: экономические и социальные перемены</x:t>
  </x:si>
  <x:si>
    <x:t xml:space="preserve">4(182)</x:t>
  </x:si>
  <x:si>
    <x:t xml:space="preserve">126–147</x:t>
  </x:si>
  <x:si>
    <x:t xml:space="preserve">https://doi.org/10.14515/monitoring.2024.4.2487</x:t>
  </x:si>
  <x:si>
    <x:t xml:space="preserve">https://journals.rudn.ru/informatization-education/article/view/48629?setLocale=ru_RU#articleCitations</x:t>
  </x:si>
  <x:si>
    <x:t xml:space="preserve">10.14515/monitoring.2024.4.2487</x:t>
  </x:si>
  <x:si>
    <x:t xml:space="preserve">Digital transformation of general education: analysis of changes</x:t>
  </x:si>
  <x:si>
    <x:t xml:space="preserve">https://journals.rudn.ru/informatization-education/article/view/48629</x:t>
  </x:si>
  <x:si>
    <x:t xml:space="preserve">https://monitoringjournal.ru/index.php/monitoring/article/view/2487</x:t>
  </x:si>
  <x:si>
    <x:t xml:space="preserve">Возможности и предпочтения учителей в выборе способов развития компетенций использования цифровых образовательных технологий | Возможности и предпочтения учителей в выборе способов развития компетенций использования цифровых образовательных технологий | 
		Возможности и предпочтения учителей в выборе способов развития компетенций использования цифровых образовательных технологий
							| Мониторинг общественного мнения: экономические и социальные перемены</x:t>
  </x:si>
  <x:si>
    <x:t xml:space="preserve">HTTP 200; проверка объекта 27.10.2026; https://monitoringjournal.ru/index.php/monitoring/article/view/2487</x:t>
  </x:si>
  <x:si>
    <x:t xml:space="preserve">R182</x:t>
  </x:si>
  <x:si>
    <x:t xml:space="preserve">Духанина Л.Н., Максименко А.А. Вынужденная цифровизация школьного образования в России: родительская рефлексия // Научный результат. Социология и управление. 2021. Т. 7. № 2. С. 116-131. https://doi.org/10.18413/2408-9338-2021-7-2-0-9</x:t>
  </x:si>
  <x:si>
    <x:t xml:space="preserve">Духанина Л. Н., Максименко А. А. Вынужденная цифровизация школьного образования в России : родительская рефлексия // Научный результат. Социология и управление. — 2021. — Т. 7. — № 2. — С. 116–131. — URL: https://rrsociology.ru/journal/annotation/2451/ (дата обращения: 27.10.2026).</x:t>
  </x:si>
  <x:si>
    <x:t xml:space="preserve">Духанина Л. Н. | Максименко А. А.</x:t>
  </x:si>
  <x:si>
    <x:t xml:space="preserve">Вынужденная цифровизация школьного образования в России: родительская рефлексия</x:t>
  </x:si>
  <x:si>
    <x:t xml:space="preserve">Научный результат. Социология и управление</x:t>
  </x:si>
  <x:si>
    <x:t xml:space="preserve">116–131</x:t>
  </x:si>
  <x:si>
    <x:t xml:space="preserve">https://doi.org/10.18413/2408-9338-2021-7-2-0-9</x:t>
  </x:si>
  <x:si>
    <x:t xml:space="preserve">10.18413/2408-9338-2021-7-2-0-9</x:t>
  </x:si>
  <x:si>
    <x:t xml:space="preserve">https://rrsociology.ru/journal/annotation/2451/</x:t>
  </x:si>
  <x:si>
    <x:t xml:space="preserve">HTTP 200; проверка объекта 27.10.2026; https://rrsociology.ru/journal/annotation/2451/</x:t>
  </x:si>
  <x:si>
    <x:t xml:space="preserve">R183</x:t>
  </x:si>
  <x:si>
    <x:t xml:space="preserve">Франц А.С. Корпоративная культура учреждений профессионального образования : курс лекций : учеб. пособие для слушателей институтов и факультетов повышения квалификации, преподавателей, аспирантов и других профессионально-педагогических работников. Екатеринбург : Рос. гос. профессионально-педагогический ун-т, 2011. 91 с. EDN: QONTLV</x:t>
  </x:si>
  <x:si>
    <x:t xml:space="preserve">Франц А. С. Корпоративная культура учреждений профессионального образования : курс лекций : учеб. пособие для слушателей институтов и факультетов повышения квалификации, преподавателей, аспирантов и других профессионально-педагогических работников. — Екатеринбург : Рос. гос. профессионально-педагогический ун-т, 2011. — 91 с.</x:t>
  </x:si>
  <x:si>
    <x:t xml:space="preserve">Франц А. С.</x:t>
  </x:si>
  <x:si>
    <x:t xml:space="preserve">Корпоративная культура учреждений профессионального образования : курс лекций : учеб. пособие для слушателей институтов и факультетов повышения квалификации, преподавателей, аспирантов и других профессионально-педагогических работников</x:t>
  </x:si>
  <x:si>
    <x:t xml:space="preserve">91</x:t>
  </x:si>
  <x:si>
    <x:t xml:space="preserve">Рос. гос. профессионально-педагогический ун-т</x:t>
  </x:si>
  <x:si>
    <x:t xml:space="preserve">https://journals.rudn.ru/informatization-education/article/view/48630?setLocale=ru_RU#articleCitations</x:t>
  </x:si>
  <x:si>
    <x:t xml:space="preserve">Formation of ICT competencies of IT students in the context of the development of corporate culture of the university</x:t>
  </x:si>
  <x:si>
    <x:t xml:space="preserve">QONTLV</x:t>
  </x:si>
  <x:si>
    <x:t xml:space="preserve">https://journals.rudn.ru/informatization-education/article/view/48630</x:t>
  </x:si>
  <x:si>
    <x:t xml:space="preserve">R184</x:t>
  </x:si>
  <x:si>
    <x:t xml:space="preserve">Гриншкун В.В., Краснова Г.А. Современная цифровая образовательная среда: ресурсы, средства, сервисы. М. : Проспект, 2021. 216 с. EDN: KSQCCT</x:t>
  </x:si>
  <x:si>
    <x:t xml:space="preserve">Гриншкун В. В., Краснова Г. А. Современная цифровая образовательная среда : ресурсы, средства, сервисы. — Москва : Проспект, 2021. — 216 с.</x:t>
  </x:si>
  <x:si>
    <x:t xml:space="preserve">Гриншкун В. В. | Краснова Г. А.</x:t>
  </x:si>
  <x:si>
    <x:t xml:space="preserve">Современная цифровая образовательная среда: ресурсы, средства, сервисы</x:t>
  </x:si>
  <x:si>
    <x:t xml:space="preserve">216</x:t>
  </x:si>
  <x:si>
    <x:t xml:space="preserve">Проспект</x:t>
  </x:si>
  <x:si>
    <x:t xml:space="preserve">https://journals.rudn.ru/informatization-education/article/view/49910?setLocale=ru_RU#articleCitations</x:t>
  </x:si>
  <x:si>
    <x:t xml:space="preserve">The use of artificial intelligence technology in the educational activities of Chinese higher education institutions</x:t>
  </x:si>
  <x:si>
    <x:t xml:space="preserve">KSQCCT</x:t>
  </x:si>
  <x:si>
    <x:t xml:space="preserve">https://journals.rudn.ru/informatization-education/article/view/49910</x:t>
  </x:si>
  <x:si>
    <x:t xml:space="preserve">R185</x:t>
  </x:si>
  <x:si>
    <x:t xml:space="preserve">Шугаль Н.Б., Варламова Т.А. Подготовка высококвалифицированных кадров в области искусственного интеллекта. М. : ИСИЭЗ ВШЭ, 2024. 60 с. https://doi.org/10.17323/978-5-7598-3024-5</x:t>
  </x:si>
  <x:si>
    <x:t xml:space="preserve">Шугаль Н. Б., Варламова Т. А. Подготовка высококвалифицированных кадров в области искусственного интеллекта. — Москва : ИСИЭЗ ВШЭ, 2024. — 60 с.</x:t>
  </x:si>
  <x:si>
    <x:t xml:space="preserve">Шугаль Н. Б. | Варламова Т. А.</x:t>
  </x:si>
  <x:si>
    <x:t xml:space="preserve">Подготовка высококвалифицированных кадров в области искусственного интеллекта</x:t>
  </x:si>
  <x:si>
    <x:t xml:space="preserve">60</x:t>
  </x:si>
  <x:si>
    <x:t xml:space="preserve">ИСИЭЗ ВШЭ</x:t>
  </x:si>
  <x:si>
    <x:t xml:space="preserve">https://doi.org/10.17323/978-5-7598-3024-5</x:t>
  </x:si>
  <x:si>
    <x:t xml:space="preserve">10.17323/978-5-7598-3024-5</x:t>
  </x:si>
  <x:si>
    <x:t xml:space="preserve">R186</x:t>
  </x:si>
  <x:si>
    <x:t xml:space="preserve">Глухов А.П., Синогина Е.С. Исследование готовности учащихся к внедрению интеллектуальных агентов педагогической поддержки в образовательную среду // Цифровая гуманитаристика и технологии в образовании (DHTE 2025) : сб. статей VI Междунар. науч.-практ. конф., 13–14 ноября 2025 г. / под ред. В.В. Рубцова, М.Г. Сороковой, Н.П. Радчиковой. М. : МГППУ, 2025. С. 119–132. URL: https://psyjournals.ru/nonserialpublications/dhte2025/contents/Glukhov_Sinogina (дата обращения: 07.01.2026).</x:t>
  </x:si>
  <x:si>
    <x:t xml:space="preserve">Глухов А. П., Синогина Е. С. Исследование готовности учащихся к внедрению интеллектуальных агентов педагогической поддержки в образовательную среду // Цифровая гуманитаристика и технологии в образовании (DHTE. — 2025. — С. 119–132. — URL: https://psyjournals.ru/nonserialpublications/dhte2025/contents/Glukhov_Sinogina (дата обращения: 27.10.2026).</x:t>
  </x:si>
  <x:si>
    <x:t xml:space="preserve">Глухов А. П. | Синогина Е. С.</x:t>
  </x:si>
  <x:si>
    <x:t xml:space="preserve">Исследование готовности учащихся к внедрению интеллектуальных агентов педагогической поддержки в образовательную среду</x:t>
  </x:si>
  <x:si>
    <x:t xml:space="preserve">Цифровая гуманитаристика и технологии в образовании (DHTE</x:t>
  </x:si>
  <x:si>
    <x:t xml:space="preserve">119–132</x:t>
  </x:si>
  <x:si>
    <x:t xml:space="preserve">https://psyjournals.ru/nonserialpublications/dhte2025/contents/Glukhov_Sinogina</x:t>
  </x:si>
  <x:si>
    <x:t xml:space="preserve">https://journals.rudn.ru/informatization-education/article/view/49911?setLocale=ru_RU#articleCitations</x:t>
  </x:si>
  <x:si>
    <x:t xml:space="preserve">Artificial intelligence resources as a means of increasing future teachers’ interest in studying psychological and pedagogical disciplines</x:t>
  </x:si>
  <x:si>
    <x:t xml:space="preserve">https://journals.rudn.ru/informatization-education/article/view/49911</x:t>
  </x:si>
  <x:si>
    <x:t xml:space="preserve">Исследование готовности учащихся к внедрению интеллектуальных агентов педагогической поддержки в образовательную среду | Исследование готовности учащихся к внедрению интеллектуальных агентов педагогической поддержки в образовательную среду // Цифровая гуманитаристика и технологии в образовании (DHTE 2025) | Исследование готовности учащихся к внедрению интеллектуальных агентов педагогической поддержки в образовательную среду // Цифровая гуманитаристика и технологии в образовании (DHTE 2025) | PsyJournals.ru</x:t>
  </x:si>
  <x:si>
    <x:t xml:space="preserve">HTTP 200; проверка объекта 27.10.2026; https://psyjournals.ru/nonserialpublications/dhte2025/contents/Glukhov_Sinogina</x:t>
  </x:si>
  <x:si>
    <x:t xml:space="preserve">R187</x:t>
  </x:si>
  <x:si>
    <x:t xml:space="preserve">Ананин Д.П., Комаров Р.В., Реморенко И.М. «Когда честно – хорошо, для имитации – плохо»: стратегии использования генеративного искусственного интеллекта в российском вузе // Высшее образование в России. 2025. Т. 34. № 2. С. 31–50. https://doi.org/10.31992/0869-3617-2025-34-2-31-50 EDN: OBDXTG</x:t>
  </x:si>
  <x:si>
    <x:t xml:space="preserve">Ананин Д. П., Комаров Р. В., Реморенко И. М. «Когда честно – хорошо, для имитации – плохо» : стратегии использования генеративного искусственного интеллекта в российском вузе // Высшее образование в России. — 2025. — Т. 34. — № 2. — С. 31–50. — URL: https://vovr.elpub.ru/jour/article/view/5366 (дата обращения: 27.10.2026).</x:t>
  </x:si>
  <x:si>
    <x:t xml:space="preserve">Ананин Д. П. | Комаров Р. В. | Реморенко И. М.</x:t>
  </x:si>
  <x:si>
    <x:t xml:space="preserve">«Когда честно – хорошо, для имитации – плохо»: стратегии использования генеративного искусственного интеллекта в российском вузе</x:t>
  </x:si>
  <x:si>
    <x:t xml:space="preserve">Высшее образование в России</x:t>
  </x:si>
  <x:si>
    <x:t xml:space="preserve">31–50</x:t>
  </x:si>
  <x:si>
    <x:t xml:space="preserve">https://doi.org/10.31992/0869-3617-2025-34-2-31-50</x:t>
  </x:si>
  <x:si>
    <x:t xml:space="preserve">10.31992/0869-3617-2025-34-2-31-50</x:t>
  </x:si>
  <x:si>
    <x:t xml:space="preserve">OBDXTG</x:t>
  </x:si>
  <x:si>
    <x:t xml:space="preserve">https://vovr.elpub.ru/jour/article/view/5366</x:t>
  </x:si>
  <x:si>
    <x:t xml:space="preserve">«Когда честно – хорошо, для имитации – плохо»: стратегии использования генеративного искусственного интеллекта в российском вузе | Ананин | Высшее образование в России  (Vysshee obrazovanie v Rossii = Higher Education in Russia) | «Когда честно – хорошо, для имитации – плохо»: стратегии использования генеративного искусственного интеллекта в российском вузе | “When Honesty is Good, for Imitation is Bad”: Strategies for Using Generative Artificial Intelligence in Russian Higher Education Institutions | «Когда честно – хорошо, для имитации – плохо»: стратегии использования генеративного искусственного интеллекта в российском вузе | «Когда честно – хорошо, для имитации – плохо»: стратегии испол</x:t>
  </x:si>
  <x:si>
    <x:t xml:space="preserve">HTTP 200; проверка объекта 27.10.2026; https://vovr.elpub.ru/jour/article/view/5366</x:t>
  </x:si>
  <x:si>
    <x:t xml:space="preserve">R188</x:t>
  </x:si>
  <x:si>
    <x:t xml:space="preserve">Гриншкун В.В., Суворова Т.Н. Особенности подготовки педагогов в условиях цифровой трансформации системы образования // Вестник Московского университета. Серия 20: Педагогическое образование. 2024. Т. 22. № 1. С. 95–110. https://doi.org/10.55959/LPEJ-24-05 EDN: BCERXQ</x:t>
  </x:si>
  <x:si>
    <x:t xml:space="preserve">Гриншкун В. В., Суворова Т. Н. Особенности подготовки педагогов в условиях цифровой трансформации системы образования // Вестник Московского университета. Серия 20: Педагогическое образование. — 2024. — Т. 22. — № 1. — С. 95–110. — URL: https://msupedj.ru/articles/article/10788/ (дата обращения: 27.10.2026).</x:t>
  </x:si>
  <x:si>
    <x:t xml:space="preserve">Гриншкун В. В. | Суворова Т. Н.</x:t>
  </x:si>
  <x:si>
    <x:t xml:space="preserve">Особенности подготовки педагогов в условиях цифровой трансформации системы образования</x:t>
  </x:si>
  <x:si>
    <x:t xml:space="preserve">95–110</x:t>
  </x:si>
  <x:si>
    <x:t xml:space="preserve">https://doi.org/10.55959/LPEJ-24-05</x:t>
  </x:si>
  <x:si>
    <x:t xml:space="preserve">10.55959/LPEJ-24-05</x:t>
  </x:si>
  <x:si>
    <x:t xml:space="preserve">BCERXQ</x:t>
  </x:si>
  <x:si>
    <x:t xml:space="preserve">https://msupedj.ru/articles/article/10788/</x:t>
  </x:si>
  <x:si>
    <x:t xml:space="preserve">Особенности подготовки педагогов в условиях цифровой трансформации системы образования. Статья журнала ВМУ Серия 20. Педагогическое образование</x:t>
  </x:si>
  <x:si>
    <x:t xml:space="preserve">HTTP 200; проверка объекта 27.10.2026; https://msupedj.ru/articles/article/10788/</x:t>
  </x:si>
  <x:si>
    <x:t xml:space="preserve">R189</x:t>
  </x:si>
  <x:si>
    <x:t xml:space="preserve">Чэнь И. Готовность будущих учителей к использованию искусственного интеллекта в образовании // Научно-методический электронный журнал «Концепт». 2025. № 8. С. 88–101. URL: http://e-koncept.ru/2025/251153.htm (дата обращения: 05.01.2026).</x:t>
  </x:si>
  <x:si>
    <x:t xml:space="preserve">Чэнь И. Готовность будущих учителей к использованию искусственного интеллекта в образовании // Научно-методический электронный журнал «Концепт». — 2025. — № 8. — С. 88–101. — URL: https://e-koncept.ru/2025/251153.htm (дата обращения: 27.10.2026).</x:t>
  </x:si>
  <x:si>
    <x:t xml:space="preserve">Чэнь И.</x:t>
  </x:si>
  <x:si>
    <x:t xml:space="preserve">Готовность будущих учителей к использованию искусственного интеллекта в образовании</x:t>
  </x:si>
  <x:si>
    <x:t xml:space="preserve">Научно-методический электронный журнал «Концепт»</x:t>
  </x:si>
  <x:si>
    <x:t xml:space="preserve">88–101</x:t>
  </x:si>
  <x:si>
    <x:t xml:space="preserve">http://e-koncept.ru/2025/251153.htm</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</x:si>
  <x:si>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«Оформлении» URL объекта — https://…, в строке — http://….</x:t>
  </x:si>
  <x:si>
    <x:t xml:space="preserve">https://e-koncept.ru/2025/251153.htm</x:t>
  </x:si>
  <x:si>
    <x:t xml:space="preserve">Готовность будущих учителей к использованию искусственного интеллекта в образовании | Готовность будущих учителей к использованию искусственного интеллекта в образовании</x:t>
  </x:si>
  <x:si>
    <x:t xml:space="preserve">HTTP 200; проверка объекта 27.10.2026; https://e-koncept.ru/2025/251153.htm</x:t>
  </x:si>
  <x:si>
    <x:t xml:space="preserve">Проверка оформления Михаилом: достаточно данных — Да. Открылась страница статьи; заглавие совпало (DOI на странице не приведён). Источник: Подтверждения_28_10_2026.html. Адрес http://… из строки перенаправляет (301) на https://e-koncept.ru/2025/251153.htm; в «URL из исходной строки» оставлен исходный http-адрес. В строке адрес http://…, в D — https://…. Исходный вариант Михаила до последующего переноса: Чэнь, И. Готовность будущих учителей к использованию искусственного интеллекта в образовании // Научно-методический электронный журнал «Концепт». — 2025. — № 8. — С. 88–101. — URL: https://e-koncept.ru/2025/251153.htm (дата обращения: 27.10.2026).</x:t>
  </x:si>
  <x:si>
    <x:t xml:space="preserve">R190</x:t>
  </x:si>
  <x:si>
    <x:t xml:space="preserve">Рахимов А.А. Использование компьютерного моделирования в процессе обучения алгебре студентов технических направлений // Вестник Сургутского государственного педагогического университета. 2024. № 1(88). С. 49–61. https://doi.org/10.69571/SSPU.2024.88.1.023 EDN: QYDWEK</x:t>
  </x:si>
  <x:si>
    <x:t xml:space="preserve">Рахимов А. А. Использование компьютерного моделирования в процессе обучения алгебре студентов технических направлений // Вестник Сургутского государственного педагогического университета. — 2024. — № 1(88). — С. 49–61. — URL: http://search.rads-doi.org/project/15189/object/221519 (дата обращения: 27.10.2026).</x:t>
  </x:si>
  <x:si>
    <x:t xml:space="preserve">Рахимов А. А.</x:t>
  </x:si>
  <x:si>
    <x:t xml:space="preserve">Использование компьютерного моделирования в процессе обучения алгебре студентов технических направлений</x:t>
  </x:si>
  <x:si>
    <x:t xml:space="preserve">Вестник Сургутского государственного педагогического университета</x:t>
  </x:si>
  <x:si>
    <x:t xml:space="preserve">1(88)</x:t>
  </x:si>
  <x:si>
    <x:t xml:space="preserve">49–61</x:t>
  </x:si>
  <x:si>
    <x:t xml:space="preserve">https://doi.org/10.69571/SSPU.2024.88.1.023</x:t>
  </x:si>
  <x:si>
    <x:t xml:space="preserve">https://journals.rudn.ru/informatization-education/article/view/49912?setLocale=ru_RU#articleCitations</x:t>
  </x:si>
  <x:si>
    <x:t xml:space="preserve">10.69571/SSPU.2024.88.1.023</x:t>
  </x:si>
  <x:si>
    <x:t xml:space="preserve">Methodological aspects of implementing computer modeling in teaching higher mathematics in the mathematical training of students</x:t>
  </x:si>
  <x:si>
    <x:t xml:space="preserve">QYDWEK</x:t>
  </x:si>
  <x:si>
    <x:t xml:space="preserve">https://journals.rudn.ru/informatization-education/article/view/49912</x:t>
  </x:si>
  <x:si>
    <x:t xml:space="preserve">http://search.rads-doi.org/project/15189/object/221519</x:t>
  </x:si>
  <x:si>
    <x:t xml:space="preserve">ИСПОЛЬЗОВАНИЕ КОМПЬЮТЕРНОГО МОДЕЛИРОВАНИЯ В ПРОЦЕССЕ ОБУЧЕНИЯ АЛГЕБРЕ СТУДЕНТОВ ТЕХНИЧЕСКИХ НАПРАВЛЕНИЙ | THE USE OF COMPUTER MODELING IN THE PROCESS OF TEACHING ALGEBRA TO STUDENTS OF TECHNICAL FIELD | ИСПОЛЬЗОВАНИЕ КОМПЬЮТЕРНОГО МОДЕЛИРОВАНИЯ В ПРОЦЕССЕ ОБУЧЕНИЯ АЛГЕБРЕ СТУДЕНТОВ ТЕХНИЧЕСКИХ НАПРАВЛЕНИЙ | ИСПОЛЬЗОВАНИЕ КОМПЬЮТЕРНОГО МОДЕЛИРОВАНИЯ В ПРОЦЕССЕ ОБУЧЕНИЯ АЛГЕБРЕ СТУДЕНТОВ ТЕХНИЧЕСКИХ НАПРАВЛЕНИЙ - РАХИМОВ, А.А.</x:t>
  </x:si>
  <x:si>
    <x:t xml:space="preserve">HTTP 200; проверка объекта 27.10.2026; http://search.rads-doi.org/project/15189/object/221519</x:t>
  </x:si>
  <x:si>
    <x:t xml:space="preserve">R191</x:t>
  </x:si>
  <x:si>
    <x:t xml:space="preserve">Репкина Н.Г. Прогнозирование успешности образования студентов технических направлений подготовки с использованием искусственных нейронных сетей // Альманах мировой науки. 2016. № 5-1(8). С. 92–95. EDN: WBOOQH</x:t>
  </x:si>
  <x:si>
    <x:t xml:space="preserve">Репкина Н. Г. Прогнозирование успешности образования студентов технических направлений подготовки с использованием искусственных нейронных сетей // Альманах мировой науки. — 2016. — № 5-1(8). — С. 92–95.</x:t>
  </x:si>
  <x:si>
    <x:t xml:space="preserve">Репкина Н. Г.</x:t>
  </x:si>
  <x:si>
    <x:t xml:space="preserve">Прогнозирование успешности образования студентов технических направлений подготовки с использованием искусственных нейронных сетей</x:t>
  </x:si>
  <x:si>
    <x:t xml:space="preserve">Альманах мировой науки</x:t>
  </x:si>
  <x:si>
    <x:t xml:space="preserve">5-1(8)</x:t>
  </x:si>
  <x:si>
    <x:t xml:space="preserve">92–95</x:t>
  </x:si>
  <x:si>
    <x:t xml:space="preserve">https://journals.rudn.ru/informatization-education/article/view/49913?setLocale=ru_RU#articleCitations</x:t>
  </x:si>
  <x:si>
    <x:t xml:space="preserve">Application of the modified algorithm based on the use of self-organizing maps to identify student groups and build individual educational trajectories</x:t>
  </x:si>
  <x:si>
    <x:t xml:space="preserve">WBOOQH</x:t>
  </x:si>
  <x:si>
    <x:t xml:space="preserve">https://journals.rudn.ru/informatization-education/article/view/49913</x:t>
  </x:si>
  <x:si>
    <x:t xml:space="preserve">R192</x:t>
  </x:si>
  <x:si>
    <x:t xml:space="preserve">Казаченок В.В. Применение нейронных сетей в обучении // Информатика и образование. 2020. № 2(311). С. 41–47. https://doi.org/10.32517/0234-0453-2020-35-2-41-47 EDN: CEYGED</x:t>
  </x:si>
  <x:si>
    <x:t xml:space="preserve">Казаченок В. В. Применение нейронных сетей в обучении // Информатика и образование. — 2020. — № 2(311). — С. 41–47. — URL: https://info.infojournal.ru/jour/article/view/516 (дата обращения: 27.10.2026).</x:t>
  </x:si>
  <x:si>
    <x:t xml:space="preserve">Казаченок В. В.</x:t>
  </x:si>
  <x:si>
    <x:t xml:space="preserve">Применение нейронных сетей в обучении</x:t>
  </x:si>
  <x:si>
    <x:t xml:space="preserve">2(311)</x:t>
  </x:si>
  <x:si>
    <x:t xml:space="preserve">41–47</x:t>
  </x:si>
  <x:si>
    <x:t xml:space="preserve">https://doi.org/10.32517/0234-0453-2020-35-2-41-47</x:t>
  </x:si>
  <x:si>
    <x:t xml:space="preserve">10.32517/0234-0453-2020-35-2-41-47</x:t>
  </x:si>
  <x:si>
    <x:t xml:space="preserve">CEYGED</x:t>
  </x:si>
  <x:si>
    <x:t xml:space="preserve">https://info.infojournal.ru/jour/article/view/516</x:t>
  </x:si>
  <x:si>
    <x:t xml:space="preserve">Применение нейронных сетей в обучении | Казаченок | Информатика и образование | Применение нейронных сетей в обучении | Application of neural networks in training | Применение нейронных сетей в обучении | Применение нейронных сетей в обучении | Казаченок | Информатика и образование</x:t>
  </x:si>
  <x:si>
    <x:t xml:space="preserve">HTTP 200; проверка объекта 27.10.2026; https://info.infojournal.ru/jour/article/view/516</x:t>
  </x:si>
  <x:si>
    <x:t xml:space="preserve">R193</x:t>
  </x:si>
  <x:si>
    <x:t xml:space="preserve">Васильев А.В., Сян Я., Бекмешов А.Ю. Медицинская информационная среда как главный цифровой контур для реализации принципов здравоохранения нового поколения // Качество. Инновации. Образование. 2024. № 6(194). С. 72–77. EDN: HNXETW</x:t>
  </x:si>
  <x:si>
    <x:t xml:space="preserve">Васильев А. В., Сян Я., Бекмешов А. Ю. Медицинская информационная среда как главный цифровой контур для реализации принципов здравоохранения нового поколения // Качество. Инновации. Образование. — 2024. — № 6(194). — С. 72–77.</x:t>
  </x:si>
  <x:si>
    <x:t xml:space="preserve">Васильев А. В. | Сян Я. | Бекмешов А. Ю.</x:t>
  </x:si>
  <x:si>
    <x:t xml:space="preserve">Медицинская информационная среда как главный цифровой контур для реализации принципов здравоохранения нового поколения</x:t>
  </x:si>
  <x:si>
    <x:t xml:space="preserve">Качество. Инновации. Образование</x:t>
  </x:si>
  <x:si>
    <x:t xml:space="preserve">6(194)</x:t>
  </x:si>
  <x:si>
    <x:t xml:space="preserve">72–77</x:t>
  </x:si>
  <x:si>
    <x:t xml:space="preserve">https://journals.rudn.ru/informatization-education/article/view/49914?setLocale=ru_RU#articleCitations</x:t>
  </x:si>
  <x:si>
    <x:t xml:space="preserve">Digital technologies integration into clinical training of medical students: tools and methodological solutions</x:t>
  </x:si>
  <x:si>
    <x:t xml:space="preserve">HNXETW</x:t>
  </x:si>
  <x:si>
    <x:t xml:space="preserve">https://journals.rudn.ru/informatization-education/article/view/49914</x:t>
  </x:si>
  <x:si>
    <x:t xml:space="preserve">R194</x:t>
  </x:si>
  <x:si>
    <x:t xml:space="preserve">Тропникова В.В. Цифровые инструменты в образовательной среде системы среднего профессионального образования // Сибирский педагогический журнал. 2024. № 5. С. 53–64. https://doi.org/10.15293/1813-4718.2405.05 EDN: FANIPG</x:t>
  </x:si>
  <x:si>
    <x:t xml:space="preserve">Тропникова В. В. Цифровые инструменты в образовательной среде системы среднего профессионального образования // Сибирский педагогический журнал. — 2024. — № 5. — С. 53–64. — URL: http://en.sp-journal.ru/article/18008 (дата обращения: 27.10.2026).</x:t>
  </x:si>
  <x:si>
    <x:t xml:space="preserve">Тропникова В. В.</x:t>
  </x:si>
  <x:si>
    <x:t xml:space="preserve">Цифровые инструменты в образовательной среде системы среднего профессионального образования</x:t>
  </x:si>
  <x:si>
    <x:t xml:space="preserve">53–64</x:t>
  </x:si>
  <x:si>
    <x:t xml:space="preserve">https://doi.org/10.15293/1813-4718.2405.05</x:t>
  </x:si>
  <x:si>
    <x:t xml:space="preserve">10.15293/1813-4718.2405.05</x:t>
  </x:si>
  <x:si>
    <x:t xml:space="preserve">FANIPG</x:t>
  </x:si>
  <x:si>
    <x:t xml:space="preserve">http://en.sp-journal.ru/article/18008</x:t>
  </x:si>
  <x:si>
    <x:t xml:space="preserve">Цифровые инструменты в образовательной среде системы среднего профессионального образования | The Siberian Pedagogical Journal |(Sibirskiy pedagogicheskiy zhurnal)</x:t>
  </x:si>
  <x:si>
    <x:t xml:space="preserve">HTTP 200; проверка объекта 27.10.2026; http://en.sp-journal.ru/article/18008</x:t>
  </x:si>
  <x:si>
    <x:t xml:space="preserve">R195</x:t>
  </x:si>
  <x:si>
    <x:t xml:space="preserve">Васенина-Кириллова О.А., Евдокимова В.Е. Методический инструментарий применения технологии виртуальной реальности в обучении математическим и информационно-технологическим дисциплинам // Современные наукоемкие технологии. 2025. № 9. С. 204–209. http://doi.org/10.17513/snt.40508 EDN: FYBHMW</x:t>
  </x:si>
  <x:si>
    <x:t xml:space="preserve">Васенина-Кириллова О. А., Евдокимова В. Е. Методический инструментарий применения технологии виртуальной реальности в обучении математическим и информационно-технологическим дисциплинам // Современные наукоемкие технологии. — 2025. — № 9. — С. 204–209. — URL: https://top-technologies.ru/article/view?id=40508 (дата обращения: 27.10.2026).</x:t>
  </x:si>
  <x:si>
    <x:t xml:space="preserve">Васенина-Кириллова О. А. | Евдокимова В. Е.</x:t>
  </x:si>
  <x:si>
    <x:t xml:space="preserve">Методический инструментарий применения технологии виртуальной реальности в обучении математическим и информационно-технологическим дисциплинам</x:t>
  </x:si>
  <x:si>
    <x:t xml:space="preserve">Современные наукоемкие технологии</x:t>
  </x:si>
  <x:si>
    <x:t xml:space="preserve">204–209</x:t>
  </x:si>
  <x:si>
    <x:t xml:space="preserve">http://doi.org/10.17513/snt.40508</x:t>
  </x:si>
  <x:si>
    <x:t xml:space="preserve">https://journals.rudn.ru/informatization-education/article/view/49915?setLocale=ru_RU#articleCitations</x:t>
  </x:si>
  <x:si>
    <x:t xml:space="preserve">10.17513/snt.40508</x:t>
  </x:si>
  <x:si>
    <x:t xml:space="preserve">The possibilities of using a virtual engineering laboratory in the practical training of information security specialists</x:t>
  </x:si>
  <x:si>
    <x:t xml:space="preserve">FYBHMW</x:t>
  </x:si>
  <x:si>
    <x:t xml:space="preserve">https://journals.rudn.ru/informatization-education/article/view/49915</x:t>
  </x:si>
  <x:si>
    <x:t xml:space="preserve">https://top-technologies.ru/article/view?id=40508</x:t>
  </x:si>
  <x:si>
    <x:t xml:space="preserve">МЕТОДИЧЕСКИЙ ИНСТРУМЕНТАРИЙ ПРИМЕНЕНИЯ ТЕХНОЛОГИИ ВИРТУАЛЬНОЙ РЕАЛЬНОСТИ В ОБУЧЕНИИ МАТЕМАТИЧЕСКИМ И ИНФОРМАЦИОННО-ТЕХНОЛОГИЧЕСКИМ ДИСЦИПЛИНАМ | МЕТОДИЧЕСКИЙ ИНСТРУМЕНТАРИЙ ПРИМЕНЕНИЯ ТЕХНОЛОГИИ ВИРТУАЛЬНОЙ РЕАЛЬНОСТИ В ОБУЧЕНИИ МАТЕМАТИЧЕСКИМ И ИНФОРМАЦИОННО-ТЕХНОЛОГИЧЕСКИМ ДИСЦИПЛИНАМ | МЕТОДИЧЕСКИЙ ИНСТРУМЕНТАРИЙ ПРИМЕНЕНИЯ ТЕХНОЛОГИИ ВИРТУАЛЬНОЙ РЕАЛЬНОСТИ В ОБУЧЕНИИ МАТЕМАТИЧЕСКИМ И ИНФОРМАЦИОННО-ТЕХНОЛОГИЧЕСКИМ ДИСЦИПЛИНАМ — Современные наукоемкие технологии</x:t>
  </x:si>
  <x:si>
    <x:t xml:space="preserve">HTTP 200; проверка объекта 27.10.2026; https://top-technologies.ru/article/view?id=40508</x:t>
  </x:si>
  <x:si>
    <x:t xml:space="preserve">R196</x:t>
  </x:si>
  <x:si>
    <x:t xml:space="preserve">Шпак В.А., Кремлев Е.С., Михайлова У.В. Разработка виртуального тренажера для оценки защищенности акустической информации в контролируемом помещении // Вестник УрФО. Безопасность в информационной сфере. 2020. № 2(36). С. 10–16. http://doi.org/10.14529/secur200202 EDN: WYVAUA</x:t>
  </x:si>
  <x:si>
    <x:t xml:space="preserve">Шпак В. А., Кремлев Е. С., Михайлова У. В. Разработка виртуального тренажера для оценки защищенности акустической информации в контролируемом помещении // Вестник УрФО. Безопасность в информационной сфере. — 2020. — № 2(36). — С. 10–16. — URL: http://info-secur.ru/index.php/ojs/article/view/282/262 (дата обращения: 27.10.2026).</x:t>
  </x:si>
  <x:si>
    <x:t xml:space="preserve">Шпак В. А. | Кремлев Е. С. | Михайлова У. В.</x:t>
  </x:si>
  <x:si>
    <x:t xml:space="preserve">Разработка виртуального тренажера для оценки защищенности акустической информации в контролируемом помещении</x:t>
  </x:si>
  <x:si>
    <x:t xml:space="preserve">Вестник УрФО. Безопасность в информационной сфере</x:t>
  </x:si>
  <x:si>
    <x:t xml:space="preserve">2(36)</x:t>
  </x:si>
  <x:si>
    <x:t xml:space="preserve">10–16</x:t>
  </x:si>
  <x:si>
    <x:t xml:space="preserve">http://doi.org/10.14529/secur200202</x:t>
  </x:si>
  <x:si>
    <x:t xml:space="preserve">10.14529/secur200202</x:t>
  </x:si>
  <x:si>
    <x:t xml:space="preserve">WYVAUA</x:t>
  </x:si>
  <x:si>
    <x:t xml:space="preserve">http://info-secur.ru/index.php/ojs/article/view/282/262</x:t>
  </x:si>
  <x:si>
    <x:t xml:space="preserve">Просмотр «РАЗРАБОТКА ВИРТУАЛЬНОГО ТРЕНАЖЕРА ДЛЯ ОЦЕНКИ ЗАЩИЩЕННОСТИ АКУСТИЧЕСКОЙ ИНФОРМАЦИИ В КОНТРОЛИРУЕМОМ ПОМЕЩЕНИИ»</x:t>
  </x:si>
  <x:si>
    <x:t xml:space="preserve">HTTP 200; проверка объекта 27.10.2026; http://info-secur.ru/index.php/ojs/article/view/282/262</x:t>
  </x:si>
  <x:si>
    <x:t xml:space="preserve">R197</x:t>
  </x:si>
  <x:si>
    <x:t xml:space="preserve">Бочков М.В., Васинев Д.А. Метод оценки защищенности критической информационной инфраструктуры // Вопросы кибербезопасности. 2025. № 4(68). С. 17–29. http://doi.org/10.21681/2311-3456-2025-4-17-29 EDN: YXKOLM</x:t>
  </x:si>
  <x:si>
    <x:t xml:space="preserve">Бочков М. В., Васинев Д. А. Метод оценки защищенности критической информационной инфраструктуры // Вопросы кибербезопасности. — 2025. — № 4(68). — С. 17–29. — URL: https://cyberrus.info/wp-content/uploads/2025/08/vokib-2025-4-st03-s017-029.pdf (дата обращения: 27.10.2026).</x:t>
  </x:si>
  <x:si>
    <x:t xml:space="preserve">Бочков М. В. | Васинев Д. А.</x:t>
  </x:si>
  <x:si>
    <x:t xml:space="preserve">Метод оценки защищенности критической информационной инфраструктуры</x:t>
  </x:si>
  <x:si>
    <x:t xml:space="preserve">Вопросы кибербезопасности</x:t>
  </x:si>
  <x:si>
    <x:t xml:space="preserve">4(68)</x:t>
  </x:si>
  <x:si>
    <x:t xml:space="preserve">17–29</x:t>
  </x:si>
  <x:si>
    <x:t xml:space="preserve">http://doi.org/10.21681/2311-3456-2025-4-17-29</x:t>
  </x:si>
  <x:si>
    <x:t xml:space="preserve">10.21681/2311-3456-2025-4-17-29</x:t>
  </x:si>
  <x:si>
    <x:t xml:space="preserve">YXKOLM</x:t>
  </x:si>
  <x:si>
    <x:t xml:space="preserve">https://cyberrus.info/wp-content/uploads/2025/08/vokib-2025-4-st03-s017-029.pdf</x:t>
  </x:si>
  <x:si>
    <x:t xml:space="preserve">17DOI:	10.21681/2311-3456-2025-4-17-29
МЕТОД ОЦЕНКИ ЗАЩИЩЕННОСТИ КРИТИЧЕСКОЙ  
ИНФОРМАЦИОННОЙ ИНФРАСТРУКТУРЫ 
Бочков М. В. 1 , Васинев Д. А. 2  
DOI: 10.21681/2311-3456-2025-4-17-29
Цель исследования:  разработка метода оценки защищенности критическо</x:t>
  </x:si>
  <x:si>
    <x:t xml:space="preserve">HTTP 200; проверка объекта 27.10.2026; https://cyberrus.info/wp-content/uploads/2025/08/vokib-2025-4-st03-s017-029.pdf</x:t>
  </x:si>
  <x:si>
    <x:t xml:space="preserve">Проверка оформления Михаилом: достаточно данных — Да. Открылся PDF статьи (13 стр.). Просмотрен: заглавие, авторы, DOI 10.21681/2311-3456-2025-4-17-29, «Вопросы кибербезопасности 2025 № 4 (68)», с. 17–29 совпадают со строкой. Источник: Подтверждения_28_10_2026.html. Исходный вариант Михаила до последующего переноса: Бочков, М. В. Метод оценки защищенности критической информационной инфраструктуры / М. В. Бочков, Д. А. Васинев // Вопросы кибербезопасности. — 2025. — № 4(68). — С. 17–29. — URL: https://cyberrus.info/wp-content/uploads/2025/08/vokib-2025-4-st03-s017-029.pdf (дата обращения: 27.10.2026).</x:t>
  </x:si>
  <x:si>
    <x:t xml:space="preserve">R198</x:t>
  </x:si>
  <x:si>
    <x:t xml:space="preserve">Жернова К.Н. Использование интерфейсов виртуальной реальности в области информационной безопасности // Информатизация и связь. 2021. № 2. С. 118–127. http://doi.org/10.34219/2078-8320-2021-12-2-118-127 EDN: WQESIB</x:t>
  </x:si>
  <x:si>
    <x:t xml:space="preserve">Жернова К. Н. Использование интерфейсов виртуальной реальности в области информационной безопасности // Информатизация и связь. — 2021. — № 2. — С. 118–127. — URL: http://inf-svz.ru/2021_2-%d0%b0%d0%bd%d0%bd%d0%be%d1%82%d0%b0%d1%86%d0%b8%d0%b8-15/ (дата обращения: 27.10.2026).</x:t>
  </x:si>
  <x:si>
    <x:t xml:space="preserve">Жернова К. Н.</x:t>
  </x:si>
  <x:si>
    <x:t xml:space="preserve">Использование интерфейсов виртуальной реальности в области информационной безопасности</x:t>
  </x:si>
  <x:si>
    <x:t xml:space="preserve">Информатизация и связь</x:t>
  </x:si>
  <x:si>
    <x:t xml:space="preserve">118–127</x:t>
  </x:si>
  <x:si>
    <x:t xml:space="preserve">http://doi.org/10.34219/2078-8320-2021-12-2-118-127</x:t>
  </x:si>
  <x:si>
    <x:t xml:space="preserve">10.34219/2078-8320-2021-12-2-118-127</x:t>
  </x:si>
  <x:si>
    <x:t xml:space="preserve">WQESIB</x:t>
  </x:si>
  <x:si>
    <x:t xml:space="preserve">http://inf-svz.ru/2021_2-%d0%b0%d0%bd%d0%bd%d0%be%d1%82%d0%b0%d1%86%d0%b8%d0%b8-15/</x:t>
  </x:si>
  <x:si>
    <x:t xml:space="preserve">2021_2 Аннотации-15 | 2021_2 Аннотации-15 | Журнал «Информатизация и связь»</x:t>
  </x:si>
  <x:si>
    <x:t xml:space="preserve">HTTP 200; проверка объекта 27.10.2026; http://inf-svz.ru/2021_2-%d0%b0%d0%bd%d0%bd%d0%be%d1%82%d0%b0%d1%86%d0%b8%d0%b8-15/</x:t>
  </x:si>
  <x:si>
    <x:t xml:space="preserve">R199</x:t>
  </x:si>
  <x:si>
    <x:t xml:space="preserve">Золотарева А.В., Груздев М.В., Энзельдт Н.В. «Центр наставничества» как цифровой ресурс сопровождения молодого педагога // Информатика и образование. 2025. Т. 40. № 6. С. 5–15. https://doi.org/10.32517/0234-0453-2025-40-6-5-15 EDN: QAQHJP</x:t>
  </x:si>
  <x:si>
    <x:t xml:space="preserve">Золотарева А. В., Груздев М. В., Энзельдт Н. В. «Центр наставничества» как цифровой ресурс сопровождения молодого педагога // Информатика и образование. — 2025. — Т. 40. — № 6. — С. 5–15. — URL: https://info.infojournal.ru/jour/article/view/1361 (дата обращения: 27.10.2026).</x:t>
  </x:si>
  <x:si>
    <x:t xml:space="preserve">Золотарева А. В. | Груздев М. В. | Энзельдт Н. В.</x:t>
  </x:si>
  <x:si>
    <x:t xml:space="preserve">«Центр наставничества» как цифровой ресурс сопровождения молодого педагога</x:t>
  </x:si>
  <x:si>
    <x:t xml:space="preserve">https://doi.org/10.32517/0234-0453-2025-40-6-5-15</x:t>
  </x:si>
  <x:si>
    <x:t xml:space="preserve">https://journals.rudn.ru/informatization-education/article/view/49916?setLocale=ru_RU#articleCitations</x:t>
  </x:si>
  <x:si>
    <x:t xml:space="preserve">10.32517/0234-0453-2025-40-6-5-15</x:t>
  </x:si>
  <x:si>
    <x:t xml:space="preserve">Specifics of preparing teachers for the mentoring programs implementation in a digital educational environment</x:t>
  </x:si>
  <x:si>
    <x:t xml:space="preserve">QAQHJP</x:t>
  </x:si>
  <x:si>
    <x:t xml:space="preserve">https://journals.rudn.ru/informatization-education/article/view/49916</x:t>
  </x:si>
  <x:si>
    <x:t xml:space="preserve">https://info.infojournal.ru/jour/article/view/1361</x:t>
  </x:si>
  <x:si>
    <x:t xml:space="preserve">«Центр наставничества» как цифровой ресурс сопровождения молодого педагога | Золотарева | Информатика и образование | «Центр наставничества» как цифровой ресурс сопровождения молодого педагога | "Mentoring Center" as a digital resource for accompanying a young teacher | «Центр наставничества» как цифровой ресурс сопровождения молодого педагога | «Центр наставничества» как цифровой ресурс сопровождения молодого педагога | Золотарева | Информатика и образование</x:t>
  </x:si>
  <x:si>
    <x:t xml:space="preserve">HTTP 200; проверка объекта 27.10.2026; https://info.infojournal.ru/jour/article/view/1361</x:t>
  </x:si>
  <x:si>
    <x:t xml:space="preserve">R200</x:t>
  </x:si>
  <x:si>
    <x:t xml:space="preserve">Деникин А.А. Постцифровая эстетика в арт-практиках цифрового искусства // Обсерватория культуры. 2017. Т. 14. № 1. С. 36–45. EDN: YLKYWX</x:t>
  </x:si>
  <x:si>
    <x:t xml:space="preserve">Деникин А. А. Постцифровая эстетика в арт-практиках цифрового искусства // Обсерватория культуры. — 2017. — Т. 14. — № 1. — С. 36–45.</x:t>
  </x:si>
  <x:si>
    <x:t xml:space="preserve">Деникин А. А.</x:t>
  </x:si>
  <x:si>
    <x:t xml:space="preserve">Постцифровая эстетика в арт-практиках цифрового искусства</x:t>
  </x:si>
  <x:si>
    <x:t xml:space="preserve">Обсерватория культуры</x:t>
  </x:si>
  <x:si>
    <x:t xml:space="preserve">36–45</x:t>
  </x:si>
  <x:si>
    <x:t xml:space="preserve">https://journals.rudn.ru/informatization-education/article/view/49918?setLocale=ru_RU#articleCitations</x:t>
  </x:si>
  <x:si>
    <x:t xml:space="preserve">Artistic and aesthetic component in project activities with computer science students</x:t>
  </x:si>
  <x:si>
    <x:t xml:space="preserve">YLKYWX</x:t>
  </x:si>
  <x:si>
    <x:t xml:space="preserve">https://journals.rudn.ru/informatization-education/article/view/49918</x:t>
  </x:si>
  <x:si>
    <x:t xml:space="preserve">R201</x:t>
  </x:si>
  <x:si>
    <x:t xml:space="preserve">Семенова А.А. Вселенная новых видов искусства: погружение в Digital art : монография. М. : Ай Пи Ар Медиа, 2022. 132 с. https://doi.org/10.23682/120283</x:t>
  </x:si>
  <x:si>
    <x:t xml:space="preserve">Семенова А. А. Вселенная новых видов искусства : погружение в Digital art : монография. — Москва : Ай Пи Ар Медиа, 2022. — 132 с.</x:t>
  </x:si>
  <x:si>
    <x:t xml:space="preserve">Семенова А. А.</x:t>
  </x:si>
  <x:si>
    <x:t xml:space="preserve">Вселенная новых видов искусства: погружение в Digital art : монография</x:t>
  </x:si>
  <x:si>
    <x:t xml:space="preserve">132</x:t>
  </x:si>
  <x:si>
    <x:t xml:space="preserve">Ай Пи Ар Медиа</x:t>
  </x:si>
  <x:si>
    <x:t xml:space="preserve">https://doi.org/10.23682/120283</x:t>
  </x:si>
  <x:si>
    <x:t xml:space="preserve">10.23682/120283</x:t>
  </x:si>
  <x:si>
    <x:t xml:space="preserve">R202</x:t>
  </x:si>
  <x:si>
    <x:t xml:space="preserve">Малыгина С.Н., Неупокоева Е.О. Обзор современных средств имитационного моделирования // Труды Кольского научного центра РАН. Серия: Технические науки. 2022. Т. 13. № 2. С. 134-143. https://doi.org/10.37614/2949-1215.2022.13.2.013 EDN: ZKZHMC</x:t>
  </x:si>
  <x:si>
    <x:t xml:space="preserve">Малыгина С. Н., Неупокоева Е. О. Обзор современных средств имитационного моделирования // Труды Кольского научного центра РАН. Серия: Технические науки. — 2022. — Т. 13. — № 2. — С. 134–143. — URL: https://rio.ksc.ru/data/documents/2_2022_13/13-%D0%9E%D0%91%D0%97%D0%9E%D0%A0%20%D0%A1%D0%9E%D0%92%D0%A0%D0%95%D0%9C%D0%95%D0%9D%D0%9D%D0%AB%D0%A5%20%D0%A1%D0%A0%D0%95%D0%94%D0%A1%D0%A2%D0%92-135-144.pdf (дата обращения: 27.10.2026).</x:t>
  </x:si>
  <x:si>
    <x:t xml:space="preserve">Малыгина С. Н. | Неупокоева Е. О.</x:t>
  </x:si>
  <x:si>
    <x:t xml:space="preserve">Обзор современных средств имитационного моделирования</x:t>
  </x:si>
  <x:si>
    <x:t xml:space="preserve">Труды Кольского научного центра РАН. Серия: Технические науки</x:t>
  </x:si>
  <x:si>
    <x:t xml:space="preserve">13</x:t>
  </x:si>
  <x:si>
    <x:t xml:space="preserve">134–143</x:t>
  </x:si>
  <x:si>
    <x:t xml:space="preserve">https://doi.org/10.37614/2949-1215.2022.13.2.013</x:t>
  </x:si>
  <x:si>
    <x:t xml:space="preserve">https://journals.rudn.ru/informatization-education/article/view/52112?setLocale=ru_RU#articleCitations</x:t>
  </x:si>
  <x:si>
    <x:t xml:space="preserve">10.37614/2949-1215.2022.13.2.013</x:t>
  </x:si>
  <x:si>
    <x:t xml:space="preserve">Revision of the Computer Science subject at basic and advanced levels in upper secondary education</x:t>
  </x:si>
  <x:si>
    <x:t xml:space="preserve">ZKZHMC</x:t>
  </x:si>
  <x:si>
    <x:t xml:space="preserve">https://journals.rudn.ru/informatization-education/article/view/52112</x:t>
  </x:si>
  <x:si>
    <x:t xml:space="preserve">https://rio.ksc.ru/data/documents/2_2022_13/13-%D0%9E%D0%91%D0%97%D0%9E%D0%A0%20%D0%A1%D0%9E%D0%92%D0%A0%D0%95%D0%9C%D0%95%D0%9D%D0%9D%D0%AB%D0%A5%20%D0%A1%D0%A0%D0%95%D0%94%D0%A1%D0%A2%D0%92-135-144.pdf</x:t>
  </x:si>
  <x:si>
    <x:t xml:space="preserve">Труды Кольского научного центра РАН. Серия: Технические науки. 2022. Т. 13, № 2. С. 134–143. 
Transactions of the Kola Science Centre of RAS. Series: Engineering Sciences. 2022. Vol. 13, No. 2. P. 134–143. 
© Малыгина С. Н., Неупокоева Е. О., 2022 
1</x:t>
  </x:si>
  <x:si>
    <x:t xml:space="preserve">HTTP 200; проверка объекта 27.10.2026; https://rio.ksc.ru/data/documents/2_2022_13/13-%D0%9E%D0%91%D0%97%D0%9E%D0%A0%20%D0%A1%D0%9E%D0%92%D0%A0%D0%95%D0%9C%D0%95%D0%9D%D0%9D%D0%AB%D0%A5%20%D0%A1%D0%A0%D0%95%D0%94%D0%A1%D0%A2%D0%92-135-144.pdf</x:t>
  </x:si>
  <x:si>
    <x:t xml:space="preserve">R203</x:t>
  </x:si>
  <x:si>
    <x:t xml:space="preserve">Яковлева Л.А. 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 // Перспективы науки и образования. 2025. № 1. С. 92-104. https://doi.org/10.32744/pse.2025.1.6 EDN: DAAVST</x:t>
  </x:si>
  <x:si>
    <x:t xml:space="preserve">Яковлева Л. А. 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 // Перспективы науки и образования. — 2025. — № 1. — С. 92–104. — URL: https://pnojournal.org/2025/02/28/yakovleva-3/ (дата обращения: 27.10.2026).</x:t>
  </x:si>
  <x:si>
    <x:t xml:space="preserve">Яковлева Л. А.</x:t>
  </x:si>
  <x:si>
    <x:t xml:space="preserve">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x:t>
  </x:si>
  <x:si>
    <x:t xml:space="preserve">Перспективы науки и образования</x:t>
  </x:si>
  <x:si>
    <x:t xml:space="preserve">92–104</x:t>
  </x:si>
  <x:si>
    <x:t xml:space="preserve">https://doi.org/10.32744/pse.2025.1.6</x:t>
  </x:si>
  <x:si>
    <x:t xml:space="preserve">https://journals.rudn.ru/informatization-education/article/view/52114?setLocale=ru_RU#articleCitations</x:t>
  </x:si>
  <x:si>
    <x:t xml:space="preserve">10.32744/pse.2025.1.6</x:t>
  </x:si>
  <x:si>
    <x:t xml:space="preserve">Training future teachers to use educational data mining for professional practice</x:t>
  </x:si>
  <x:si>
    <x:t xml:space="preserve">DAAVST</x:t>
  </x:si>
  <x:si>
    <x:t xml:space="preserve">https://journals.rudn.ru/informatization-education/article/view/52114</x:t>
  </x:si>
  <x:si>
    <x:t xml:space="preserve">https://pnojournal.org/2025/02/28/yakovleva-3/</x:t>
  </x:si>
  <x:si>
    <x:t xml:space="preserve">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 | Оценка удовлетворенности студентов педагогических направлений подготовки качеством развития цифровых компетенций с элементами электронного обучения — Перспективы науки и образования</x:t>
  </x:si>
  <x:si>
    <x:t xml:space="preserve">HTTP 200; проверка объекта 27.10.2026; https://pnojournal.org/2025/02/28/yakovleva-3/</x:t>
  </x:si>
  <x:si>
    <x:t xml:space="preserve">R204</x:t>
  </x:si>
  <x:si>
    <x:t xml:space="preserve">Кузнецов В. Постсекулярный век неомодерна. Ближневосточный извод // Государство, религия, церковь в России и за рубежом. 2017. Т. 35. № 3. С. 85-111. doi: 10.22394/2073-7203-2017-35-3-85-111 EDN: ZIORAZ</x:t>
  </x:si>
  <x:si>
    <x:t xml:space="preserve">Кузнецов В. Постсекулярный век неомодерна. Ближневосточный извод // Государство, религия, церковь в России и за рубежом. — 2017. — Т. 35. — № 3. — С. 85–111.</x:t>
  </x:si>
  <x:si>
    <x:t xml:space="preserve">Кузнецов В.</x:t>
  </x:si>
  <x:si>
    <x:t xml:space="preserve">Постсекулярный век неомодерна. Ближневосточный извод</x:t>
  </x:si>
  <x:si>
    <x:t xml:space="preserve">Государство, религия, церковь в России и за рубежом</x:t>
  </x:si>
  <x:si>
    <x:t xml:space="preserve">35</x:t>
  </x:si>
  <x:si>
    <x:t xml:space="preserve">85–111</x:t>
  </x:si>
  <x:si>
    <x:t xml:space="preserve">https://journals.rudn.ru/philosophy/article/view/51220?setLocale=ru_RU#articleCitations</x:t>
  </x:si>
  <x:si>
    <x:t xml:space="preserve">10.22394/2073-7203-2017-35-3-85-111</x:t>
  </x:si>
  <x:si>
    <x:t xml:space="preserve">Islamic Reformism and Formations of the Secular: The Reception of Ibn Khaldun’s Legacy in the Historical and Political Concepts of Muhammad Rashid Rida</x:t>
  </x:si>
  <x:si>
    <x:t xml:space="preserve">ZIORAZ</x:t>
  </x:si>
  <x:si>
    <x:t xml:space="preserve">https://journals.rudn.ru/philosophy/article/view/51220</x:t>
  </x:si>
  <x:si>
    <x:t xml:space="preserve">R205</x:t>
  </x:si>
  <x:si>
    <x:t xml:space="preserve">Шихалиев Ш. Мусульманское реформаторство в Дагестане (1900-1930 гг.) // Государство, религия, церковь в России и за рубежом. 2017. Т. 35. № 3. С. 134-169. doi: 10.22394/2073-7203-2017-35-3-134-169 EDN: ZIORBT</x:t>
  </x:si>
  <x:si>
    <x:t xml:space="preserve">Шихалиев Ш. Мусульманское реформаторство в Дагестане (1900-1930 гг.) // Государство, религия, церковь в России и за рубежом. — 2017. — Т. 35. — № 3. — С. 134–169.</x:t>
  </x:si>
  <x:si>
    <x:t xml:space="preserve">Шихалиев Ш.</x:t>
  </x:si>
  <x:si>
    <x:t xml:space="preserve">Мусульманское реформаторство в Дагестане (1900-1930 гг.)</x:t>
  </x:si>
  <x:si>
    <x:t xml:space="preserve">134–169</x:t>
  </x:si>
  <x:si>
    <x:t xml:space="preserve">https://journals.rudn.ru/philosophy/article/view/51222?setLocale=ru_RU#articleCitations</x:t>
  </x:si>
  <x:si>
    <x:t xml:space="preserve">10.22394/2073-7203-2017-35-3-134-169</x:t>
  </x:si>
  <x:si>
    <x:t xml:space="preserve">Debate on Reforms in Islam: R. Fahretdin vs Kh. Pahimov</x:t>
  </x:si>
  <x:si>
    <x:t xml:space="preserve">ZIORBT</x:t>
  </x:si>
  <x:si>
    <x:t xml:space="preserve">https://journals.rudn.ru/philosophy/article/view/51222</x:t>
  </x:si>
  <x:si>
    <x:t xml:space="preserve">R206</x:t>
  </x:si>
  <x:si>
    <x:t xml:space="preserve">Покровская Т.П. Эрих Фромм о природе человека // Социально-гуманитарные знания. 2015. № 2. С. 216-229. EDN: TODACB</x:t>
  </x:si>
  <x:si>
    <x:t xml:space="preserve">Покровская Т. П. Эрих Фромм о природе человека // Социально-гуманитарные знания. — 2015. — № 2. — С. 216–229.</x:t>
  </x:si>
  <x:si>
    <x:t xml:space="preserve">Покровская Т. П.</x:t>
  </x:si>
  <x:si>
    <x:t xml:space="preserve">Эрих Фромм о природе человека</x:t>
  </x:si>
  <x:si>
    <x:t xml:space="preserve">Социально-гуманитарные знания</x:t>
  </x:si>
  <x:si>
    <x:t xml:space="preserve">216–229</x:t>
  </x:si>
  <x:si>
    <x:t xml:space="preserve">https://journals.rudn.ru/philosophy/article/view/51227?setLocale=ru_RU#articleCitations</x:t>
  </x:si>
  <x:si>
    <x:t xml:space="preserve">“The Triumph of Middle Humanity”: The Philosophical Humanism of N.A. Berdyaev and E. Fromm</x:t>
  </x:si>
  <x:si>
    <x:t xml:space="preserve">TODACB</x:t>
  </x:si>
  <x:si>
    <x:t xml:space="preserve">https://journals.rudn.ru/philosophy/article/view/51227</x:t>
  </x:si>
  <x:si>
    <x:t xml:space="preserve">R207</x:t>
  </x:si>
  <x:si>
    <x:t xml:space="preserve">Золотухина-Аболина Е.В. Утопическое сознание: антропологическая универсалия и социокультурный конструкт // Вестник Российского университета дружбы народов. Серия: Философия. 2024. Т. 28. № 3. С. 858-871. doi: 10.22363/2313-2302-2024-28-3-858-871 EDN: WQDYJS</x:t>
  </x:si>
  <x:si>
    <x:t xml:space="preserve">Золотухина-Аболина Е. В. Утопическое сознание : антропологическая универсалия и социокультурный конструкт // Вестник Российского университета дружбы народов. Серия: Философия. — 2024. — Т. 28. — № 3. — С. 858–871.</x:t>
  </x:si>
  <x:si>
    <x:t xml:space="preserve">Золотухина-Аболина Е. В.</x:t>
  </x:si>
  <x:si>
    <x:t xml:space="preserve">Утопическое сознание: антропологическая универсалия и социокультурный конструкт</x:t>
  </x:si>
  <x:si>
    <x:t xml:space="preserve">Вестник Российского университета дружбы народов. Серия: Философия</x:t>
  </x:si>
  <x:si>
    <x:t xml:space="preserve">28</x:t>
  </x:si>
  <x:si>
    <x:t xml:space="preserve">858–871</x:t>
  </x:si>
  <x:si>
    <x:t xml:space="preserve">10.22363/2313-2302-2024-28-3-858-871</x:t>
  </x:si>
  <x:si>
    <x:t xml:space="preserve">WQDYJS</x:t>
  </x:si>
  <x:si>
    <x:t xml:space="preserve">R208</x:t>
  </x:si>
  <x:si>
    <x:t xml:space="preserve">Слесорюне Э. Строки любви и надежды: письма Вильмы Сеземан, Натальи Климанскене Василию Сеземана в лагерь - Тайшет Иркутской области; письма Василия Сеземана жене из лагеря // Вильнюс. 1994. № 2. С. 127-138.</x:t>
  </x:si>
  <x:si>
    <x:t xml:space="preserve">Слесорюне Э. Строки любви и надежды : письма Вильмы Сеземан, Натальи Климанскене Василию Сеземана в лагерь - Тайшет Иркутской области; письма Василия Сеземана жене из лагеря // Вильнюс. — 1994. — № 2. — С. 127–138.</x:t>
  </x:si>
  <x:si>
    <x:t xml:space="preserve">Слесорюне Э.</x:t>
  </x:si>
  <x:si>
    <x:t xml:space="preserve">Строки любви и надежды: письма Вильмы Сеземан, Натальи Климанскене Василию Сеземана в лагерь - Тайшет Иркутской области; письма Василия Сеземана жене из лагеря</x:t>
  </x:si>
  <x:si>
    <x:t xml:space="preserve">Вильнюс</x:t>
  </x:si>
  <x:si>
    <x:t xml:space="preserve">127–138</x:t>
  </x:si>
  <x:si>
    <x:t xml:space="preserve">https://journals.rudn.ru/philosophy/article/view/51231?setLocale=ru_RU#articleCitations</x:t>
  </x:si>
  <x:si>
    <x:t xml:space="preserve">Onto-epistemology as the Basis of Vasily Sesemann’s Philosophical System</x:t>
  </x:si>
  <x:si>
    <x:t xml:space="preserve">https://journals.rudn.ru/philosophy/article/view/51231</x:t>
  </x:si>
  <x:si>
    <x:t xml:space="preserve">R209</x:t>
  </x:si>
  <x:si>
    <x:t xml:space="preserve">Богданов Д.Е. Постмодерн в российском частном праве: взаимодействие правовой и судебной доктрины // Lex russica. 2021. Т. 74. № 11. С. 102-123. doi: 10.17803/1729-5920.2021.180.11.102-123 EDN: UCIOVC</x:t>
  </x:si>
  <x:si>
    <x:t xml:space="preserve">Богданов Д. Е. Постмодерн в российском частном праве : взаимодействие правовой и судебной доктрины // Lex russica. — 2021. — Т. 74. — № 11. — С. 102–123.</x:t>
  </x:si>
  <x:si>
    <x:t xml:space="preserve">Богданов Д. Е.</x:t>
  </x:si>
  <x:si>
    <x:t xml:space="preserve">Постмодерн в российском частном праве: взаимодействие правовой и судебной доктрины</x:t>
  </x:si>
  <x:si>
    <x:t xml:space="preserve">Lex russica</x:t>
  </x:si>
  <x:si>
    <x:t xml:space="preserve">74</x:t>
  </x:si>
  <x:si>
    <x:t xml:space="preserve">102–123</x:t>
  </x:si>
  <x:si>
    <x:t xml:space="preserve">https://journals.rudn.ru/philosophy/article/view/51232?setLocale=ru_RU#articleCitations</x:t>
  </x:si>
  <x:si>
    <x:t xml:space="preserve">10.17803/1729-5920.2021.180.11.102-123</x:t>
  </x:si>
  <x:si>
    <x:t xml:space="preserve">The Metaphysics of Death: Philosophical-Religious Interpretation and Ethical-Legal Dilemmas</x:t>
  </x:si>
  <x:si>
    <x:t xml:space="preserve">UCIOVC</x:t>
  </x:si>
  <x:si>
    <x:t xml:space="preserve">https://journals.rudn.ru/philosophy/article/view/51232</x:t>
  </x:si>
  <x:si>
    <x:t xml:space="preserve">Проверка оформления Михаилом: достаточно данных — Да. Исходный вариант Михаила до последующего переноса: Богданов, Д. Е. Постмодерн в российском частном праве: взаимодействие правовой и судебной доктрины // Lex russica. — 2021. — Т. 74, № 11. — С. 102–123.</x:t>
  </x:si>
  <x:si>
    <x:t xml:space="preserve">R210</x:t>
  </x:si>
  <x:si>
    <x:t xml:space="preserve">Пархоменко Р.Н. Миф как категория мировосприятия: достоинства и недостатки теории Э. Кассирера // Психолог. 2015. № 5. С. 1-30. https://doi.org/10.7256/2409-8701.2015.5.16099 EDN: UGQRNR</x:t>
  </x:si>
  <x:si>
    <x:t xml:space="preserve">Пархоменко Р. Н. Миф как категория мировосприятия : достоинства и недостатки теории Э. Кассирера // Психолог. — 2015. — № 5. — С. 1–30. — URL: https://nbpublish.com/library_read_article.php?id=16099 (дата обращения: 27.10.2026).</x:t>
  </x:si>
  <x:si>
    <x:t xml:space="preserve">Пархоменко Р. Н.</x:t>
  </x:si>
  <x:si>
    <x:t xml:space="preserve">Миф как категория мировосприятия: достоинства и недостатки теории Э. Кассирера</x:t>
  </x:si>
  <x:si>
    <x:t xml:space="preserve">Психолог</x:t>
  </x:si>
  <x:si>
    <x:t xml:space="preserve">1–30</x:t>
  </x:si>
  <x:si>
    <x:t xml:space="preserve">https://doi.org/10.7256/2409-8701.2015.5.16099</x:t>
  </x:si>
  <x:si>
    <x:t xml:space="preserve">https://journals.rudn.ru/philosophy/article/view/52786?setLocale=ru_RU#articleCitations</x:t>
  </x:si>
  <x:si>
    <x:t xml:space="preserve">10.7256/2409-8701.2015.5.16099</x:t>
  </x:si>
  <x:si>
    <x:t xml:space="preserve">Ernst Cassirer’s Symbolic Construction: The Mythological Chronotope</x:t>
  </x:si>
  <x:si>
    <x:t xml:space="preserve">UGQRNR</x:t>
  </x:si>
  <x:si>
    <x:t xml:space="preserve">https://journals.rudn.ru/philosophy/article/view/52786</x:t>
  </x:si>
  <x:si>
    <x:t xml:space="preserve">https://nbpublish.com/library_read_article.php?id=16099</x:t>
  </x:si>
  <x:si>
    <x:t xml:space="preserve">Миф как категория мировосприятия:  достоинства и недостатки теории Э. Кассирера  | Пархоменко Р.Н. Миф как категория мировосприятия:  достоинства и недостатки теории Э. Кассирера</x:t>
  </x:si>
  <x:si>
    <x:t xml:space="preserve">HTTP 200; проверка объекта 27.10.2026; https://nbpublish.com/library_read_article.php?id=16099</x:t>
  </x:si>
  <x:si>
    <x:t xml:space="preserve">Проверка оформления Михаилом: достаточно данных — Да. Открылась страница статьи; DOI на странице совпал с DOI строки. Источник: Подтверждения_28_10_2026.html. Исходный вариант Михаила до последующего переноса: Пархоменко, Р. Н. Миф как категория мировосприятия: достоинства и недостатки теории Э. Кассирера // Психолог. — 2015. — № 5. — С. 1–30. — URL: https://nbpublish.com/library_read_article.php?id=16099 (дата обращения: 27.10.2026).</x:t>
  </x:si>
  <x:si>
    <x:t xml:space="preserve">R211</x:t>
  </x:si>
  <x:si>
    <x:t xml:space="preserve">Сокулер З.А. Герман Коген и его идея логики чистого познания // Вестник Российского университета дружбы народов. Серия: Философия. 2021. Т. 25. № 3. С. 378-393. https://doi.org/10.22363/2313-2302-2021-25-3-378-393 EDN: YTBAOW</x:t>
  </x:si>
  <x:si>
    <x:t xml:space="preserve">Сокулер З. А. Герман Коген и его идея логики чистого познания // Вестник Российского университета дружбы народов. Серия: Философия. — 2021. — Т. 25. — № 3. — С. 378–393. — URL: https://journals.rudn.ru/philosophy/article/view/27507 (дата обращения: 27.10.2026).</x:t>
  </x:si>
  <x:si>
    <x:t xml:space="preserve">Сокулер З. А.</x:t>
  </x:si>
  <x:si>
    <x:t xml:space="preserve">Герман Коген и его идея логики чистого познания</x:t>
  </x:si>
  <x:si>
    <x:t xml:space="preserve">378–393</x:t>
  </x:si>
  <x:si>
    <x:t xml:space="preserve">https://doi.org/10.22363/2313-2302-2021-25-3-378-393</x:t>
  </x:si>
  <x:si>
    <x:t xml:space="preserve">https://journals.rudn.ru/philosophy/article/view/52788?setLocale=ru_RU#articleCitations</x:t>
  </x:si>
  <x:si>
    <x:t xml:space="preserve">10.22363/2313-2302-2021-25-3-378-393</x:t>
  </x:si>
  <x:si>
    <x:t xml:space="preserve">Cosmos as a Symbolic Form: Ernst Cassirer’s Philosophy of Space and the Ethics of Space Exploration</x:t>
  </x:si>
  <x:si>
    <x:t xml:space="preserve">YTBAOW</x:t>
  </x:si>
  <x:si>
    <x:t xml:space="preserve">https://journals.rudn.ru/philosophy/article/view/52788</x:t>
  </x:si>
  <x:si>
    <x:t xml:space="preserve">https://journals.rudn.ru/philosophy/article/view/27507</x:t>
  </x:si>
  <x:si>
    <x:t xml:space="preserve">Hermann Cohen and His Idea of the Logic of Pure Knowledge | Hermann Cohen and His Idea of the Logic of Pure Knowledge | Герман Коген и его идея логики чистого познания | Hermann Cohen and His Idea of the Logic of Pure Knowledge | Герман Коген и его идея логики чистого познания | Hermann Cohen and His Idea of the Logic of Pure Knowledge - Sokuler - RUDN Journal of Philosophy</x:t>
  </x:si>
  <x:si>
    <x:t xml:space="preserve">HTTP 200; проверка объекта 27.10.2026; https://journals.rudn.ru/philosophy/article/view/27507</x:t>
  </x:si>
  <x:si>
    <x:t xml:space="preserve">R212</x:t>
  </x:si>
  <x:si>
    <x:t xml:space="preserve">Елхова О.И. Метрики феноменологического виртуального опыта // Вестник Российского университета дружбы народов. Серия: Философия. 2024. Т. 28. № 4. С. 997-1013. https://doi.org/10.22363/2313-2302-2024-28-4-997-1013 EDN: JLFZMM</x:t>
  </x:si>
  <x:si>
    <x:t xml:space="preserve">Елхова О. И. Метрики феноменологического виртуального опыта // Вестник Российского университета дружбы народов. Серия: Философия. — 2024. — Т. 28. — № 4. — С. 997–1013. — URL: https://journals.rudn.ru/philosophy/article/view/42153 (дата обращения: 27.10.2026).</x:t>
  </x:si>
  <x:si>
    <x:t xml:space="preserve">Елхова О. И.</x:t>
  </x:si>
  <x:si>
    <x:t xml:space="preserve">Метрики феноменологического виртуального опыта</x:t>
  </x:si>
  <x:si>
    <x:t xml:space="preserve">997–1013</x:t>
  </x:si>
  <x:si>
    <x:t xml:space="preserve">https://doi.org/10.22363/2313-2302-2024-28-4-997-1013</x:t>
  </x:si>
  <x:si>
    <x:t xml:space="preserve">https://journals.rudn.ru/philosophy/article/view/52789?setLocale=ru_RU#articleCitations</x:t>
  </x:si>
  <x:si>
    <x:t xml:space="preserve">10.22363/2313-2302-2024-28-4-997-1013</x:t>
  </x:si>
  <x:si>
    <x:t xml:space="preserve">Artificial Intelligence in the Horizon of Symbolic Forms of E. Cassirer</x:t>
  </x:si>
  <x:si>
    <x:t xml:space="preserve">JLFZMM</x:t>
  </x:si>
  <x:si>
    <x:t xml:space="preserve">https://journals.rudn.ru/philosophy/article/view/52789</x:t>
  </x:si>
  <x:si>
    <x:t xml:space="preserve">https://journals.rudn.ru/philosophy/article/view/42153</x:t>
  </x:si>
  <x:si>
    <x:t xml:space="preserve">Metrics of Phenomenological Virtual Experience | Metrics of Phenomenological Virtual Experience | Метрики феноменологического виртуального опыта | Metrics of Phenomenological Virtual Experience | Метрики феноменологического виртуального опыта | Metrics of Phenomenological Virtual Experience - Elkhova - RUDN Journal of Philosophy</x:t>
  </x:si>
  <x:si>
    <x:t xml:space="preserve">HTTP 200; проверка объекта 27.10.2026; https://journals.rudn.ru/philosophy/article/view/42153</x:t>
  </x:si>
  <x:si>
    <x:t xml:space="preserve">R213</x:t>
  </x:si>
  <x:si>
    <x:t xml:space="preserve">Елхова О.И. Онтологически-социетальный узел безопасности как феномен цифровой среды // Вестник Российского университета дружбы народов. Серия: Философия. 2025. Т. 29. № 2. С. 317-334. https://doi.org/10.22363/2313-2302-2025-29-2-317-334 EDN: QCHSYV</x:t>
  </x:si>
  <x:si>
    <x:t xml:space="preserve">Елхова О. И. Онтологически-социетальный узел безопасности как феномен цифровой среды // Вестник Российского университета дружбы народов. Серия: Философия. — 2025. — Т. 29. — № 2. — С. 317–334. — URL: https://journals.rudn.ru/philosophy/article/view/44918 (дата обращения: 27.10.2026).</x:t>
  </x:si>
  <x:si>
    <x:t xml:space="preserve">Онтологически-социетальный узел безопасности как феномен цифровой среды</x:t>
  </x:si>
  <x:si>
    <x:t xml:space="preserve">317–334</x:t>
  </x:si>
  <x:si>
    <x:t xml:space="preserve">https://doi.org/10.22363/2313-2302-2025-29-2-317-334</x:t>
  </x:si>
  <x:si>
    <x:t xml:space="preserve">10.22363/2313-2302-2025-29-2-317-334</x:t>
  </x:si>
  <x:si>
    <x:t xml:space="preserve">QCHSYV</x:t>
  </x:si>
  <x:si>
    <x:t xml:space="preserve">https://journals.rudn.ru/philosophy/article/view/44918</x:t>
  </x:si>
  <x:si>
    <x:t xml:space="preserve">Ontological-Societal Security Node as a Phenomenon of the Digital Environment | Ontological-Societal Security Node as a Phenomenon of the Digital Environment | Онтологически-социетальный узел безопасности как феномен цифровой среды | Ontological-Societal Security Node as a Phenomenon of the Digital Environment | Онтологически-социетальный узел безопасности как феномен цифровой среды | Ontological-Societal Security Node as a Phenomenon of the Digital Environment - Elkhova - RUDN Journal of Philosophy</x:t>
  </x:si>
  <x:si>
    <x:t xml:space="preserve">HTTP 200; проверка объекта 27.10.2026; https://journals.rudn.ru/philosophy/article/view/44918</x:t>
  </x:si>
  <x:si>
    <x:t xml:space="preserve">R214</x:t>
  </x:si>
  <x:si>
    <x:t xml:space="preserve">Смирнов С.А. Антропологический поворот: его смысл и уроки // Философия и культура. 2017. Т. 3. № 2. С. 23-35. https://doi.org/10.7256/2454-0757.2017.2.22058 EDN: YGFXEH</x:t>
  </x:si>
  <x:si>
    <x:t xml:space="preserve">Смирнов С. А. Антропологический поворот : его смысл и уроки // Философия и культура. — 2017. — Т. 3. — № 2. — С. 23–35. — URL: https://nbpublish.com/library_read_article.php?id=22058 (дата обращения: 27.10.2026).</x:t>
  </x:si>
  <x:si>
    <x:t xml:space="preserve">Смирнов С. А.</x:t>
  </x:si>
  <x:si>
    <x:t xml:space="preserve">Антропологический поворот: его смысл и уроки</x:t>
  </x:si>
  <x:si>
    <x:t xml:space="preserve">Философия и культура</x:t>
  </x:si>
  <x:si>
    <x:t xml:space="preserve">23–35</x:t>
  </x:si>
  <x:si>
    <x:t xml:space="preserve">https://doi.org/10.7256/2454-0757.2017.2.22058</x:t>
  </x:si>
  <x:si>
    <x:t xml:space="preserve">https://journals.rudn.ru/philosophy/article/view/52790?setLocale=ru_RU#articleCitations</x:t>
  </x:si>
  <x:si>
    <x:t xml:space="preserve">10.7256/2454-0757.2017.2.22058</x:t>
  </x:si>
  <x:si>
    <x:t xml:space="preserve">Ernst Cassirer’s «An Essay on Man» in the Context of the Anthropological Turn: the Animal Umwelt and the Human World</x:t>
  </x:si>
  <x:si>
    <x:t xml:space="preserve">YGFXEH</x:t>
  </x:si>
  <x:si>
    <x:t xml:space="preserve">https://journals.rudn.ru/philosophy/article/view/52790</x:t>
  </x:si>
  <x:si>
    <x:t xml:space="preserve">https://nbpublish.com/library_read_article.php?id=22058</x:t>
  </x:si>
  <x:si>
    <x:t xml:space="preserve">Антропологический поворот: его смысл и уроки | Смирнов С.А. Антропологический поворот: его смысл и уроки</x:t>
  </x:si>
  <x:si>
    <x:t xml:space="preserve">HTTP 200; проверка объекта 27.10.2026; https://nbpublish.com/library_read_article.php?id=22058</x:t>
  </x:si>
  <x:si>
    <x:t xml:space="preserve">R215</x:t>
  </x:si>
  <x:si>
    <x:t xml:space="preserve">Смирнов С., Яблокова Е. Антропологические границы гуманитарной экспертизы // Философская антропология. 2019. Т. 5. № 1. С. 26-44. https://doi.org/10.21146/2414-3715-2019-5-1-26-44 EDN: WMXXRL</x:t>
  </x:si>
  <x:si>
    <x:t xml:space="preserve">Смирнов С., Яблокова Е. Антропологические границы гуманитарной экспертизы // Философская антропология. — 2019. — Т. 5. — № 1. — С. 26–44.</x:t>
  </x:si>
  <x:si>
    <x:t xml:space="preserve">Смирнов С. | Яблокова Е.</x:t>
  </x:si>
  <x:si>
    <x:t xml:space="preserve">Антропологические границы гуманитарной экспертизы</x:t>
  </x:si>
  <x:si>
    <x:t xml:space="preserve">Философская антропология</x:t>
  </x:si>
  <x:si>
    <x:t xml:space="preserve">26–44</x:t>
  </x:si>
  <x:si>
    <x:t xml:space="preserve">https://doi.org/10.21146/2414-3715-2019-5-1-26-44</x:t>
  </x:si>
  <x:si>
    <x:t xml:space="preserve">10.21146/2414-3715-2019-5-1-26-44</x:t>
  </x:si>
  <x:si>
    <x:t xml:space="preserve">WMXXRL</x:t>
  </x:si>
  <x:si>
    <x:t xml:space="preserve">R216</x:t>
  </x:si>
  <x:si>
    <x:t xml:space="preserve">Фалев Е.В. «Эпистемологически различные миры»: от Я. Икскюля до Г. Вакариу // Вестник Российского университета дружбы народов. Серия: Философия. 2024. Т. 28. № 4. С. 1032-1049. https://doi.org/10.22363/2313-2302-2024-28-4-1032-1049 EDN: JTNOBM</x:t>
  </x:si>
  <x:si>
    <x:t xml:space="preserve">Фалев Е. В. «Эпистемологически различные миры» : от Я. Икскюля до Г. Вакариу // Вестник Российского университета дружбы народов. Серия: Философия. — 2024. — Т. 28. — № 4. — С. 1032–1049. — URL: https://journals.rudn.ru/philosophy/article/view/42155 (дата обращения: 27.10.2026).</x:t>
  </x:si>
  <x:si>
    <x:t xml:space="preserve">Фалев Е. В.</x:t>
  </x:si>
  <x:si>
    <x:t xml:space="preserve">«Эпистемологически различные миры»: от Я. Икскюля до Г. Вакариу</x:t>
  </x:si>
  <x:si>
    <x:t xml:space="preserve">1032–1049</x:t>
  </x:si>
  <x:si>
    <x:t xml:space="preserve">https://doi.org/10.22363/2313-2302-2024-28-4-1032-1049</x:t>
  </x:si>
  <x:si>
    <x:t xml:space="preserve">10.22363/2313-2302-2024-28-4-1032-1049</x:t>
  </x:si>
  <x:si>
    <x:t xml:space="preserve">JTNOBM</x:t>
  </x:si>
  <x:si>
    <x:t xml:space="preserve">https://journals.rudn.ru/philosophy/article/view/42155</x:t>
  </x:si>
  <x:si>
    <x:t xml:space="preserve">“Epystemologically Different Worlds”: from J. Uexküll to G. Vakariu | “Epystemologically Different Worlds”: from J. Uexküll to G. Vakariu | «Эпистемологически различные миры»: от Я. Икскюля до Г. Вакариу | “Epystemologically Different Worlds”: from J. Uexküll to G. Vakariu | «Эпистемологически различные миры»: от Я. Икскюля до Г. Вакариу | “Epystemologically Different Worlds”: from J. Uexküll to G. Vakariu - Falev - RUDN Journal of Philosophy</x:t>
  </x:si>
  <x:si>
    <x:t xml:space="preserve">HTTP 200; проверка объекта 27.10.2026; https://journals.rudn.ru/philosophy/article/view/42155</x:t>
  </x:si>
  <x:si>
    <x:t xml:space="preserve">Проверка оформления Михаилом: достаточно данных — Да. Открылась страница статьи (заглавие на английском); DOI на странице совпал с DOI строки. Источник: Подтверждения_28_10_2026.html. Исходный вариант Михаила до последующего переноса: Фалев, Е. В. «Эпистемологически различные миры»: от Я. Икскюля до Г. Вакариу // Вестник Российского университета дружбы народов. Серия: Философия. — 2024. — Т. 28, № 4. — С. 1032–1049. — URL: https://journals.rudn.ru/philosophy/article/view/42155 (дата обращения: 27.10.2026).</x:t>
  </x:si>
  <x:si>
    <x:t xml:space="preserve">R217</x:t>
  </x:si>
  <x:si>
    <x:t xml:space="preserve">Шелер М. Положение человека в Космосе / пер. с нем. А.Ф. Филиппова // Проблема человека в западной философии : Переводы / сост. и послесл. П.С. Гуревича; общ. ред. Ю.Н. Попова. Москва : Прогресс, 1988. С. 31-95.</x:t>
  </x:si>
  <x:si>
    <x:t xml:space="preserve">Шелер М. Положение человека в Космосе / пер. с нем. А.Ф. Филиппова // Проблема человека в западной философии : Переводы / сост. и послесл. П.С. Гуревича; общ. ред. Ю.Н. Попова. Москва : Прогресс. — 1988. — С. 31–95.</x:t>
  </x:si>
  <x:si>
    <x:t xml:space="preserve">Шелер М.</x:t>
  </x:si>
  <x:si>
    <x:t xml:space="preserve">Положение человека в Космосе / пер. с нем. А.Ф. Филиппова</x:t>
  </x:si>
  <x:si>
    <x:t xml:space="preserve">Проблема человека в западной философии : Переводы / сост. и послесл. П.С. Гуревича; общ. ред. Ю.Н. Попова. Москва : Прогресс</x:t>
  </x:si>
  <x:si>
    <x:t xml:space="preserve">31–95</x:t>
  </x:si>
  <x:si>
    <x:t xml:space="preserve">R218</x:t>
  </x:si>
  <x:si>
    <x:t xml:space="preserve">Вейнмейстер А.В. Эрнст Кассирер - неокантианец? // Исторические, философские, политические и юридические науки, культурология и искусствоведение. Вопросы теории и практики. 2013. № 4-3 (30). С. 32-35. EDN: PWRBGD</x:t>
  </x:si>
  <x:si>
    <x:t xml:space="preserve">Вейнмейстер А. В. Эрнст Кассирер - неокантианец? // Исторические, философские, политические и юридические науки, культурология и искусствоведение. Вопросы теории и практики. — 2013. — № 4-3 (30). — С. 32–35.</x:t>
  </x:si>
  <x:si>
    <x:t xml:space="preserve">Вейнмейстер А. В.</x:t>
  </x:si>
  <x:si>
    <x:t xml:space="preserve">Эрнст Кассирер - неокантианец?</x:t>
  </x:si>
  <x:si>
    <x:t xml:space="preserve">Исторические, философские, политические и юридические науки, культурология и искусствоведение. Вопросы теории и практики</x:t>
  </x:si>
  <x:si>
    <x:t xml:space="preserve">4-3 (30)</x:t>
  </x:si>
  <x:si>
    <x:t xml:space="preserve">32–35</x:t>
  </x:si>
  <x:si>
    <x:t xml:space="preserve">https://journals.rudn.ru/philosophy/article/view/52793?setLocale=ru_RU#articleCitations</x:t>
  </x:si>
  <x:si>
    <x:t xml:space="preserve">Philosophy of Ernst Cassirer within the Framework of Intellectual Culture Development</x:t>
  </x:si>
  <x:si>
    <x:t xml:space="preserve">PWRBGD</x:t>
  </x:si>
  <x:si>
    <x:t xml:space="preserve">https://journals.rudn.ru/philosophy/article/view/52793</x:t>
  </x:si>
  <x:si>
    <x:t xml:space="preserve">R219</x:t>
  </x:si>
  <x:si>
    <x:t xml:space="preserve">Мних Р. Рецепция Кассирера в России в свете некоторых особенностей русской философии // Revue des études slaves. 2003. Vol. 74. N 2-3. P. 563-575. https://doi.org/10.3406/slave.2002.6823</x:t>
  </x:si>
  <x:si>
    <x:t xml:space="preserve">Мних Р. Рецепция Кассирера в России в свете некоторых особенностей русской философии // Revue des études slaves. — 2003. — Т. 74. — С. 563–575. — URL: https://www.persee.fr/doc/slave_0080-2557_2002_num_74_2_6823 (дата обращения: 27.10.2026).</x:t>
  </x:si>
  <x:si>
    <x:t xml:space="preserve">Мних Р.</x:t>
  </x:si>
  <x:si>
    <x:t xml:space="preserve">Рецепция Кассирера в России в свете некоторых особенностей русской философии</x:t>
  </x:si>
  <x:si>
    <x:t xml:space="preserve">Revue des études slaves</x:t>
  </x:si>
  <x:si>
    <x:t xml:space="preserve">563–575</x:t>
  </x:si>
  <x:si>
    <x:t xml:space="preserve">https://doi.org/10.3406/slave.2002.6823</x:t>
  </x:si>
  <x:si>
    <x:t xml:space="preserve">https://journals.rudn.ru/philosophy/article/view/52794?setLocale=ru_RU#articleCitations</x:t>
  </x:si>
  <x:si>
    <x:t xml:space="preserve">10.3406/slave.2002.6823</x:t>
  </x:si>
  <x:si>
    <x:t xml:space="preserve">A Bakhtinian Perspective: Polyphonic Character of Ernst Cassirer’s Philosophical Writing</x:t>
  </x:si>
  <x:si>
    <x:t xml:space="preserve">https://journals.rudn.ru/philosophy/article/view/52794</x:t>
  </x:si>
  <x:si>
    <x:t xml:space="preserve">https://www.persee.fr/doc/slave_0080-2557_2002_num_74_2_6823</x:t>
  </x:si>
  <x:si>
    <x:t xml:space="preserve">Рецепция кассирера в россии в свете некоторых особенностей русской философии | Рецепция кассирера в россии в свете некоторых особенностей русской философии - Persée</x:t>
  </x:si>
  <x:si>
    <x:t xml:space="preserve">HTTP 200; проверка объекта 27.10.2026; https://www.persee.fr/doc/slave_0080-2557_2002_num_74_2_6823</x:t>
  </x:si>
  <x:si>
    <x:t xml:space="preserve">R220</x:t>
  </x:si>
  <x:si>
    <x:t xml:space="preserve">Тетюев Л.И. Э. Кассирер и критическая этика Канта: вопрос об интерпретациях // Вестник Российского университета дружбы народов. Серия: Философия. 2018. Т. 22. № 1. С. 65–75. https://doi.org/10.22363/2313-2302-2018-22-1-65-75 EDN: YTYAPZ</x:t>
  </x:si>
  <x:si>
    <x:t xml:space="preserve">Тетюев Л. И. Э. Кассирер и критическая этика Канта : вопрос об интерпретациях // Вестник Российского университета дружбы народов. Серия: Философия. — 2018. — Т. 22. — № 1. — С. 65–75. — URL: https://journals.rudn.ru/philosophy/article/view/18142 (дата обращения: 27.10.2026).</x:t>
  </x:si>
  <x:si>
    <x:t xml:space="preserve">Тетюев Л. И.</x:t>
  </x:si>
  <x:si>
    <x:t xml:space="preserve">Э. Кассирер и критическая этика Канта: вопрос об интерпретациях</x:t>
  </x:si>
  <x:si>
    <x:t xml:space="preserve">65–75</x:t>
  </x:si>
  <x:si>
    <x:t xml:space="preserve">https://doi.org/10.22363/2313-2302-2018-22-1-65-75</x:t>
  </x:si>
  <x:si>
    <x:t xml:space="preserve">https://journals.rudn.ru/philosophy/article/view/52795?setLocale=ru_RU#articleCitations</x:t>
  </x:si>
  <x:si>
    <x:t xml:space="preserve">10.22363/2313-2302-2018-22-1-65-75</x:t>
  </x:si>
  <x:si>
    <x:t xml:space="preserve">Intonation as a Problem of Subjectivity in Symbolic Forms of Language: A Cassirerian Perspective</x:t>
  </x:si>
  <x:si>
    <x:t xml:space="preserve">YTYAPZ</x:t>
  </x:si>
  <x:si>
    <x:t xml:space="preserve">https://journals.rudn.ru/philosophy/article/view/52795</x:t>
  </x:si>
  <x:si>
    <x:t xml:space="preserve">https://journals.rudn.ru/philosophy/article/view/18142</x:t>
  </x:si>
  <x:si>
    <x:t xml:space="preserve">Cassirer and Critical Ethics Kant: the Question about the Interpretation | Cassirer and Critical Ethics Kant: the Question about the Interpretation | Э. Кассирер и критическая этика Канта: вопрос об интерпретациях | Cassirer and Critical Ethics Kant: the Question about the Interpretation | Э. Кассирер и критическая этика Канта: вопрос об интерпретациях | Cassirer and Critical Ethics Kant: the Question about the Interpretation - Tetyuev - RUDN Journal of Philosophy</x:t>
  </x:si>
  <x:si>
    <x:t xml:space="preserve">HTTP 200; проверка объекта 27.10.2026; https://journals.rudn.ru/philosophy/article/view/18142</x:t>
  </x:si>
  <x:si>
    <x:t xml:space="preserve">R221</x:t>
  </x:si>
  <x:si>
    <x:t xml:space="preserve">Шохин В.К. Самоочевидно ли «откровение»? Размышления над типологией Эйвери Даллеса // Философия религии: аналитические исследования. 2018. Т. 2. № 2. С. 5-24. https://doi.org/10.21146/2587-683X-2018-2-2-5-24 EDN: YWXSPB</x:t>
  </x:si>
  <x:si>
    <x:t xml:space="preserve">Шохин В. К. Самоочевидно ли «откровение»? Размышления над типологией Эйвери Даллеса // Философия религии: аналитические исследования. — 2018. — Т. 2. — № 2. — С. 5–24. — URL: https://frai.iphras.ru/index.php/frai/article/view/2078 (дата обращения: 27.10.2026).</x:t>
  </x:si>
  <x:si>
    <x:t xml:space="preserve">Шохин В. К.</x:t>
  </x:si>
  <x:si>
    <x:t xml:space="preserve">Самоочевидно ли «откровение»? Размышления над типологией Эйвери Даллеса</x:t>
  </x:si>
  <x:si>
    <x:t xml:space="preserve">Философия религии: аналитические исследования</x:t>
  </x:si>
  <x:si>
    <x:t xml:space="preserve">https://doi.org/10.21146/2587-683X-2018-2-2-5-24</x:t>
  </x:si>
  <x:si>
    <x:t xml:space="preserve">https://journals.rudn.ru/philosophy/article/view/52797?setLocale=ru_RU#articleCitations</x:t>
  </x:si>
  <x:si>
    <x:t xml:space="preserve">10.21146/2587-683X-2018-2-2-5-24</x:t>
  </x:si>
  <x:si>
    <x:t xml:space="preserve">Divine Revelation in the Contemporary Doctrine of the Roman Catholic Church and the Discourse of Dialogue of Religions</x:t>
  </x:si>
  <x:si>
    <x:t xml:space="preserve">YWXSPB</x:t>
  </x:si>
  <x:si>
    <x:t xml:space="preserve">https://journals.rudn.ru/philosophy/article/view/52797</x:t>
  </x:si>
  <x:si>
    <x:t xml:space="preserve">https://frai.iphras.ru/index.php/frai/article/view/2078</x:t>
  </x:si>
  <x:si>
    <x:t xml:space="preserve">Самоочевидно ли «откровение»? Размышляя над типологией Эйвери Даллеса | Самоочевидно ли «откровение»? Размышляя над типологией Эйвери Даллеса | 
		Самоочевидно ли «откровение»? Размышляя над типологией Эйвери Даллеса
							| Философия религии: аналитические исследования</x:t>
  </x:si>
  <x:si>
    <x:t xml:space="preserve">HTTP 200; проверка объекта 27.10.2026; https://frai.iphras.ru/index.php/frai/article/view/2078</x:t>
  </x:si>
  <x:si>
    <x:t xml:space="preserve">R222</x:t>
  </x:si>
  <x:si>
    <x:t xml:space="preserve">Линевская Д.О. Н. Бердяев, Н. Лосский и С. Франк о природе ценностей // Известия РГПУ им. А.И. Герцена. 2008. № 70-1. С. 218-222. EDN: KUVQVV</x:t>
  </x:si>
  <x:si>
    <x:t xml:space="preserve">Линевская Д. О. Н. Бердяев, Н. Лосский и С. Франк о природе ценностей // Известия РГПУ им. А.И. Герцена. — 2008. — № 70-1. — С. 218–222.</x:t>
  </x:si>
  <x:si>
    <x:t xml:space="preserve">Линевская Д. О.</x:t>
  </x:si>
  <x:si>
    <x:t xml:space="preserve">Н. Бердяев, Н. Лосский и С. Франк о природе ценностей</x:t>
  </x:si>
  <x:si>
    <x:t xml:space="preserve">Известия РГПУ им. А.И. Герцена</x:t>
  </x:si>
  <x:si>
    <x:t xml:space="preserve">70-1</x:t>
  </x:si>
  <x:si>
    <x:t xml:space="preserve">218–222</x:t>
  </x:si>
  <x:si>
    <x:t xml:space="preserve">https://journals.rudn.ru/philosophy/article/view/52798?setLocale=ru_RU#articleCitations</x:t>
  </x:si>
  <x:si>
    <x:t xml:space="preserve">The Axiological Potential of Russian Philosophy: Problematic Fields and Modern Projections</x:t>
  </x:si>
  <x:si>
    <x:t xml:space="preserve">KUVQVV</x:t>
  </x:si>
  <x:si>
    <x:t xml:space="preserve">https://journals.rudn.ru/philosophy/article/view/52798</x:t>
  </x:si>
  <x:si>
    <x:t xml:space="preserve">Проверка оформления Михаилом: достаточно данных — Да. Исходный вариант Михаила до последующего переноса: Линевская, Д. О. Н. Бердяев, Н. Лосский и С. Франк о природе ценностей // Известия РГПУ им. А.И. Герцена. — 2008. — № 70-1. — С. 218–222.</x:t>
  </x:si>
  <x:si>
    <x:t xml:space="preserve">R223</x:t>
  </x:si>
  <x:si>
    <x:t xml:space="preserve">Котлярова В.В. Аксиологическая проблематика в русской философии конца XIX - начала XX вв. // Альманах современной науки и образования. Грамота. 2010. № 4. С. 26-29. EDN: OPNIEP</x:t>
  </x:si>
  <x:si>
    <x:t xml:space="preserve">Котлярова В. В. Аксиологическая проблематика в русской философии конца XIX - начала XX вв // Альманах современной науки и образования. Грамота. — 2010. — № 4. — С. 26–29.</x:t>
  </x:si>
  <x:si>
    <x:t xml:space="preserve">Котлярова В. В.</x:t>
  </x:si>
  <x:si>
    <x:t xml:space="preserve">Аксиологическая проблематика в русской философии конца XIX - начала XX вв</x:t>
  </x:si>
  <x:si>
    <x:t xml:space="preserve">Альманах современной науки и образования. Грамота</x:t>
  </x:si>
  <x:si>
    <x:t xml:space="preserve">26–29</x:t>
  </x:si>
  <x:si>
    <x:t xml:space="preserve">OPNIEP</x:t>
  </x:si>
  <x:si>
    <x:t xml:space="preserve">R224</x:t>
  </x:si>
  <x:si>
    <x:t xml:space="preserve">Владимиров П.А., Лебедева А.В. Нравственные основания теории обучения и воспитания в русском неокантианстве // Высшее образование в России. 2022. № 31 (3). С. 96-107. https://doi.org/10.31992/0869-3617-2022-31-3-96-107 EDN: VLSUTL</x:t>
  </x:si>
  <x:si>
    <x:t xml:space="preserve">Владимиров П. А., Лебедева А. В. Нравственные основания теории обучения и воспитания в русском неокантианстве // Высшее образование в России. — 2022. — № 31 (3). — С. 96–107. — URL: https://vovr.elpub.ru/jour/article/view/3369 (дата обращения: 27.10.2026).</x:t>
  </x:si>
  <x:si>
    <x:t xml:space="preserve">Владимиров П. А. | Лебедева А. В.</x:t>
  </x:si>
  <x:si>
    <x:t xml:space="preserve">Нравственные основания теории обучения и воспитания в русском неокантианстве</x:t>
  </x:si>
  <x:si>
    <x:t xml:space="preserve">31 (3)</x:t>
  </x:si>
  <x:si>
    <x:t xml:space="preserve">96–107</x:t>
  </x:si>
  <x:si>
    <x:t xml:space="preserve">https://doi.org/10.31992/0869-3617-2022-31-3-96-107</x:t>
  </x:si>
  <x:si>
    <x:t xml:space="preserve">10.31992/0869-3617-2022-31-3-96-107</x:t>
  </x:si>
  <x:si>
    <x:t xml:space="preserve">VLSUTL</x:t>
  </x:si>
  <x:si>
    <x:t xml:space="preserve">https://vovr.elpub.ru/jour/article/view/3369</x:t>
  </x:si>
  <x:si>
    <x:t xml:space="preserve">Нравственные основания теории обучения и воспитания в русском неокантианстве | Владимиров | Высшее образование в России  (Vysshee obrazovanie v Rossii = Higher Education in Russia) | Нравственные основания теории обучения и воспитания в русском неокантианстве | Moral Foundations of the Theory of Education in Russian Neo-Kantianism | Нравственные основания теории обучения и воспитания в русском неокантианстве | Нравственные основания теории обучения и воспитания в русском неокантианстве | Владимиров | Высшее образование в России  (Vysshee obrazovanie v Rossii = Higher Education in Russia)</x:t>
  </x:si>
  <x:si>
    <x:t xml:space="preserve">HTTP 200; проверка объекта 27.10.2026; https://vovr.elpub.ru/jour/article/view/3369</x:t>
  </x:si>
  <x:si>
    <x:t xml:space="preserve">R225</x:t>
  </x:si>
  <x:si>
    <x:t xml:space="preserve">Чистякова О.В. Философские смыслы человека в греко-византийской патристике // Вопросы философии. 2021. № 8. С. 142-152. https://doi.org/10.21146/0042-8744-2021-8-142-152 EDN: WTIJOW</x:t>
  </x:si>
  <x:si>
    <x:t xml:space="preserve">Чистякова О. В. Философские смыслы человека в греко-византийской патристике // Вопросы философии. — 2021. — № 8. — С. 142–152. — URL: https://pq.iphras.ru/article/view/6554 (дата обращения: 27.10.2026).</x:t>
  </x:si>
  <x:si>
    <x:t xml:space="preserve">Чистякова О. В.</x:t>
  </x:si>
  <x:si>
    <x:t xml:space="preserve">Философские смыслы человека в греко-византийской патристике</x:t>
  </x:si>
  <x:si>
    <x:t xml:space="preserve">Вопросы философии</x:t>
  </x:si>
  <x:si>
    <x:t xml:space="preserve">142–152</x:t>
  </x:si>
  <x:si>
    <x:t xml:space="preserve">https://doi.org/10.21146/0042-8744-2021-8-142-152</x:t>
  </x:si>
  <x:si>
    <x:t xml:space="preserve">https://journals.rudn.ru/philosophy/article/view/52799?setLocale=ru_RU#articleCitations</x:t>
  </x:si>
  <x:si>
    <x:t xml:space="preserve">10.21146/0042-8744-2021-8-142-152</x:t>
  </x:si>
  <x:si>
    <x:t xml:space="preserve">The Anthropology of the Byzantine Patristic Heritage as a Foundation for Succession of Eastern Christianity and Contemporary Orthodoxy</x:t>
  </x:si>
  <x:si>
    <x:t xml:space="preserve">WTIJOW</x:t>
  </x:si>
  <x:si>
    <x:t xml:space="preserve">https://journals.rudn.ru/philosophy/article/view/52799</x:t>
  </x:si>
  <x:si>
    <x:t xml:space="preserve">https://pq.iphras.ru/article/view/6554</x:t>
  </x:si>
  <x:si>
    <x:t xml:space="preserve">Философские смыслы человека в греко-византийской патристике | Философские смыслы человека в греко-византийской патристике | 
		Философские смыслы человека в греко-византийской патристике
							| Вопросы философии</x:t>
  </x:si>
  <x:si>
    <x:t xml:space="preserve">HTTP 200; проверка объекта 27.10.2026; https://pq.iphras.ru/article/view/6554</x:t>
  </x:si>
  <x:si>
    <x:t xml:space="preserve">R226</x:t>
  </x:si>
  <x:si>
    <x:t xml:space="preserve">Чистяков Д.И. Неоплатонизм и византийская патристика: взаимосвязь концепции Плотина о триаде и христианского вероучения о Святой Троице // Вестник Российского университета дружбы народов. Серия: Философия. 2022. Т. 26. № 4. С. 805-820. https://doi.org/10.22363/2313-2302-2022-26-4-805-820 EDN: DIFXOJ</x:t>
  </x:si>
  <x:si>
    <x:t xml:space="preserve">Чистяков Д. И. Неоплатонизм и византийская патристика : взаимосвязь концепции Плотина о триаде и христианского вероучения о Святой Троице // Вестник Российского университета дружбы народов. Серия: Философия. — 2022. — Т. 26. — № 4. — С. 805–820. — URL: https://journals.rudn.ru/philosophy/article/view/33099 (дата обращения: 27.10.2026).</x:t>
  </x:si>
  <x:si>
    <x:t xml:space="preserve">Чистяков Д. И.</x:t>
  </x:si>
  <x:si>
    <x:t xml:space="preserve">Неоплатонизм и византийская патристика: взаимосвязь концепции Плотина о триаде и христианского вероучения о Святой Троице</x:t>
  </x:si>
  <x:si>
    <x:t xml:space="preserve">805–820</x:t>
  </x:si>
  <x:si>
    <x:t xml:space="preserve">https://doi.org/10.22363/2313-2302-2022-26-4-805-820</x:t>
  </x:si>
  <x:si>
    <x:t xml:space="preserve">10.22363/2313-2302-2022-26-4-805-820</x:t>
  </x:si>
  <x:si>
    <x:t xml:space="preserve">DIFXOJ</x:t>
  </x:si>
  <x:si>
    <x:t xml:space="preserve">https://journals.rudn.ru/philosophy/article/view/33099</x:t>
  </x:si>
  <x:si>
    <x:t xml:space="preserve">Neoplatonism and Byzantine Patristics: The Relationship of Plotinus’ Concept of the Triad and the Christian Doctrine of the Holy Trinity | Neoplatonism and Byzantine Patristics: The Relationship of Plotinus’ Concept of the Triad and the Christian Doctrine of the Holy Trinity | Неоплатонизм и византийская патристика: взаимосвязь концепции Плотина о триаде и христианского вероучения о Святой Троице | Neoplatonism and Byzantine Patristics: The Relationship of Plotinus’ Concept of the Triad and the Christian Doctrine of the Holy Trinity | Неоплатонизм и византийская патристика: взаимосвязь концепции Плотина о триаде и христианского вероучения о Святой Троице | Neoplatonism and Byzantine Patristi</x:t>
  </x:si>
  <x:si>
    <x:t xml:space="preserve">HTTP 200; проверка объекта 27.10.2026; https://journals.rudn.ru/philosophy/article/view/33099</x:t>
  </x:si>
  <x:si>
    <x:t xml:space="preserve">R227</x:t>
  </x:si>
  <x:si>
    <x:t xml:space="preserve">Титлин Л.И. «Слушания в Камбре» Джордано Бруно: предисловие к переводу фрагмента. Приложение: Бруно Дж. «Слушания в Камбре, или аргументы против перипатетиков, выдвинутые в форме положений о физике в Париже» (фрагмент) / пер. с лат., прим. и комм. Л.И. Титлина // Гуманитарные исследования в Восточной Сибири и на Дальнем Востоке. 2025. № 4. C. 106-123. https://doi.org/10.24866/1997-2857/2025-4/106-123 EDN: YAFFFO</x:t>
  </x:si>
  <x:si>
    <x:t xml:space="preserve">Титлин Л. И. «Слушания в Камбре» Джордано Бруно : предисловие к переводу фрагмента. Приложение : Бруно Дж. «Слушания в Камбре, или аргументы против перипатетиков, выдвинутые в форме положений о физике в Париже» (фрагмент) / пер. с лат., прим. и комм. Л.И. Титлина // Гуманитарные исследования в Восточной Сибири и на Дальнем Востоке. — 2025. — № 4. — С. 106–123. — URL: https://journals.dvfu.ru/gisdv/article/view/2122 (дата обращения: 27.10.2026).</x:t>
  </x:si>
  <x:si>
    <x:t xml:space="preserve">Титлин Л. И.</x:t>
  </x:si>
  <x:si>
    <x:t xml:space="preserve">«Слушания в Камбре» Джордано Бруно: предисловие к переводу фрагмента. Приложение: Бруно Дж. «Слушания в Камбре, или аргументы против перипатетиков, выдвинутые в форме положений о физике в Париже» (фрагмент) / пер. с лат., прим. и комм. Л.И. Титлина</x:t>
  </x:si>
  <x:si>
    <x:t xml:space="preserve">Гуманитарные исследования в Восточной Сибири и на Дальнем Востоке</x:t>
  </x:si>
  <x:si>
    <x:t xml:space="preserve">106–123</x:t>
  </x:si>
  <x:si>
    <x:t xml:space="preserve">https://doi.org/10.24866/1997-2857/2025-4/106-123</x:t>
  </x:si>
  <x:si>
    <x:t xml:space="preserve">https://journals.rudn.ru/philosophy/article/view/52801?setLocale=ru_RU#articleCitations</x:t>
  </x:si>
  <x:si>
    <x:t xml:space="preserve">10.24866/1997-2857/2025-4/106-123</x:t>
  </x:si>
  <x:si>
    <x:t xml:space="preserve">Nature and the Ontological Classifications in the Latin Treatises of Giordano Bruno</x:t>
  </x:si>
  <x:si>
    <x:t xml:space="preserve">YAFFFO</x:t>
  </x:si>
  <x:si>
    <x:t xml:space="preserve">https://journals.rudn.ru/philosophy/article/view/52801</x:t>
  </x:si>
  <x:si>
    <x:t xml:space="preserve">https://journals.dvfu.ru/gisdv/article/view/2122</x:t>
  </x:si>
  <x:si>
    <x:t xml:space="preserve">«СЛУШАНИЯ В КАМБРЕ» ДЖОРДАНО БРУНО: ПРЕДИСЛОВИЕ К ПЕРЕВОДУ | «СЛУШАНИЯ В КАМБРЕ» ДЖОРДАНО БРУНО: ПРЕДИСЛОВИЕ К ПЕРЕВОДУ | 
		«СЛУШАНИЯ В КАМБРЕ» ДЖОРДАНО БРУНО: ПРЕДИСЛОВИЕ К ПЕРЕВОДУ
							| Гуманитарные исследования в Восточной Сибири и на Дальнем Востоке</x:t>
  </x:si>
  <x:si>
    <x:t xml:space="preserve">HTTP 200; проверка объекта 27.10.2026; https://journals.dvfu.ru/gisdv/article/view/2122</x:t>
  </x:si>
  <x:si>
    <x:t xml:space="preserve">R228</x:t>
  </x:si>
  <x:si>
    <x:t xml:space="preserve">Титлин Л.И. «Изображение лекций о физике Аристотеля» Джордано Бруно: мнемотехнические списки и полемика Аристотеля с Парменидом и Мелиссом исходя из 6 «пунктов» (partes). Приложение: Бруно Дж. Изображение лекций о физике Аристотеля, изложенное в пятнадцати образах с целью ее усвоения и удержания в памяти (фрагмент) / пер. с лат., прим. и комм. Л.И. Титлина // Logos et Praxis. 2025. № 3. С. 95-118. https://doi.org/10.15688/lp.jvolsu.2025.3.11 EDN: OSVWXV</x:t>
  </x:si>
  <x:si>
    <x:t xml:space="preserve">Титлин Л. И. «Изображение лекций о физике Аристотеля» Джордано Бруно : мнемотехнические списки и полемика Аристотеля с Парменидом и Мелиссом исходя из 6 «пунктов» (partes). Приложение : Бруно Дж. Изображение лекций о физике Аристотеля, изложенное в пятнадцати образах с целью ее усвоения и удержания в памяти (фрагмент) / пер. с лат., прим. и комм. Л.И. Титлина // Logos et Praxis. — 2025. — № 3. — С. 95–118.</x:t>
  </x:si>
  <x:si>
    <x:t xml:space="preserve">«Изображение лекций о физике Аристотеля» Джордано Бруно: мнемотехнические списки и полемика Аристотеля с Парменидом и Мелиссом исходя из 6 «пунктов» (partes). Приложение: Бруно Дж. Изображение лекций о физике Аристотеля, изложенное в пятнадцати образах с целью ее усвоения и удержания в памяти (фрагмент) / пер. с лат., прим. и комм. Л.И. Титлина</x:t>
  </x:si>
  <x:si>
    <x:t xml:space="preserve">Logos et Praxis</x:t>
  </x:si>
  <x:si>
    <x:t xml:space="preserve">95–118</x:t>
  </x:si>
  <x:si>
    <x:t xml:space="preserve">https://doi.org/10.15688/lp.jvolsu.2025.3.11</x:t>
  </x:si>
  <x:si>
    <x:t xml:space="preserve">10.15688/lp.jvolsu.2025.3.11</x:t>
  </x:si>
  <x:si>
    <x:t xml:space="preserve">OSVWXV</x:t>
  </x:si>
  <x:si>
    <x:t xml:space="preserve">R229</x:t>
  </x:si>
  <x:si>
    <x:t xml:space="preserve">Семенов В.Е. Размышления Платона о «мере Блага» и степенях реальности // Платоновские исследования. 2026. Т. 24. № 1. С. 66-93. https://doi.org/10.25985/PI.24.1.03 EDN: ZDCWJC</x:t>
  </x:si>
  <x:si>
    <x:t xml:space="preserve">Семенов В. Е. Размышления Платона о «мере Блага» и степенях реальности // Платоновские исследования. — 2026. — Т. 24. — № 1. — С. 66–93. — URL: https://pinvestigations.ru/stable/1149E6A7-25E0-4DE2-BBB3-3261BE006E6E (дата обращения: 27.10.2026).</x:t>
  </x:si>
  <x:si>
    <x:t xml:space="preserve">Семенов В. Е.</x:t>
  </x:si>
  <x:si>
    <x:t xml:space="preserve">Размышления Платона о «мере Блага» и степенях реальности</x:t>
  </x:si>
  <x:si>
    <x:t xml:space="preserve">Платоновские исследования</x:t>
  </x:si>
  <x:si>
    <x:t xml:space="preserve">66–93</x:t>
  </x:si>
  <x:si>
    <x:t xml:space="preserve">https://doi.org/10.25985/PI.24.1.03</x:t>
  </x:si>
  <x:si>
    <x:t xml:space="preserve">https://journals.rudn.ru/philosophy/article/view/52802?setLocale=ru_RU#articleCitations</x:t>
  </x:si>
  <x:si>
    <x:t xml:space="preserve">10.25985/PI.24.1.03</x:t>
  </x:si>
  <x:si>
    <x:t xml:space="preserve">Doctrine of Reality and Actuality in Hermann Cohen’s Logic of Pure Knowledge</x:t>
  </x:si>
  <x:si>
    <x:t xml:space="preserve">ZDCWJC</x:t>
  </x:si>
  <x:si>
    <x:t xml:space="preserve">https://journals.rudn.ru/philosophy/article/view/52802</x:t>
  </x:si>
  <x:si>
    <x:t xml:space="preserve">https://pinvestigations.ru/stable/1149E6A7-25E0-4DE2-BBB3-3261BE006E6E</x:t>
  </x:si>
  <x:si>
    <x:t xml:space="preserve">Валерий Семенов
Размышления Платона о «мере Блага»
и степенях реальности
V aleRiy Semyonov
Plato’s Meditations on the “MeasuRe of the Good” and the DegRees of Reality
AbstRact. Epistemology and ontology are inextricably linked in Plato’s metaphysics.</x:t>
  </x:si>
  <x:si>
    <x:t xml:space="preserve">HTTP 200; проверка объекта 27.10.2026; https://pinvestigations.ru/stable/1149E6A7-25E0-4DE2-BBB3-3261BE006E6E</x:t>
  </x:si>
  <x:si>
    <x:t xml:space="preserve">R230</x:t>
  </x:si>
  <x:si>
    <x:t xml:space="preserve">Семенов В.Е. Кант и Марбургская школа // Вестник Российского университета дружбы народов. Серия: Философия. 2023. Т. 27. № 3. С. 541-555. https://doi.org/10.22363/2313-2302-2023-27-3-541-555 EDN: CPLSIE</x:t>
  </x:si>
  <x:si>
    <x:t xml:space="preserve">Семенов В. Е. Кант и Марбургская школа // Вестник Российского университета дружбы народов. Серия: Философия. — 2023. — Т. 27. — № 3. — С. 541–555. — URL: https://journals.rudn.ru/philosophy/article/view/36046 (дата обращения: 27.10.2026).</x:t>
  </x:si>
  <x:si>
    <x:t xml:space="preserve">Кант и Марбургская школа</x:t>
  </x:si>
  <x:si>
    <x:t xml:space="preserve">541–555</x:t>
  </x:si>
  <x:si>
    <x:t xml:space="preserve">https://doi.org/10.22363/2313-2302-2023-27-3-541-555</x:t>
  </x:si>
  <x:si>
    <x:t xml:space="preserve">10.22363/2313-2302-2023-27-3-541-555</x:t>
  </x:si>
  <x:si>
    <x:t xml:space="preserve">CPLSIE</x:t>
  </x:si>
  <x:si>
    <x:t xml:space="preserve">https://journals.rudn.ru/philosophy/article/view/36046</x:t>
  </x:si>
  <x:si>
    <x:t xml:space="preserve">Kant and Marburg School | Kant and Marburg School | Кант и Марбургская школа | Kant and Marburg School | Кант и Марбургская школа | Kant and Marburg School - Semyonov - RUDN Journal of Philosophy</x:t>
  </x:si>
  <x:si>
    <x:t xml:space="preserve">HTTP 200; проверка объекта 27.10.2026; https://journals.rudn.ru/philosophy/article/view/36046</x:t>
  </x:si>
  <x:si>
    <x:t xml:space="preserve">R231</x:t>
  </x:si>
  <x:si>
    <x:t xml:space="preserve">Скородумова Л.Г. Евразийство в современной культуре Монголии // «Я рад, что стал монголоведом». К 85-летию С.К. Рощина. Москва : 2015. С. 166-176.</x:t>
  </x:si>
  <x:si>
    <x:t xml:space="preserve">Скородумова Л. Г. Евразийство в современной культуре Монголии // «Я рад, что стал монголоведом». К 85-летию С.К. Рощина. Москва :. — 2015. — С. 166–176.</x:t>
  </x:si>
  <x:si>
    <x:t xml:space="preserve">Скородумова Л. Г.</x:t>
  </x:si>
  <x:si>
    <x:t xml:space="preserve">Евразийство в современной культуре Монголии</x:t>
  </x:si>
  <x:si>
    <x:t xml:space="preserve">«Я рад, что стал монголоведом». К 85-летию С.К. Рощина. Москва :</x:t>
  </x:si>
  <x:si>
    <x:t xml:space="preserve">166–176</x:t>
  </x:si>
  <x:si>
    <x:t xml:space="preserve">https://journals.rudn.ru/philosophy/article/view/52805?setLocale=ru_RU#articleCitations</x:t>
  </x:si>
  <x:si>
    <x:t xml:space="preserve">The Eurasian Idea: A Mongolian Perspective</x:t>
  </x:si>
  <x:si>
    <x:t xml:space="preserve">https://journals.rudn.ru/philosophy/article/view/52805</x:t>
  </x:si>
  <x:si>
    <x:t xml:space="preserve">R232</x:t>
  </x:si>
  <x:si>
    <x:t xml:space="preserve">Попков Ю.В., Тюгашев Е.А. Цивилизационная идентичность Монголии в контексте дихотомии «Восток - Запад» // Новые исследования Тувы. 2011. № 4. С. 93-102. EDN: PIIPAD</x:t>
  </x:si>
  <x:si>
    <x:t xml:space="preserve">Попков Ю. В., Тюгашев Е. А. Цивилизационная идентичность Монголии в контексте дихотомии «Восток - Запад» // Новые исследования Тувы. — 2011. — № 4. — С. 93–102.</x:t>
  </x:si>
  <x:si>
    <x:t xml:space="preserve">Попков Ю. В. | Тюгашев Е. А.</x:t>
  </x:si>
  <x:si>
    <x:t xml:space="preserve">Цивилизационная идентичность Монголии в контексте дихотомии «Восток - Запад»</x:t>
  </x:si>
  <x:si>
    <x:t xml:space="preserve">Новые исследования Тувы</x:t>
  </x:si>
  <x:si>
    <x:t xml:space="preserve">93–102</x:t>
  </x:si>
  <x:si>
    <x:t xml:space="preserve">PIIPAD</x:t>
  </x:si>
  <x:si>
    <x:t xml:space="preserve">R233</x:t>
  </x:si>
  <x:si>
    <x:t xml:space="preserve">Бекова С.К., Терентьев Е.А. Аспирантское образование: международный опыт и возможности его применения в России // Высшее образование в России. 2020. Т. 29. № 6. C. 51–64. https://doi.org/10.31992/0869-3617-2020-6-51-64</x:t>
  </x:si>
  <x:si>
    <x:t xml:space="preserve">Бекова С. К., Терентьев Е. А. Аспирантское образование : международный опыт и возможности его применения в России // Высшее образование в России. — 2020. — Т. 29. — № 6. — С. 51–64. — URL: https://vovr.elpub.ru/jour/article/view/2295 (дата обращения: 27.10.2026).</x:t>
  </x:si>
  <x:si>
    <x:t xml:space="preserve">Бекова С. К. | Терентьев Е. А.</x:t>
  </x:si>
  <x:si>
    <x:t xml:space="preserve">Аспирантское образование: международный опыт и возможности его применения в России</x:t>
  </x:si>
  <x:si>
    <x:t xml:space="preserve">51–64</x:t>
  </x:si>
  <x:si>
    <x:t xml:space="preserve">https://doi.org/10.31992/0869-3617-2020-6-51-64</x:t>
  </x:si>
  <x:si>
    <x:t xml:space="preserve">https://journals.rudn.ru/psychology-pedagogics/article/view/45672?setLocale=ru_RU#articleCitations</x:t>
  </x:si>
  <x:si>
    <x:t xml:space="preserve">10.31992/0869-3617-2020-6-51-64</x:t>
  </x:si>
  <x:si>
    <x:t xml:space="preserve">Diagnostic Measurement of Academic Supervision Styles: Development of New Research Scale</x:t>
  </x:si>
  <x:si>
    <x:t xml:space="preserve">https://journals.rudn.ru/psychology-pedagogics/article/view/45672</x:t>
  </x:si>
  <x:si>
    <x:t xml:space="preserve">https://vovr.elpub.ru/jour/article/view/2295</x:t>
  </x:si>
  <x:si>
    <x:t xml:space="preserve">Аспирантское образование: международный опыт и возможности его применения в России | Бекова | Высшее образование в России  (Vysshee obrazovanie v Rossii = Higher Education in Russia) | Аспирантское образование: международный опыт и возможности его применения в России | Doctoral Education: International Experience and Opportunities for Its Implementation in Russia | Аспирантское образование: международный опыт и возможности его применения в России | Аспирантское образование: международный опыт и возможности его применения в России | Бекова | Высшее образование в России  (Vysshee obrazovanie v Rossii = Higher Education in Russia)</x:t>
  </x:si>
  <x:si>
    <x:t xml:space="preserve">HTTP 200; проверка объекта 27.10.2026; https://vovr.elpub.ru/jour/article/view/2295</x:t>
  </x:si>
  <x:si>
    <x:t xml:space="preserve">R234</x:t>
  </x:si>
  <x:si>
    <x:t xml:space="preserve">Ильин Е.И. Эмоции и чувства. Санкт-Петербург : Питер, 2001. 752 с.</x:t>
  </x:si>
  <x:si>
    <x:t xml:space="preserve">Ильин Е. И. Эмоции и чувства. — Санкт-Петербург : Питер, 2001. — 752 с.</x:t>
  </x:si>
  <x:si>
    <x:t xml:space="preserve">Ильин Е. И.</x:t>
  </x:si>
  <x:si>
    <x:t xml:space="preserve">Эмоции и чувства</x:t>
  </x:si>
  <x:si>
    <x:t xml:space="preserve">752</x:t>
  </x:si>
  <x:si>
    <x:t xml:space="preserve">Питер</x:t>
  </x:si>
  <x:si>
    <x:t xml:space="preserve">https://journals.rudn.ru/psychology-pedagogics/article/view/46369?setLocale=ru_RU#articleCitations</x:t>
  </x:si>
  <x:si>
    <x:t xml:space="preserve">Drivers of Student Learning Activity Questionnaire (DSLAQ): Results of Psychometric Analysis</x:t>
  </x:si>
  <x:si>
    <x:t xml:space="preserve">https://journals.rudn.ru/psychology-pedagogics/article/view/46369</x:t>
  </x:si>
  <x:si>
    <x:t xml:space="preserve">R235</x:t>
  </x:si>
  <x:si>
    <x:t xml:space="preserve">Леонова И.И. Влияние информационных технологий на психологическое здоровье студентов // Перспективы науки. 2013. № 9 (48). С. 51-54. EDN: RTDXDT</x:t>
  </x:si>
  <x:si>
    <x:t xml:space="preserve">Леонова И. И. Влияние информационных технологий на психологическое здоровье студентов // Перспективы науки. — 2013. — № 9 (48). — С. 51–54.</x:t>
  </x:si>
  <x:si>
    <x:t xml:space="preserve">Леонова И. И.</x:t>
  </x:si>
  <x:si>
    <x:t xml:space="preserve">Влияние информационных технологий на психологическое здоровье студентов</x:t>
  </x:si>
  <x:si>
    <x:t xml:space="preserve">Перспективы науки</x:t>
  </x:si>
  <x:si>
    <x:t xml:space="preserve">9 (48)</x:t>
  </x:si>
  <x:si>
    <x:t xml:space="preserve">51–54</x:t>
  </x:si>
  <x:si>
    <x:t xml:space="preserve">RTDXDT</x:t>
  </x:si>
  <x:si>
    <x:t xml:space="preserve">R236</x:t>
  </x:si>
  <x:si>
    <x:t xml:space="preserve">Леонтьев Д.А., Рассказова Е.И. Тест жизнестойкости. Москва : Смысл, 2006. 63 с.</x:t>
  </x:si>
  <x:si>
    <x:t xml:space="preserve">Леонтьев Д. А., Рассказова Е. И. Тест жизнестойкости. — Москва : Смысл, 2006. — 63 с.</x:t>
  </x:si>
  <x:si>
    <x:t xml:space="preserve">Леонтьев Д. А. | Рассказова Е. И.</x:t>
  </x:si>
  <x:si>
    <x:t xml:space="preserve">Тест жизнестойкости</x:t>
  </x:si>
  <x:si>
    <x:t xml:space="preserve">63</x:t>
  </x:si>
  <x:si>
    <x:t xml:space="preserve">Смысл</x:t>
  </x:si>
  <x:si>
    <x:t xml:space="preserve">R237</x:t>
  </x:si>
  <x:si>
    <x:t xml:space="preserve">Шадриков В.Д. Мир внутренней жизни человека. Москва : Логос, 2006. 392 с.</x:t>
  </x:si>
  <x:si>
    <x:t xml:space="preserve">Шадриков В. Д. Мир внутренней жизни человека. — Москва : Логос, 2006. — 392 с.</x:t>
  </x:si>
  <x:si>
    <x:t xml:space="preserve">Шадриков В. Д.</x:t>
  </x:si>
  <x:si>
    <x:t xml:space="preserve">Мир внутренней жизни человека</x:t>
  </x:si>
  <x:si>
    <x:t xml:space="preserve">R238</x:t>
  </x:si>
  <x:si>
    <x:t xml:space="preserve">Авдеева Н.Н., Хоффман Б.Я. Актуальные направления исследований взаимоотношений подростков с родителями // Современная зарубежная психология. 2019. Т. 8. № 4. С. 69—78. https://doi.org/10.17759/jmfp.2019080407 EDN: IVRYLS</x:t>
  </x:si>
  <x:si>
    <x:t xml:space="preserve">Авдеева Н. Н., Хоффман Б. Я. Актуальные направления исследований взаимоотношений подростков с родителями // Современная зарубежная психология. — 2019. — Т. 8. — № 4. — С. 69–78. — URL: https://psyjournals.ru/en/journals/jmfp/archive/2019_n4/Avdeeva_Hoffman (дата обращения: 27.10.2026).</x:t>
  </x:si>
  <x:si>
    <x:t xml:space="preserve">Авдеева Н. Н. | Хоффман Б. Я.</x:t>
  </x:si>
  <x:si>
    <x:t xml:space="preserve">Актуальные направления исследований взаимоотношений подростков с родителями</x:t>
  </x:si>
  <x:si>
    <x:t xml:space="preserve">Современная зарубежная психология</x:t>
  </x:si>
  <x:si>
    <x:t xml:space="preserve">69–78</x:t>
  </x:si>
  <x:si>
    <x:t xml:space="preserve">https://doi.org/10.17759/jmfp.2019080407</x:t>
  </x:si>
  <x:si>
    <x:t xml:space="preserve">https://journals.rudn.ru/psychology-pedagogics/article/view/46371?setLocale=ru_RU#articleCitations</x:t>
  </x:si>
  <x:si>
    <x:t xml:space="preserve">10.17759/jmfp.2019080407</x:t>
  </x:si>
  <x:si>
    <x:t xml:space="preserve">Parent-Child Relationships and Children’s Addiction to Smartphones: A Review of International Studies</x:t>
  </x:si>
  <x:si>
    <x:t xml:space="preserve">IVRYLS</x:t>
  </x:si>
  <x:si>
    <x:t xml:space="preserve">https://journals.rudn.ru/psychology-pedagogics/article/view/46371</x:t>
  </x:si>
  <x:si>
    <x:t xml:space="preserve">https://psyjournals.ru/en/journals/jmfp/archive/2019_n4/Avdeeva_Hoffman</x:t>
  </x:si>
  <x:si>
    <x:t xml:space="preserve">Current research on adolescents’ relationships with parents | Current research on adolescents’ relationships with parents // Journal of Modern Foreign Psychology — 2019. Vol. 8, no. 4 | Current research on adolescents’ relationships with parents // Journal of Modern Foreign Psychology — 2019. Vol. 8, no. 4 | PsyJournals.ru</x:t>
  </x:si>
  <x:si>
    <x:t xml:space="preserve">HTTP 200; проверка объекта 27.10.2026; https://psyjournals.ru/en/journals/jmfp/archive/2019_n4/Avdeeva_Hoffman</x:t>
  </x:si>
  <x:si>
    <x:t xml:space="preserve">R239</x:t>
  </x:si>
  <x:si>
    <x:t xml:space="preserve">Ениколопов С.Н., Ковалёв А.К., Кузнецова Ю.М., Старостина Е.В., Чудова Н.В. Признаки, характерные для текстов, написанных в состоянии фрустрации // Вестник Московского университета. Серия 14. Психология. 2019. №. 3 С. 66-85. https://doi.org/10.11621/vsp.2019.03.66 EDN: XDBMYJ</x:t>
  </x:si>
  <x:si>
    <x:t xml:space="preserve">Признаки, характерные для текстов, написанных в состоянии фрустрации / С. Н. Ениколопов, А. К. Ковалёв, Ю. М. Кузнецова, Е. В. Старостина, Н. В. Чудова // Вестник Московского университета. Серия 14. Психология. — 2019. — С. 66–85. — URL: https://msupsyj.ru:443/pdf/vestnik_2019_3/vestnik_2019-3_4_Enikolopov.pdf (дата обращения: 27.10.2026).</x:t>
  </x:si>
  <x:si>
    <x:t xml:space="preserve">Ениколопов С. Н. | Ковалёв А. К. | Кузнецова Ю. М. | Старостина Е. В. | Чудова Н. В.</x:t>
  </x:si>
  <x:si>
    <x:t xml:space="preserve">Признаки, характерные для текстов, написанных в состоянии фрустрации</x:t>
  </x:si>
  <x:si>
    <x:t xml:space="preserve">Вестник Московского университета. Серия 14. Психология</x:t>
  </x:si>
  <x:si>
    <x:t xml:space="preserve">66–85</x:t>
  </x:si>
  <x:si>
    <x:t xml:space="preserve">https://doi.org/10.11621/vsp.2019.03.66</x:t>
  </x:si>
  <x:si>
    <x:t xml:space="preserve">https://journals.rudn.ru/psychology-pedagogics/article/view/46373?setLocale=ru_RU#articleCitations</x:t>
  </x:si>
  <x:si>
    <x:t xml:space="preserve">10.11621/vsp.2019.03.66</x:t>
  </x:si>
  <x:si>
    <x:t xml:space="preserve">The Problem of Identifying Text Markers of Depression and Depressiveness in Automatic Text Analysis</x:t>
  </x:si>
  <x:si>
    <x:t xml:space="preserve">XDBMYJ</x:t>
  </x:si>
  <x:si>
    <x:t xml:space="preserve">https://journals.rudn.ru/psychology-pedagogics/article/view/46373</x:t>
  </x:si>
  <x:si>
    <x:t xml:space="preserve">https://msupsyj.ru:443/pdf/vestnik_2019_3/vestnik_2019-3_4_Enikolopov.pdf</x:t>
  </x:si>
  <x:si>
    <x:t xml:space="preserve">© 2019 ФГБОУ ВО «Московский государственный университет имени М.В. Ломоносова» 
© 2019 Lomonosov Moscow State University
66
ВЕСТНИК МОСКОВСКОГО УНИВЕРСИТЕТА. СЕРИЯ 14. ПСИХОЛОГИЯ. 2019. № 2. С. 66 — 85 
MOSCOW UNIVERSITY PSYCHOLOGY BULLETIN. 2019. N</x:t>
  </x:si>
  <x:si>
    <x:t xml:space="preserve">HTTP 200; проверка объекта 27.10.2026; https://msupsyj.ru:443/pdf/vestnik_2019_3/vestnik_2019-3_4_Enikolopov.pdf</x:t>
  </x:si>
  <x:si>
    <x:t xml:space="preserve">R240</x:t>
  </x:si>
  <x:si>
    <x:t xml:space="preserve">Левин К. Динамическая психология : избранные труды. Москва : Смысл, 2001. 572 с.</x:t>
  </x:si>
  <x:si>
    <x:t xml:space="preserve">Левин К. Динамическая психология : избранные труды. — Москва : Смысл, 2001. — 572 с.</x:t>
  </x:si>
  <x:si>
    <x:t xml:space="preserve">Левин К.</x:t>
  </x:si>
  <x:si>
    <x:t xml:space="preserve">Динамическая психология : избранные труды</x:t>
  </x:si>
  <x:si>
    <x:t xml:space="preserve">572</x:t>
  </x:si>
  <x:si>
    <x:t xml:space="preserve">R241</x:t>
  </x:si>
  <x:si>
    <x:t xml:space="preserve">Лопанова Е.В., Савина Н.В. К проблеме использования нейросетей в учебной деятельности студентов // Пространство педагогических исследований. 2024. T. 1. № 1. С. 23–40. https://doi.org/10.23859/3034-1760.2024.33.52.002 EDN: XNOWWH</x:t>
  </x:si>
  <x:si>
    <x:t xml:space="preserve">Лопанова Е. В., Савина Н. В. К проблеме использования нейросетей в учебной деятельности студентов // Пространство педагогических исследований. — 2024. — № 1. — С. 23–40. — URL: https://ppi-journal.ru/publikatsii/arkhiv/prostranstvo-pedagogicheskikh-issledovaniy-t-1-1/k-probleme-ispolzovaniya-neyrosetey-v-uchebnoy-deyatelnosti-studentov/ (дата обращения: 27.10.2026).</x:t>
  </x:si>
  <x:si>
    <x:t xml:space="preserve">Лопанова Е. В. | Савина Н. В.</x:t>
  </x:si>
  <x:si>
    <x:t xml:space="preserve">К проблеме использования нейросетей в учебной деятельности студентов</x:t>
  </x:si>
  <x:si>
    <x:t xml:space="preserve">Пространство педагогических исследований</x:t>
  </x:si>
  <x:si>
    <x:t xml:space="preserve">23–40</x:t>
  </x:si>
  <x:si>
    <x:t xml:space="preserve">https://doi.org/10.23859/3034-1760.2024.33.52.002</x:t>
  </x:si>
  <x:si>
    <x:t xml:space="preserve">https://journals.rudn.ru/psychology-pedagogics/article/view/46374?setLocale=ru_RU#articleCitations</x:t>
  </x:si>
  <x:si>
    <x:t xml:space="preserve">10.23859/3034-1760.2024.33.52.002</x:t>
  </x:si>
  <x:si>
    <x:t xml:space="preserve">ChatGPT Presence in Academic Writing: Detecting AI-Generated Text in Undergraduate and Graduate Students’ Research Proposal Literature Reviews</x:t>
  </x:si>
  <x:si>
    <x:t xml:space="preserve">XNOWWH</x:t>
  </x:si>
  <x:si>
    <x:t xml:space="preserve">https://journals.rudn.ru/psychology-pedagogics/article/view/46374</x:t>
  </x:si>
  <x:si>
    <x:t xml:space="preserve">https://ppi-journal.ru/publikatsii/arkhiv/prostranstvo-pedagogicheskikh-issledovaniy-t-1-1/k-probleme-ispolzovaniya-neyrosetey-v-uchebnoy-deyatelnosti-studentov/</x:t>
  </x:si>
  <x:si>
    <x:t xml:space="preserve">К проблеме использования нейросетей в учебной деятельности студентов | К проблеме использования нейросетей в учебной деятельности студентов</x:t>
  </x:si>
  <x:si>
    <x:t xml:space="preserve">HTTP 200; проверка объекта 27.10.2026; https://ppi-journal.ru/publikatsii/arkhiv/prostranstvo-pedagogicheskikh-issledovaniy-t-1-1/k-probleme-ispolzovaniya-neyrosetey-v-uchebnoy-deyatelnosti-studentov/</x:t>
  </x:si>
  <x:si>
    <x:t xml:space="preserve">R242</x:t>
  </x:si>
  <x:si>
    <x:t xml:space="preserve">Бермус А.Г., Сериков В.В., Алтыникова Н.В. Содержание педагогического образования в современном мире: смыслы, проблемы, практики и перспективы развития // Вестник Российского университета дружбы народов. Серия: Психология и педагогика. 2021. Т. 18. № 4. С. 667–691. https://doi.org/10.22363/2313-1683-2021-18-4-667-691 EDN: GAGFDK</x:t>
  </x:si>
  <x:si>
    <x:t xml:space="preserve">Бермус А. Г., Сериков В. В., Алтыникова Н. В. Содержание педагогического образования в современном мире : смыслы, проблемы, практики и перспективы развития // Вестник Российского университета дружбы народов. Серия: Психология и педагогика. — 2021. — Т. 18. — № 4. — С. 667–691.</x:t>
  </x:si>
  <x:si>
    <x:t xml:space="preserve">Бермус А. Г. | Сериков В. В. | Алтыникова Н. В.</x:t>
  </x:si>
  <x:si>
    <x:t xml:space="preserve">Содержание педагогического образования в современном мире: смыслы, проблемы, практики и перспективы развития</x:t>
  </x:si>
  <x:si>
    <x:t xml:space="preserve">Вестник Российского университета дружбы народов. Серия: Психология и педагогика</x:t>
  </x:si>
  <x:si>
    <x:t xml:space="preserve">667–691</x:t>
  </x:si>
  <x:si>
    <x:t xml:space="preserve">https://doi.org/10.22363/2313-1683-2021-18-4-667-691</x:t>
  </x:si>
  <x:si>
    <x:t xml:space="preserve">https://journals.rudn.ru/psychology-pedagogics/article/view/46376?setLocale=ru_RU#articleCitations</x:t>
  </x:si>
  <x:si>
    <x:t xml:space="preserve">10.22363/2313-1683-2021-18-4-667-691</x:t>
  </x:si>
  <x:si>
    <x:t xml:space="preserve">Strengthening the Pedagogical Focus of Practical Tasks Based on Technopark Resources for Future Teachers</x:t>
  </x:si>
  <x:si>
    <x:t xml:space="preserve">GAGFDK</x:t>
  </x:si>
  <x:si>
    <x:t xml:space="preserve">https://journals.rudn.ru/psychology-pedagogics/article/view/46376</x:t>
  </x:si>
  <x:si>
    <x:t xml:space="preserve">&lt;urlopen error _ssl.c:993: The handshake operation timed out&gt;</x:t>
  </x:si>
  <x:si>
    <x:t xml:space="preserve">R243</x:t>
  </x:si>
  <x:si>
    <x:t xml:space="preserve">Радионова Н.Ф., Ривкина С.В. Подготовка студентов к решению современных общепрофессиональных задач педагогической деятельности : учебное пособие. Санкт-Петербург : Свое издательство, 2020. 50 с. EDN: SGDVMK</x:t>
  </x:si>
  <x:si>
    <x:t xml:space="preserve">Радионова Н. Ф., Ривкина С. В. Подготовка студентов к решению современных общепрофессиональных задач педагогической деятельности : учебное пособие. — Санкт-Петербург : Свое издательство, 2020. — 50 с.</x:t>
  </x:si>
  <x:si>
    <x:t xml:space="preserve">Радионова Н. Ф. | Ривкина С. В.</x:t>
  </x:si>
  <x:si>
    <x:t xml:space="preserve">Подготовка студентов к решению современных общепрофессиональных задач педагогической деятельности : учебное пособие</x:t>
  </x:si>
  <x:si>
    <x:t xml:space="preserve">50</x:t>
  </x:si>
  <x:si>
    <x:t xml:space="preserve">Свое издательство</x:t>
  </x:si>
  <x:si>
    <x:t xml:space="preserve">SGDVMK</x:t>
  </x:si>
  <x:si>
    <x:t xml:space="preserve">R244</x:t>
  </x:si>
  <x:si>
    <x:t xml:space="preserve">Феоктистов А.В., Кислов А.Г., Шапко И.В., Городилов В.Е. Хронотоп инженерно-педагогического мышления // Высшее образование в России. 2023. Т. 32. № 7. С. 135–156. https://doi.org/10.31992/0869-3617-2023-32-7-135-156 EDN: TAWYNU</x:t>
  </x:si>
  <x:si>
    <x:t xml:space="preserve">Хронотоп инженерно-педагогического мышления / А. В. Феоктистов, А. Г. Кислов, И. В. Шапко, В. Е. Городилов // Высшее образование в России. — 2023. — Т. 32. — № 7. — С. 135–156. — URL: https://vovr.elpub.ru/jour/article/view/4498 (дата обращения: 27.10.2026).</x:t>
  </x:si>
  <x:si>
    <x:t xml:space="preserve">Феоктистов А. В. | Кислов А. Г. | Шапко И. В. | Городилов В. Е.</x:t>
  </x:si>
  <x:si>
    <x:t xml:space="preserve">Хронотоп инженерно-педагогического мышления</x:t>
  </x:si>
  <x:si>
    <x:t xml:space="preserve">135–156</x:t>
  </x:si>
  <x:si>
    <x:t xml:space="preserve">https://doi.org/10.31992/0869-3617-2023-32-7-135-156</x:t>
  </x:si>
  <x:si>
    <x:t xml:space="preserve">10.31992/0869-3617-2023-32-7-135-156</x:t>
  </x:si>
  <x:si>
    <x:t xml:space="preserve">TAWYNU</x:t>
  </x:si>
  <x:si>
    <x:t xml:space="preserve">https://vovr.elpub.ru/jour/article/view/4498</x:t>
  </x:si>
  <x:si>
    <x:t xml:space="preserve">Хронотоп инженерно-педагогического мышления | Феоктистов | Высшее образование в России  (Vysshee obrazovanie v Rossii = Higher Education in Russia) | Хронотоп инженерно-педагогического мышления | Chronotope of Engineering and Pedagogical Thinking | Хронотоп инженерно-педагогического мышления | Хронотоп инженерно-педагогического мышления | Феоктистов | Высшее образование в России  (Vysshee obrazovanie v Rossii = Higher Education in Russia)</x:t>
  </x:si>
  <x:si>
    <x:t xml:space="preserve">HTTP 200; проверка объекта 27.10.2026; https://vovr.elpub.ru/jour/article/view/4498</x:t>
  </x:si>
  <x:si>
    <x:t xml:space="preserve">R245</x:t>
  </x:si>
  <x:si>
    <x:t xml:space="preserve">Фоминых С.О. Некоторые аспекты организации научно-исследовательской деятельности будущих учителей физики // Вестник Марийского государственного университета. 2023. Т. 17. № 2 (50). С. 228–234. https://doi.org/10.30914/2072-6783-2023-17-2-228-234 EDN: BMDSUF</x:t>
  </x:si>
  <x:si>
    <x:t xml:space="preserve">Фоминых С. О. Некоторые аспекты организации научно-исследовательской деятельности будущих учителей физики // Вестник Марийского государственного университета. — 2023. — Т. 17. — № 2 (50). — С. 228–234.</x:t>
  </x:si>
  <x:si>
    <x:t xml:space="preserve">Фоминых С. О.</x:t>
  </x:si>
  <x:si>
    <x:t xml:space="preserve">Некоторые аспекты организации научно-исследовательской деятельности будущих учителей физики</x:t>
  </x:si>
  <x:si>
    <x:t xml:space="preserve">Вестник Марийского государственного университета</x:t>
  </x:si>
  <x:si>
    <x:t xml:space="preserve">2 (50)</x:t>
  </x:si>
  <x:si>
    <x:t xml:space="preserve">228–234</x:t>
  </x:si>
  <x:si>
    <x:t xml:space="preserve">https://doi.org/10.30914/2072-6783-2023-17-2-228-234</x:t>
  </x:si>
  <x:si>
    <x:t xml:space="preserve">10.30914/2072-6783-2023-17-2-228-234</x:t>
  </x:si>
  <x:si>
    <x:t xml:space="preserve">BMDSUF</x:t>
  </x:si>
  <x:si>
    <x:t xml:space="preserve">R246</x:t>
  </x:si>
  <x:si>
    <x:t xml:space="preserve">Шостак Е.В., Донской Д.Ю. Технопарк как организационно-педагогический механизм дополнительного образования // Мир университетской науки: культура, образование. 2021. № 4. С. 46–52. https://doi.org/10.18522/2658-6983-2021-4-46-52 EDN: WJICXN</x:t>
  </x:si>
  <x:si>
    <x:t xml:space="preserve">Шостак Е. В., Донской Д. Ю. Технопарк как организационно-педагогический механизм дополнительного образования // Мир университетской науки: культура, образование. — 2021. — № 4. — С. 46–52. — URL: https://hub.sfedu.ru/repository/material/801294608/?direct_link=true (дата обращения: 27.10.2026).</x:t>
  </x:si>
  <x:si>
    <x:t xml:space="preserve">Шостак Е. В. | Донской Д. Ю.</x:t>
  </x:si>
  <x:si>
    <x:t xml:space="preserve">Технопарк как организационно-педагогический механизм дополнительного образования</x:t>
  </x:si>
  <x:si>
    <x:t xml:space="preserve">Мир университетской науки: культура, образование</x:t>
  </x:si>
  <x:si>
    <x:t xml:space="preserve">46–52</x:t>
  </x:si>
  <x:si>
    <x:t xml:space="preserve">https://doi.org/10.18522/2658-6983-2021-4-46-52</x:t>
  </x:si>
  <x:si>
    <x:t xml:space="preserve">10.18522/2658-6983-2021-4-46-52</x:t>
  </x:si>
  <x:si>
    <x:t xml:space="preserve">WJICXN</x:t>
  </x:si>
  <x:si>
    <x:t xml:space="preserve">https://hub.sfedu.ru/repository/material/801294608/?direct_link=true</x:t>
  </x:si>
  <x:si>
    <x:t xml:space="preserve">hub.sfedu.ru | #801294608</x:t>
  </x:si>
  <x:si>
    <x:t xml:space="preserve">HTTP 200; проверка объекта 27.10.2026; https://hub.sfedu.ru/repository/material/801294608/?direct_link=true</x:t>
  </x:si>
  <x:si>
    <x:t xml:space="preserve">R247</x:t>
  </x:si>
  <x:si>
    <x:t xml:space="preserve">Соколова Е.Е. Превратить психологию «в науку о живом человеке...»: О психотехни­ческом характере исследований школы А.Н. Леонтьева 1940-х гг. // Культурно-историческая психология. 2024. Т. 20. № 3. С. 109–118. https://doi.org/10.17759/chp.2024200311 EDN: KBNGWN</x:t>
  </x:si>
  <x:si>
    <x:t xml:space="preserve">Соколова Е. Е. Превратить психологию «в науку о живом человеке...» : О психотехни­ческом характере исследований школы А.Н. Леонтьева 1940-х гг // Культурно-историческая психология. — 2024. — Т. 20. — № 3. — С. 109–118. — URL: https://psyjournals.ru/en/journals/chp/archive/2024_n3/Sokolova (дата обращения: 27.10.2026).</x:t>
  </x:si>
  <x:si>
    <x:t xml:space="preserve">Соколова Е. Е.</x:t>
  </x:si>
  <x:si>
    <x:t xml:space="preserve">Превратить психологию «в науку о живом человеке...»: О психотехни­ческом характере исследований школы А.Н. Леонтьева 1940-х гг</x:t>
  </x:si>
  <x:si>
    <x:t xml:space="preserve">Культурно-историческая психология</x:t>
  </x:si>
  <x:si>
    <x:t xml:space="preserve">20</x:t>
  </x:si>
  <x:si>
    <x:t xml:space="preserve">109–118</x:t>
  </x:si>
  <x:si>
    <x:t xml:space="preserve">https://doi.org/10.17759/chp.2024200311</x:t>
  </x:si>
  <x:si>
    <x:t xml:space="preserve">https://journals.rudn.ru/psychology-pedagogics/article/view/46377?setLocale=ru_RU#articleCitations</x:t>
  </x:si>
  <x:si>
    <x:t xml:space="preserve">10.17759/chp.2024200311</x:t>
  </x:si>
  <x:si>
    <x:t xml:space="preserve">Professor Sheinov: A Self-Made Man</x:t>
  </x:si>
  <x:si>
    <x:t xml:space="preserve">KBNGWN</x:t>
  </x:si>
  <x:si>
    <x:t xml:space="preserve">https://journals.rudn.ru/psychology-pedagogics/article/view/46377</x:t>
  </x:si>
  <x:si>
    <x:t xml:space="preserve">https://psyjournals.ru/en/journals/chp/archive/2024_n3/Sokolova</x:t>
  </x:si>
  <x:si>
    <x:t xml:space="preserve">To Turn Psychology “into a Science of the Living Human Beeing...”: On the Psychotechnical Character of Research  of the A.N. Leontiev school of the 1940s. | To Turn Psychology “into a Science of the Living Human Beeing...”: On the Psychotechnical Character of Research  of the A.N. Leontiev school of the 1940s. // Cultural-Historical Psychology — 2024. Vol. 20, no. 3 | To Turn Psychology “into a Science of the Living Human Beeing...”: On the Psychotechnical Character of Research  of the A.N. Leontiev school of the 1940s. // Cultural-Historical Psychology — 2024. Vol. 20, no. 3 | PsyJournals.ru</x:t>
  </x:si>
  <x:si>
    <x:t xml:space="preserve">HTTP 200; проверка объекта 27.10.2026; https://psyjournals.ru/en/journals/chp/archive/2024_n3/Sokolova</x:t>
  </x:si>
  <x:si>
    <x:t xml:space="preserve">R248</x:t>
  </x:si>
  <x:si>
    <x:t xml:space="preserve">Фейерабенд П. Наука в свободном обществе. Москва : ACT, 2010. 378 с.</x:t>
  </x:si>
  <x:si>
    <x:t xml:space="preserve">Фейерабенд П. Наука в свободном обществе. — Москва : ACT, 2010. — 378 с.</x:t>
  </x:si>
  <x:si>
    <x:t xml:space="preserve">Фейерабенд П.</x:t>
  </x:si>
  <x:si>
    <x:t xml:space="preserve">Наука в свободном обществе</x:t>
  </x:si>
  <x:si>
    <x:t xml:space="preserve">378</x:t>
  </x:si>
  <x:si>
    <x:t xml:space="preserve">ACT</x:t>
  </x:si>
  <x:si>
    <x:t xml:space="preserve">R249</x:t>
  </x:si>
  <x:si>
    <x:t xml:space="preserve">Шейнов В.П., Девицын А.С. Зависимость от смартфона как предиктор психологического неблагополучия // Системная психология и социология. 2022. № 3 (43). С. 71–84. https://doi.org/10.25688/2223-6872.2022.43.3.07 EDN: EVSUVZ</x:t>
  </x:si>
  <x:si>
    <x:t xml:space="preserve">Шейнов В. П., Девицын А. С. Зависимость от смартфона как предиктор психологического неблагополучия // Системная психология и социология. — 2022. — № 3 (43). — С. 71–84. — URL: http://systempsychology.ru/journal/2022_43/824-sheynov-v-p-devicyn-a-s-zavisimost-ot-smartfona-kak-prediktor-psihologicheskogo-neblagopoluchiya.html (дата обращения: 27.10.2026).</x:t>
  </x:si>
  <x:si>
    <x:t xml:space="preserve">Шейнов В. П. | Девицын А. С.</x:t>
  </x:si>
  <x:si>
    <x:t xml:space="preserve">Зависимость от смартфона как предиктор психологического неблагополучия</x:t>
  </x:si>
  <x:si>
    <x:t xml:space="preserve">Системная психология и социология</x:t>
  </x:si>
  <x:si>
    <x:t xml:space="preserve">3 (43)</x:t>
  </x:si>
  <x:si>
    <x:t xml:space="preserve">71–84</x:t>
  </x:si>
  <x:si>
    <x:t xml:space="preserve">https://doi.org/10.25688/2223-6872.2022.43.3.07</x:t>
  </x:si>
  <x:si>
    <x:t xml:space="preserve">10.25688/2223-6872.2022.43.3.07</x:t>
  </x:si>
  <x:si>
    <x:t xml:space="preserve">EVSUVZ</x:t>
  </x:si>
  <x:si>
    <x:t xml:space="preserve">http://systempsychology.ru/journal/2022_43/824-sheynov-v-p-devicyn-a-s-zavisimost-ot-smartfona-kak-prediktor-psihologicheskogo-neblagopoluchiya.html</x:t>
  </x:si>
  <x:si>
    <x:t xml:space="preserve">Шейнов В. П., Девицын А. С. Зависимость от смартфона как предиктор психологического неблагополучия | Шейнов В. П., Девицын А. С. Зависимость от смартфона как предиктор психологического неблагополучия » Системная психология и социология</x:t>
  </x:si>
  <x:si>
    <x:t xml:space="preserve">HTTP 200; проверка объекта 27.10.2026; http://systempsychology.ru/journal/2022_43/824-sheynov-v-p-devicyn-a-s-zavisimost-ot-smartfona-kak-prediktor-psihologicheskogo-neblagopoluchiya.html</x:t>
  </x:si>
  <x:si>
    <x:t xml:space="preserve">Проверка оформления Михаилом: достаточно данных — Да. Открылась страница статьи; совпали авторы и заглавие (DOI на странице не приведён). Источник: Подтверждения_28_10_2026.html. Исходный вариант Михаила до последующего переноса: Шейнов, В. П. Зависимость от смартфона как предиктор психологического неблагополучия / В. П. Шейнов, А. С. Девицын // Системная психология и социология. — 2022. — № 3 (43). — С. 71–84. — URL: http://systempsychology.ru/journal/2022_43/824-sheynov-v-p-devicyn-a-s-zavisimost-ot-smartfona-kak-prediktor-psihologicheskogo-neblagopoluchiya.html (дата обращения: 27.10.2026).</x:t>
  </x:si>
  <x:si>
    <x:t xml:space="preserve">R250</x:t>
  </x:si>
  <x:si>
    <x:t xml:space="preserve">Шейнов В.П., Карпиевич В.А. Взаимосвязи зависимости от смартфона с социальным полом, экстернальностью и избеганием неудач // Психология человека в образовании. 2023. Т. 5. № 1. С. 101–113. https://doi.org/10.33910/2686-9527-2023-5-1-101-113 EDN: RLHCUF</x:t>
  </x:si>
  <x:si>
    <x:t xml:space="preserve">Шейнов В. П., Карпиевич В. А. Взаимосвязи зависимости от смартфона с социальным полом, экстернальностью и избеганием неудач // Психология человека в образовании. — 2023. — Т. 5. — № 1. — С. 101–113.</x:t>
  </x:si>
  <x:si>
    <x:t xml:space="preserve">Шейнов В. П. | Карпиевич В. А.</x:t>
  </x:si>
  <x:si>
    <x:t xml:space="preserve">Взаимосвязи зависимости от смартфона с социальным полом, экстернальностью и избеганием неудач</x:t>
  </x:si>
  <x:si>
    <x:t xml:space="preserve">101–113</x:t>
  </x:si>
  <x:si>
    <x:t xml:space="preserve">https://doi.org/10.33910/2686-9527-2023-5-1-101-113</x:t>
  </x:si>
  <x:si>
    <x:t xml:space="preserve">10.33910/2686-9527-2023-5-1-101-113</x:t>
  </x:si>
  <x:si>
    <x:t xml:space="preserve">RLHCUF</x:t>
  </x:si>
  <x:si>
    <x:t xml:space="preserve">R251</x:t>
  </x:si>
  <x:si>
    <x:t xml:space="preserve">Щедровицкий Г.П. Система педагогических исследований (методологический анализ) // Педагогика и логика. Москва : Касталь, 1993. С. 16–200.</x:t>
  </x:si>
  <x:si>
    <x:t xml:space="preserve">Щедровицкий Г. П. Система педагогических исследований (методологический анализ) // Педагогика и логика. Москва : Касталь. — 1993. — С. 16–200.</x:t>
  </x:si>
  <x:si>
    <x:t xml:space="preserve">Щедровицкий Г. П.</x:t>
  </x:si>
  <x:si>
    <x:t xml:space="preserve">Система педагогических исследований (методологический анализ)</x:t>
  </x:si>
  <x:si>
    <x:t xml:space="preserve">Педагогика и логика. Москва : Касталь</x:t>
  </x:si>
  <x:si>
    <x:t xml:space="preserve">16–200</x:t>
  </x:si>
  <x:si>
    <x:t xml:space="preserve">R252</x:t>
  </x:si>
  <x:si>
    <x:t xml:space="preserve">Захарова У.С., Вилкова К.А. Субъектность студентов в условиях очного и дистанционного обучения: взгляд преподавателей // Современная зарубежная психология. 2020. Т. 9. № 3. C. 87–96. https://doi.org/10.17759/jmfp.2020090308 EDN: EWRHMP</x:t>
  </x:si>
  <x:si>
    <x:t xml:space="preserve">Захарова У. С., Вилкова К. А. Субъектность студентов в условиях очного и дистанционного обучения : взгляд преподавателей // Современная зарубежная психология. — 2020. — Т. 9. — № 3. — С. 87–96. — URL: https://psyjournals.ru/en/journals/jmfp/archive/2020_n3/Zakharova (дата обращения: 27.10.2026).</x:t>
  </x:si>
  <x:si>
    <x:t xml:space="preserve">Захарова У. С. | Вилкова К. А.</x:t>
  </x:si>
  <x:si>
    <x:t xml:space="preserve">Субъектность студентов в условиях очного и дистанционного обучения: взгляд преподавателей</x:t>
  </x:si>
  <x:si>
    <x:t xml:space="preserve">87–96</x:t>
  </x:si>
  <x:si>
    <x:t xml:space="preserve">https://doi.org/10.17759/jmfp.2020090308</x:t>
  </x:si>
  <x:si>
    <x:t xml:space="preserve">https://journals.rudn.ru/psychology-pedagogics/article/view/47844?setLocale=ru_RU#articleCitations</x:t>
  </x:si>
  <x:si>
    <x:t xml:space="preserve">10.17759/jmfp.2020090308</x:t>
  </x:si>
  <x:si>
    <x:t xml:space="preserve">Development and psychometric characteristics of the questionnaire of constructive and destructive manifestations of subjectivity</x:t>
  </x:si>
  <x:si>
    <x:t xml:space="preserve">EWRHMP</x:t>
  </x:si>
  <x:si>
    <x:t xml:space="preserve">https://journals.rudn.ru/psychology-pedagogics/article/view/47844</x:t>
  </x:si>
  <x:si>
    <x:t xml:space="preserve">https://psyjournals.ru/en/journals/jmfp/archive/2020_n3/Zakharova</x:t>
  </x:si>
  <x:si>
    <x:t xml:space="preserve">Student Agency in Traditional and Distance Learning from Their Instructors' Perspective | Student Agency in Traditional and Distance Learning from Their Instructors' Perspective // Journal of Modern Foreign Psychology — 2020. Vol. 9, no. 3 | Student Agency in Traditional and Distance Learning from Their Instructors' Perspective // Journal of Modern Foreign Psychology — 2020. Vol. 9, no. 3 | PsyJournals.ru</x:t>
  </x:si>
  <x:si>
    <x:t xml:space="preserve">HTTP 200; проверка объекта 27.10.2026; https://psyjournals.ru/en/journals/jmfp/archive/2020_n3/Zakharova</x:t>
  </x:si>
  <x:si>
    <x:t xml:space="preserve">R253</x:t>
  </x:si>
  <x:si>
    <x:t xml:space="preserve">Сергиенко Е.А., Виленская Г.А., Ковалева Ю.В. Контроль поведения как субъектная регуляция. Москва : Институт психологии РАН, 2010. 352 с. EDN: TGHHTV</x:t>
  </x:si>
  <x:si>
    <x:t xml:space="preserve">Сергиенко Е. А., Виленская Г. А., Ковалева Ю. В. Контроль поведения как субъектная регуляция. — Москва : Институт психологии РАН, 2010. — 352 с.</x:t>
  </x:si>
  <x:si>
    <x:t xml:space="preserve">Сергиенко Е. А. | Виленская Г. А. | Ковалева Ю. В.</x:t>
  </x:si>
  <x:si>
    <x:t xml:space="preserve">Контроль поведения как субъектная регуляция</x:t>
  </x:si>
  <x:si>
    <x:t xml:space="preserve">Институт психологии РАН</x:t>
  </x:si>
  <x:si>
    <x:t xml:space="preserve">TGHHTV</x:t>
  </x:si>
  <x:si>
    <x:t xml:space="preserve">Проверка оформления Михаилом: достаточно данных — Да. Исходный вариант Михаила до последующего переноса: Сергиенко, Е. А. Контроль поведения как субъектная регуляция / Е. А. Сергиенко, Г. А. Виленская, Ю. В. Ковалева. — Москва : Институт психологии РАН, 2010. — 352 с.</x:t>
  </x:si>
  <x:si>
    <x:t xml:space="preserve">R254</x:t>
  </x:si>
  <x:si>
    <x:t xml:space="preserve">Ушамирский А.Э. К проблеме субъектности молодежи // Россия: тенденции и перспективы развития : ежегодник / отв. ред. В.И. Герасимов. Москва : Институт научной информации по общественным наукам РАН, 2016. Вып. 11. Ч. 3. С. 628–630. EDN: ZNYIDB</x:t>
  </x:si>
  <x:si>
    <x:t xml:space="preserve">Ушамирский, А. Э. К проблеме субъектности молодежи // Россия: тенденции и перспективы развития : ежегодник / отв. ред. В. И. Герасимов. — Москва : Институт научной информации по общественным наукам РАН, 2016. — Вып. 11, ч. 3. — С. 628–630.</x:t>
  </x:si>
  <x:si>
    <x:t xml:space="preserve">Материал сборника</x:t>
  </x:si>
  <x:si>
    <x:t xml:space="preserve">Ушамирский А. Э.</x:t>
  </x:si>
  <x:si>
    <x:t xml:space="preserve">К проблеме субъектности молодежи</x:t>
  </x:si>
  <x:si>
    <x:t xml:space="preserve">Россия: тенденции и перспективы развития : ежегодник</x:t>
  </x:si>
  <x:si>
    <x:t xml:space="preserve">628–630</x:t>
  </x:si>
  <x:si>
    <x:t xml:space="preserve">Институт научной информации по общественным наукам РАН</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</x:si>
  <x:si>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«Вып. 11. Ч. 3»: часть 3 в поле выпуска не вынесена. Отв. редактор Герасимов В.И. — не автор. Согласованные решения от 28.10.2026: Вид документа: Материал сборника. Согласен классифицировать как материал сборника в рамках принятой схемы. Часть 3 сохраняется отдельно в комментарии, не подменяет том. | Издатель: Институт научной информации по общественным наукам РАН. Предложение подтверждено без дополнительного пояснения. | Место издания: Москва. Предложение подтверждено без дополнительного пояснения. | Содержащее издание: Россия: тенденции и перспективы развития : ежегодник. Предложение подтверждено без дополнительного пояснения. Сохранённая часть из исходной строки: Ч. 3. Ответственный редактор Герасимов В. И. не является автором данной статьи.</x:t>
  </x:si>
  <x:si>
    <x:t xml:space="preserve">ZNYIDB</x:t>
  </x:si>
  <x:si>
    <x:t xml:space="preserve">Проверка оформления Михаилом: достаточно данных — Да. Исходный вариант Михаила до последующего переноса: Ушамирский, А. Э. К проблеме субъектности молодежи // Россия: тенденции и перспективы развития : ежегодник / отв. ред. В. И. Герасимов. — Москва : Институт научной информации по общественным наукам РАН, 2016. — Вып. 11, ч. 3. — С. 628–630.</x:t>
  </x:si>
  <x:si>
    <x:t xml:space="preserve">R255</x:t>
  </x:si>
  <x:si>
    <x:t xml:space="preserve">Моросанова В.И., Кондратюк Н.Г. Опросник В.И. Моросановой «Стиль саморегуляции поведения – 2020» // Вопросы психологии. 2020. № 4. С. 155–167. EDN: XLPKCR</x:t>
  </x:si>
  <x:si>
    <x:t xml:space="preserve">Моросанова В. И., Кондратюк Н. Г. Опросник В.И. Моросановой «Стиль саморегуляции поведения – 2020» // Вопросы психологии. — 2020. — № 4. — С. 155–167.</x:t>
  </x:si>
  <x:si>
    <x:t xml:space="preserve">Моросанова В. И. | Кондратюк Н. Г.</x:t>
  </x:si>
  <x:si>
    <x:t xml:space="preserve">Опросник В.И. Моросановой «Стиль саморегуляции поведения – 2020»</x:t>
  </x:si>
  <x:si>
    <x:t xml:space="preserve">Вопросы психологии</x:t>
  </x:si>
  <x:si>
    <x:t xml:space="preserve">155–167</x:t>
  </x:si>
  <x:si>
    <x:t xml:space="preserve">https://journals.rudn.ru/psychology-pedagogics/article/view/47847?setLocale=ru_RU#articleCitations</x:t>
  </x:si>
  <x:si>
    <x:t xml:space="preserve">The effects of stress and conscious self-regulation on students’ career adaptability</x:t>
  </x:si>
  <x:si>
    <x:t xml:space="preserve">XLPKCR</x:t>
  </x:si>
  <x:si>
    <x:t xml:space="preserve">https://journals.rudn.ru/psychology-pedagogics/article/view/47847</x:t>
  </x:si>
  <x:si>
    <x:t xml:space="preserve">R256</x:t>
  </x:si>
  <x:si>
    <x:t xml:space="preserve">Моросанова В.И., Кондратюк Н.Г., Потанина А.М. Регуляторные ресурсы профессионального самоопределения обучающихся в условиях стресса: исследовательские подходы и теоретические основания // Вестник Московского университета. Серия 14. Психология. 2024. №. 2. С. 31–60. https://doi.org/10.11621/LPJ-24-14 EDN: OXNFWD</x:t>
  </x:si>
  <x:si>
    <x:t xml:space="preserve">Моросанова В. И., Кондратюк Н. Г., Потанина А. М. Регуляторные ресурсы профессионального самоопределения обучающихся в условиях стресса : исследовательские подходы и теоретические основания // Вестник Московского университета. Серия 14. Психология. — 2024. — С. 31–60. — URL: https://msupsyj.ru/articles/article/10850/ (дата обращения: 27.10.2026).</x:t>
  </x:si>
  <x:si>
    <x:t xml:space="preserve">Моросанова В. И. | Кондратюк Н. Г. | Потанина А. М.</x:t>
  </x:si>
  <x:si>
    <x:t xml:space="preserve">Регуляторные ресурсы профессионального самоопределения обучающихся в условиях стресса: исследовательские подходы и теоретические основания</x:t>
  </x:si>
  <x:si>
    <x:t xml:space="preserve">31–60</x:t>
  </x:si>
  <x:si>
    <x:t xml:space="preserve">https://doi.org/10.11621/LPJ-24-14</x:t>
  </x:si>
  <x:si>
    <x:t xml:space="preserve">10.11621/LPJ-24-14</x:t>
  </x:si>
  <x:si>
    <x:t xml:space="preserve">OXNFWD</x:t>
  </x:si>
  <x:si>
    <x:t xml:space="preserve">https://msupsyj.ru/articles/article/10850/</x:t>
  </x:si>
  <x:si>
    <x:t xml:space="preserve">Регуляторные ресурсы профессионального самоопределения обучающихся в условиях стресса: исследовательские подходы  и теоретические основания</x:t>
  </x:si>
  <x:si>
    <x:t xml:space="preserve">HTTP 200; проверка объекта 27.10.2026; https://msupsyj.ru/articles/article/10850/</x:t>
  </x:si>
  <x:si>
    <x:t xml:space="preserve">R257</x:t>
  </x:si>
  <x:si>
    <x:t xml:space="preserve">Сапоровская М.В., Конжин С.И., Тихомирова Е.В., Самохвалова А.Г. Личностные регуляторы построения образа будущего на разных этапах профессионализации // Теоретическая и экспериментальная психология. 2023. № 4 (16). С. 122–142. https://doi.org/10.11621/TEP-23-32 EDN: MSCYKK</x:t>
  </x:si>
  <x:si>
    <x:t xml:space="preserve">Личностные регуляторы построения образа будущего на разных этапах профессионализации / М. В. Сапоровская, С. И. Конжин, Е. В. Тихомирова, А. Г. Самохвалова // Теоретическая и экспериментальная психология. — 2023. — № 4 (16). — С. 122–142. — URL: https://tepsyj.ru/articles/article/3026/ (дата обращения: 27.10.2026).</x:t>
  </x:si>
  <x:si>
    <x:t xml:space="preserve">Сапоровская М. В. | Конжин С. И. | Тихомирова Е. В. | Самохвалова А. Г.</x:t>
  </x:si>
  <x:si>
    <x:t xml:space="preserve">Личностные регуляторы построения образа будущего на разных этапах профессионализации</x:t>
  </x:si>
  <x:si>
    <x:t xml:space="preserve">Теоретическая и экспериментальная психология</x:t>
  </x:si>
  <x:si>
    <x:t xml:space="preserve">4 (16)</x:t>
  </x:si>
  <x:si>
    <x:t xml:space="preserve">122–142</x:t>
  </x:si>
  <x:si>
    <x:t xml:space="preserve">https://doi.org/10.11621/TEP-23-32</x:t>
  </x:si>
  <x:si>
    <x:t xml:space="preserve">10.11621/TEP-23-32</x:t>
  </x:si>
  <x:si>
    <x:t xml:space="preserve">MSCYKK</x:t>
  </x:si>
  <x:si>
    <x:t xml:space="preserve">https://tepsyj.ru/articles/article/3026/</x:t>
  </x:si>
  <x:si>
    <x:t xml:space="preserve">Личностные регуляторы построения образа будущего на разных этапах профессионализации Конжин С.И. Тихомирова Е.В. Самохвалова А.Г. Сапоровская М.В.</x:t>
  </x:si>
  <x:si>
    <x:t xml:space="preserve">HTTP 200; проверка объекта 27.10.2026; https://tepsyj.ru/articles/article/3026/</x:t>
  </x:si>
  <x:si>
    <x:t xml:space="preserve">R258</x:t>
  </x:si>
  <x:si>
    <x:t xml:space="preserve">Фёдоров А.А., Злобина М.В. Игра в мораль: Связана ли оценка инструментальной пригодности моральных дилемм с их решением // Reflexio. 2023. Т. 16. № 1. С. 5–28. https://doi.org/10.25205/2658-4506-2023-16-1-5-28 EDN: ABJPMA</x:t>
  </x:si>
  <x:si>
    <x:t xml:space="preserve">Фёдоров А. А., Злобина М. В. Игра в мораль : Связана ли оценка инструментальной пригодности моральных дилемм с их решением // Reflexio. — 2023. — Т. 16. — № 1. — С. 5–28. — URL: https://reflexio.elpub.ru/jour/article/view/105 (дата обращения: 27.10.2026).</x:t>
  </x:si>
  <x:si>
    <x:t xml:space="preserve">Фёдоров А. А. | Злобина М. В.</x:t>
  </x:si>
  <x:si>
    <x:t xml:space="preserve">Игра в мораль: Связана ли оценка инструментальной пригодности моральных дилемм с их решением</x:t>
  </x:si>
  <x:si>
    <x:t xml:space="preserve">Reflexio</x:t>
  </x:si>
  <x:si>
    <x:t xml:space="preserve">5–28</x:t>
  </x:si>
  <x:si>
    <x:t xml:space="preserve">https://doi.org/10.25205/2658-4506-2023-16-1-5-28</x:t>
  </x:si>
  <x:si>
    <x:t xml:space="preserve">https://journals.rudn.ru/psychology-pedagogics/article/view/47851?setLocale=ru_RU#articleCitations</x:t>
  </x:si>
  <x:si>
    <x:t xml:space="preserve">10.25205/2658-4506-2023-16-1-5-28</x:t>
  </x:si>
  <x:si>
    <x:t xml:space="preserve">Personality factors of moral conformity in solving moral dilemmas under virtual group pressure</x:t>
  </x:si>
  <x:si>
    <x:t xml:space="preserve">ABJPMA</x:t>
  </x:si>
  <x:si>
    <x:t xml:space="preserve">https://journals.rudn.ru/psychology-pedagogics/article/view/47851</x:t>
  </x:si>
  <x:si>
    <x:t xml:space="preserve">https://reflexio.elpub.ru/jour/article/view/105</x:t>
  </x:si>
  <x:si>
    <x:t xml:space="preserve">Игра в мораль: связана ли оценка инструментальной пригодности моральных дилемм с их решением | Фёдоров | Reflexio | Игра в мораль: связана ли оценка инструментальной пригодности моральных дилемм с их решением | The Morality Game: Is the Evaluation of the Instrumental Utility of Moral Dilemmas Related to Decision Outcomes | Игра в мораль: связана ли оценка инструментальной пригодности моральных дилемм с их решением | Игра в мораль: связана ли оценка инструментальной пригодности моральных дилемм с их решением | Фёдоров | Reflexio</x:t>
  </x:si>
  <x:si>
    <x:t xml:space="preserve">HTTP 200; проверка объекта 27.10.2026; https://reflexio.elpub.ru/jour/article/view/105</x:t>
  </x:si>
  <x:si>
    <x:t xml:space="preserve">R259</x:t>
  </x:si>
  <x:si>
    <x:t xml:space="preserve">Веракса Н.Е. Понятия нормативной ситуации в психологии личности (структурно-диалектический подход) // Педагогический журнал Башкортостана. 2006. № 2 (2). С. 39–59. EDN: KTZDXJ</x:t>
  </x:si>
  <x:si>
    <x:t xml:space="preserve">Веракса Н. Е. Понятия нормативной ситуации в психологии личности (структурно-диалектический подход) // Педагогический журнал Башкортостана. — 2006. — № 2 (2). — С. 39–59.</x:t>
  </x:si>
  <x:si>
    <x:t xml:space="preserve">Веракса Н. Е.</x:t>
  </x:si>
  <x:si>
    <x:t xml:space="preserve">Понятия нормативной ситуации в психологии личности (структурно-диалектический подход)</x:t>
  </x:si>
  <x:si>
    <x:t xml:space="preserve">Педагогический журнал Башкортостана</x:t>
  </x:si>
  <x:si>
    <x:t xml:space="preserve">2 (2)</x:t>
  </x:si>
  <x:si>
    <x:t xml:space="preserve">39–59</x:t>
  </x:si>
  <x:si>
    <x:t xml:space="preserve">https://journals.rudn.ru/psychology-pedagogics/article/view/49474?setLocale=ru_RU#articleCitations</x:t>
  </x:si>
  <x:si>
    <x:t xml:space="preserve">Laughter and the Normative Situation: Structural-Dialectical Analysis</x:t>
  </x:si>
  <x:si>
    <x:t xml:space="preserve">KTZDXJ</x:t>
  </x:si>
  <x:si>
    <x:t xml:space="preserve">https://journals.rudn.ru/psychology-pedagogics/article/view/49474</x:t>
  </x:si>
  <x:si>
    <x:t xml:space="preserve">R260</x:t>
  </x:si>
  <x:si>
    <x:t xml:space="preserve">Пропп В.Я. Проблемы комизма и смеха. Ритуальный смех в фольклоре (по поводу сказки о Несмеяне). Москва : Лабиринт, 1999. 285 с.</x:t>
  </x:si>
  <x:si>
    <x:t xml:space="preserve">Пропп В. Я. Проблемы комизма и смеха. Ритуальный смех в фольклоре (по поводу сказки о Несмеяне). — Москва : Лабиринт, 1999. — 285 с.</x:t>
  </x:si>
  <x:si>
    <x:t xml:space="preserve">Пропп В. Я.</x:t>
  </x:si>
  <x:si>
    <x:t xml:space="preserve">Проблемы комизма и смеха. Ритуальный смех в фольклоре (по поводу сказки о Несмеяне)</x:t>
  </x:si>
  <x:si>
    <x:t xml:space="preserve">285</x:t>
  </x:si>
  <x:si>
    <x:t xml:space="preserve">Лабиринт</x:t>
  </x:si>
  <x:si>
    <x:t xml:space="preserve">R261</x:t>
  </x:si>
  <x:si>
    <x:t xml:space="preserve">Батурин Н.А., Мельникова Н.Н. Временный стандарт требований к психодиагностическим методикам и процедура сертификации методик // Технология разработки психодиагностических методик. Челябинск : Изд-во ЮУрГУ, 2012. С. 126–128. EDN: QYFAMR</x:t>
  </x:si>
  <x:si>
    <x:t xml:space="preserve">Батурин Н. А., Мельникова Н. Н. Временный стандарт требований к психодиагностическим методикам и процедура сертификации методик // Технология разработки психодиагностических методик. Челябинск : Изд-во ЮУрГУ. — 2012. — С. 126–128.</x:t>
  </x:si>
  <x:si>
    <x:t xml:space="preserve">Батурин Н. А. | Мельникова Н. Н.</x:t>
  </x:si>
  <x:si>
    <x:t xml:space="preserve">Временный стандарт требований к психодиагностическим методикам и процедура сертификации методик</x:t>
  </x:si>
  <x:si>
    <x:t xml:space="preserve">Технология разработки психодиагностических методик. Челябинск : Изд-во ЮУрГУ</x:t>
  </x:si>
  <x:si>
    <x:t xml:space="preserve">126–128</x:t>
  </x:si>
  <x:si>
    <x:t xml:space="preserve">https://journals.rudn.ru/psychology-pedagogics/article/view/49476?setLocale=ru_RU#articleCitations</x:t>
  </x:si>
  <x:si>
    <x:t xml:space="preserve">A Scale for Assessing the Sociocultural Educational Environment in a University: Development and Validation on a Student Sample</x:t>
  </x:si>
  <x:si>
    <x:t xml:space="preserve">QYFAMR</x:t>
  </x:si>
  <x:si>
    <x:t xml:space="preserve">https://journals.rudn.ru/psychology-pedagogics/article/view/49476</x:t>
  </x:si>
  <x:si>
    <x:t xml:space="preserve">R262</x:t>
  </x:si>
  <x:si>
    <x:t xml:space="preserve">Верхотурова М.В. Мой идеальный университет: физические и нефизические категории среды в представлениях студентов // Психологическая наука и образование. 2024. Т. 29. № 4. С. 74–83. https://doi.org/10.17759/pse.2024290406 EDN: HXVWUE</x:t>
  </x:si>
  <x:si>
    <x:t xml:space="preserve">Верхотурова М. В. Мой идеальный университет : физические и нефизические категории среды в представлениях студентов // Психологическая наука и образование. — 2024. — Т. 29. — № 4. — С. 74–83. — URL: https://psyjournals.ru/en/journals/pse/archive/2024_n4/Verkhoturova (дата обращения: 27.10.2026).</x:t>
  </x:si>
  <x:si>
    <x:t xml:space="preserve">Верхотурова М. В.</x:t>
  </x:si>
  <x:si>
    <x:t xml:space="preserve">Мой идеальный университет: физические и нефизические категории среды в представлениях студентов</x:t>
  </x:si>
  <x:si>
    <x:t xml:space="preserve">Психологическая наука и образование</x:t>
  </x:si>
  <x:si>
    <x:t xml:space="preserve">74–83</x:t>
  </x:si>
  <x:si>
    <x:t xml:space="preserve">https://doi.org/10.17759/pse.2024290406</x:t>
  </x:si>
  <x:si>
    <x:t xml:space="preserve">10.17759/pse.2024290406</x:t>
  </x:si>
  <x:si>
    <x:t xml:space="preserve">HXVWUE</x:t>
  </x:si>
  <x:si>
    <x:t xml:space="preserve">https://psyjournals.ru/en/journals/pse/archive/2024_n4/Verkhoturova</x:t>
  </x:si>
  <x:si>
    <x:t xml:space="preserve">My Ideal University: Physical and Non-Physical Components of the Environment in Student Presentations | My Ideal University: Physical and Non-Physical Components of the Environment in Student Presentations // Psychological Science and Education — 2024. Vol. 29, no. 4 | My Ideal University: Physical and Non-Physical Components of the Environment in Student Presentations // Psychological Science and Education — 2024. Vol. 29, no. 4 | PsyJournals.ru</x:t>
  </x:si>
  <x:si>
    <x:t xml:space="preserve">HTTP 200; проверка объекта 27.10.2026; https://psyjournals.ru/en/journals/pse/archive/2024_n4/Verkhoturova</x:t>
  </x:si>
  <x:si>
    <x:t xml:space="preserve">R263</x:t>
  </x:si>
  <x:si>
    <x:t xml:space="preserve">Кролевецкая Е.Н., Исаев И.Ф. Социокультурная образовательная среда вуза как фактор развития полисубъектности будущего педагога // Высшее образование в России. 2022. Т. 31. № 6. С. 114–135. https://doi.org/10.31992/0869-3617-2022-31-6-114-135 EDN: HMDQVB</x:t>
  </x:si>
  <x:si>
    <x:t xml:space="preserve">Кролевецкая Е. Н., Исаев И. Ф. Социокультурная образовательная среда вуза как фактор развития полисубъектности будущего педагога // Высшее образование в России. — 2022. — Т. 31. — № 6. — С. 114–135. — URL: https://vovr.elpub.ru/jour/article/view/3821 (дата обращения: 27.10.2026).</x:t>
  </x:si>
  <x:si>
    <x:t xml:space="preserve">Кролевецкая Е. Н. | Исаев И. Ф.</x:t>
  </x:si>
  <x:si>
    <x:t xml:space="preserve">Социокультурная образовательная среда вуза как фактор развития полисубъектности будущего педагога</x:t>
  </x:si>
  <x:si>
    <x:t xml:space="preserve">31</x:t>
  </x:si>
  <x:si>
    <x:t xml:space="preserve">114–135</x:t>
  </x:si>
  <x:si>
    <x:t xml:space="preserve">https://doi.org/10.31992/0869-3617-2022-31-6-114-135</x:t>
  </x:si>
  <x:si>
    <x:t xml:space="preserve">10.31992/0869-3617-2022-31-6-114-135</x:t>
  </x:si>
  <x:si>
    <x:t xml:space="preserve">HMDQVB</x:t>
  </x:si>
  <x:si>
    <x:t xml:space="preserve">https://vovr.elpub.ru/jour/article/view/3821</x:t>
  </x:si>
  <x:si>
    <x:t xml:space="preserve">Социокультурная образовательная среда вуза как фактор развития полисубъектности будущего педагога | Кролевецкая | Высшее образование в России  (Vysshee obrazovanie v Rossii = Higher Education in Russia) | Социокультурная образовательная среда вуза как фактор развития полисубъектности будущего педагога | Socio-Cultural Educational Environment of University as a Factor in the Development of Future Teacher’s Polysubjectness | Социокультурная образовательная среда вуза как фактор развития полисубъектности будущего педагога | Социокультурная образовательная среда вуза как фактор развития полисубъектности будущего педагога | Кролевецкая | Высшее образование в России  (Vysshee obrazovanie v Rossii</x:t>
  </x:si>
  <x:si>
    <x:t xml:space="preserve">HTTP 200; проверка объекта 27.10.2026; https://vovr.elpub.ru/jour/article/view/3821</x:t>
  </x:si>
  <x:si>
    <x:t xml:space="preserve">R264</x:t>
  </x:si>
  <x:si>
    <x:t xml:space="preserve">Макаренко А.Н., Смышляева Л.Г., Волчкова И.В., Поздеева С.И., Семенова Н.А. Организация образовательной среды педагогического университета: концепты и сценарий изменений // Высшее образование в России. 2021. Т. 30. № 10. С. 129–136. https://doi.org/10.31992/0869-3617-2021-30-10-129-136 EDN: GIBFYE</x:t>
  </x:si>
  <x:si>
    <x:t xml:space="preserve">Организация образовательной среды педагогического университета : концепты и сценарий изменений / А. Н. Макаренко, Л. Г. Смышляева, И. В. Волчкова, С. И. Поздеева, Н. А. Семенова // Высшее образование в России. — 2021. — Т. 30. — № 10. — С. 129–136. — URL: https://vovr.elpub.ru/jour/article/view/3035 (дата обращения: 27.10.2026).</x:t>
  </x:si>
  <x:si>
    <x:t xml:space="preserve">Макаренко А. Н. | Смышляева Л. Г. | Волчкова И. В. | Поздеева С. И. | Семенова Н. А.</x:t>
  </x:si>
  <x:si>
    <x:t xml:space="preserve">Организация образовательной среды педагогического университета: концепты и сценарий изменений</x:t>
  </x:si>
  <x:si>
    <x:t xml:space="preserve">129–136</x:t>
  </x:si>
  <x:si>
    <x:t xml:space="preserve">https://doi.org/10.31992/0869-3617-2021-30-10-129-136</x:t>
  </x:si>
  <x:si>
    <x:t xml:space="preserve">10.31992/0869-3617-2021-30-10-129-136</x:t>
  </x:si>
  <x:si>
    <x:t xml:space="preserve">GIBFYE</x:t>
  </x:si>
  <x:si>
    <x:t xml:space="preserve">https://vovr.elpub.ru/jour/article/view/3035</x:t>
  </x:si>
  <x:si>
    <x:t xml:space="preserve">Организация образовательной среды педагогического университета: концепты и сценарий изменений | Макаренко | Высшее образование в России  (Vysshee obrazovanie v Rossii = Higher Education in Russia) | Организация образовательной среды педагогического университета: концепты и сценарий изменений | Organization of Educational Environment at Pedagogical University: Concepts and Scenario of Changes | Организация образовательной среды педагогического университета: концепты и сценарий изменений | Организация образовательной среды педагогического университета: концепты и сценарий изменений | Макаренко | Высшее образование в России  (Vysshee obrazovanie v Rossii = Higher Education in Russia)</x:t>
  </x:si>
  <x:si>
    <x:t xml:space="preserve">HTTP 200; проверка объекта 27.10.2026; https://vovr.elpub.ru/jour/article/view/3035</x:t>
  </x:si>
  <x:si>
    <x:t xml:space="preserve">R265</x:t>
  </x:si>
  <x:si>
    <x:t xml:space="preserve">Куликова Т.И., Степанова Н.А. Психолого-педагогические проблемы интеграции детей-билингвов в образовательную среду // Международный научно-исследовательский журнал. 2021. № 12-3 (114). С. 159–165. https://doi.org/10.23670/IRJ.2021.114.12.110 EDN: EHWXMZ</x:t>
  </x:si>
  <x:si>
    <x:t xml:space="preserve">Куликова Т. И., Степанова Н. А. Психолого-педагогические проблемы интеграции детей-билингвов в образовательную среду // Международный научно-исследовательский журнал. — 2021. — № 12-3 (114). — С. 159–165.</x:t>
  </x:si>
  <x:si>
    <x:t xml:space="preserve">Куликова Т. И. | Степанова Н. А.</x:t>
  </x:si>
  <x:si>
    <x:t xml:space="preserve">Психолого-педагогические проблемы интеграции детей-билингвов в образовательную среду</x:t>
  </x:si>
  <x:si>
    <x:t xml:space="preserve">12-3 (114)</x:t>
  </x:si>
  <x:si>
    <x:t xml:space="preserve">159–165</x:t>
  </x:si>
  <x:si>
    <x:t xml:space="preserve">https://doi.org/10.23670/IRJ.2021.114.12.110</x:t>
  </x:si>
  <x:si>
    <x:t xml:space="preserve">https://journals.rudn.ru/psychology-pedagogics/article/view/49477?setLocale=ru_RU#articleCitations</x:t>
  </x:si>
  <x:si>
    <x:t xml:space="preserve">10.23670/IRJ.2021.114.12.110</x:t>
  </x:si>
  <x:si>
    <x:t xml:space="preserve">Specifics of Professional Pedagogical Activity in the Context of Children’s Bilingualism: The Opinion of School Teachers in Uzbekistan</x:t>
  </x:si>
  <x:si>
    <x:t xml:space="preserve">EHWXMZ</x:t>
  </x:si>
  <x:si>
    <x:t xml:space="preserve">https://journals.rudn.ru/psychology-pedagogics/article/view/49477</x:t>
  </x:si>
  <x:si>
    <x:t xml:space="preserve">R266</x:t>
  </x:si>
  <x:si>
    <x:t xml:space="preserve">Никитина Е.Ю., Свиридова А.В., Юздова Л.П. Формирование у студентов педагогического направления комплекса релевантных компетенций для обучения детей-билингвов // Вестник Южно-Уральского государственного гуманитарно-педагогического университета. 2019. № 5. С. 146–164. https://doi.org/10.25588/CSPU.2019.46.57.011</x:t>
  </x:si>
  <x:si>
    <x:t xml:space="preserve">Никитина Е. Ю., Свиридова А. В., Юздова Л. П. Формирование у студентов педагогического направления комплекса релевантных компетенций для обучения детей-билингвов // Вестник Южно-Уральского государственного гуманитарно-педагогического университета. — 2019. — № 5. — С. 146–164. — URL: http://vestnik-cspu.ru/ru/articles/%D0%9F%D1%8F%D1%82%D1%8B%D0%B9%20%D0%BD%D0%BE%D0%BC%D0%B5%D1%80/pedagogicheskie-nauki/formirovanie-u-studentov-pedagogicheskogo-napravleniya-kompleksa-relevantnyh-kompetenciy-dlya-obucheniya-detey-bilingvov.html (дата обращения: 27.10.2026).</x:t>
  </x:si>
  <x:si>
    <x:t xml:space="preserve">Никитина Е. Ю. | Свиридова А. В. | Юздова Л. П.</x:t>
  </x:si>
  <x:si>
    <x:t xml:space="preserve">Формирование у студентов педагогического направления комплекса релевантных компетенций для обучения детей-билингвов</x:t>
  </x:si>
  <x:si>
    <x:t xml:space="preserve">Вестник Южно-Уральского государственного гуманитарно-педагогического университета</x:t>
  </x:si>
  <x:si>
    <x:t xml:space="preserve">146–164</x:t>
  </x:si>
  <x:si>
    <x:t xml:space="preserve">https://doi.org/10.25588/CSPU.2019.46.57.011</x:t>
  </x:si>
  <x:si>
    <x:t xml:space="preserve">10.25588/CSPU.2019.46.57.011</x:t>
  </x:si>
  <x:si>
    <x:t xml:space="preserve">http://vestnik-cspu.ru/ru/articles/%D0%9F%D1%8F%D1%82%D1%8B%D0%B9%20%D0%BD%D0%BE%D0%BC%D0%B5%D1%80/pedagogicheskie-nauki/formirovanie-u-studentov-pedagogicheskogo-napravleniya-kompleksa-relevantnyh-kompetenciy-dlya-obucheniya-detey-bilingvov.html</x:t>
  </x:si>
  <x:si>
    <x:t xml:space="preserve">Вестник Южно-Уральского государственного  гуманитарно-педагогического университета</x:t>
  </x:si>
  <x:si>
    <x:t xml:space="preserve">HTTP 200; проверка объекта 27.10.2026; http://vestnik-cspu.ru/ru/articles/%D0%9F%D1%8F%D1%82%D1%8B%D0%B9%20%D0%BD%D0%BE%D0%BC%D0%B5%D1%80/pedagogicheskie-nauki/formirovanie-u-studentov-pedagogicheskogo-napravleniya-kompleksa-relevantnyh-kompetenciy-dlya-obucheniya-detey-bilingvov.html</x:t>
  </x:si>
  <x:si>
    <x:t xml:space="preserve">R267</x:t>
  </x:si>
  <x:si>
    <x:t xml:space="preserve">Парешина И.В. Актуальные проблемы поликультурного образования // Наука и образование. 2022. Т. 5. № 1. С. 32. EDN: OGMIKO</x:t>
  </x:si>
  <x:si>
    <x:t xml:space="preserve">Парешина И. В. Актуальные проблемы поликультурного образования // Наука и образование. — 2022. — Т. 5. — № 1. — С. 32.</x:t>
  </x:si>
  <x:si>
    <x:t xml:space="preserve">Парешина И. В.</x:t>
  </x:si>
  <x:si>
    <x:t xml:space="preserve">Актуальные проблемы поликультурного образования</x:t>
  </x:si>
  <x:si>
    <x:t xml:space="preserve">Наука и образование</x:t>
  </x:si>
  <x:si>
    <x:t xml:space="preserve">OGMIKO</x:t>
  </x:si>
  <x:si>
    <x:t xml:space="preserve">R268</x:t>
  </x:si>
  <x:si>
    <x:t xml:space="preserve">Ходжаева Н.Т. Билингвизм в условиях современности // Журнал академических исследований нового Узбекистана. 2024. Т. 1. № 13. С. 79–81. https://doi.org/10.5281/zenodo.14217087</x:t>
  </x:si>
  <x:si>
    <x:t xml:space="preserve">Ходжаева Н. Т. Билингвизм в условиях современности // Журнал академических исследований нового Узбекистана. — 2024. — Т. 1. — № 13. — С. 79–81. — URL: https://zenodo.org/records/14217087 (дата обращения: 27.10.2026).</x:t>
  </x:si>
  <x:si>
    <x:t xml:space="preserve">Ходжаева Н. Т.</x:t>
  </x:si>
  <x:si>
    <x:t xml:space="preserve">Билингвизм в условиях современности</x:t>
  </x:si>
  <x:si>
    <x:t xml:space="preserve">Журнал академических исследований нового Узбекистана</x:t>
  </x:si>
  <x:si>
    <x:t xml:space="preserve">79–81</x:t>
  </x:si>
  <x:si>
    <x:t xml:space="preserve">https://doi.org/10.5281/zenodo.14217087</x:t>
  </x:si>
  <x:si>
    <x:t xml:space="preserve">10.5281/zenodo.14217087</x:t>
  </x:si>
  <x:si>
    <x:t xml:space="preserve">https://zenodo.org/records/14217087</x:t>
  </x:si>
  <x:si>
    <x:t xml:space="preserve">БИЛИНГВИЗМ В УСЛОВИЯХ СОВРЕМЕННОСТИ. | БИЛИНГВИЗМ В УСЛОВИЯХ СОВРЕМЕННОСТИ. | БИЛИНГВИЗМ В УСЛОВИЯХ СОВРЕМЕННОСТИ. | Zenodo</x:t>
  </x:si>
  <x:si>
    <x:t xml:space="preserve">HTTP 200; проверка объекта 27.10.2026; https://zenodo.org/records/14217087</x:t>
  </x:si>
  <x:si>
    <x:t xml:space="preserve">R269</x:t>
  </x:si>
  <x:si>
    <x:t xml:space="preserve">Хотинец В.Ю., Новгородова Ю.О., Павлова Д.С., Кожевникова О.В. Связь executive functions с функциями регуляции активности у младших школьников — монолингвов и билингвов — в начале школьного обучения // Вестник Российского университета дружбы народов. Серия: Психология и педагогика. 2024. Т. 21. № 3. С. 739–763. https://doi.org/10.22363/2313-1683-2024-21-3-739-763 EDN: FMYYEY</x:t>
  </x:si>
  <x:si>
    <x:t xml:space="preserve">Связь executive functions с функциями регуляции активности у младших школьников — монолингвов и билингвов — в начале школьного обучения / В. Ю. Хотинец, Ю. О. Новгородова, Д. С. Павлова, О. В. Кожевникова // Вестник Российского университета дружбы народов. Серия: Психология и педагогика. — 2024. — Т. 21. — № 3. — С. 739–763. — URL: https://journals.rudn.ru/psychology-pedagogics/article/view/43757 (дата обращения: 27.10.2026).</x:t>
  </x:si>
  <x:si>
    <x:t xml:space="preserve">Хотинец В. Ю. | Новгородова Ю. О. | Павлова Д. С. | Кожевникова О. В.</x:t>
  </x:si>
  <x:si>
    <x:t xml:space="preserve">Связь executive functions с функциями регуляции активности у младших школьников — монолингвов и билингвов — в начале школьного обучения</x:t>
  </x:si>
  <x:si>
    <x:t xml:space="preserve">739–763</x:t>
  </x:si>
  <x:si>
    <x:t xml:space="preserve">https://doi.org/10.22363/2313-1683-2024-21-3-739-763</x:t>
  </x:si>
  <x:si>
    <x:t xml:space="preserve">10.22363/2313-1683-2024-21-3-739-763</x:t>
  </x:si>
  <x:si>
    <x:t xml:space="preserve">FMYYEY</x:t>
  </x:si>
  <x:si>
    <x:t xml:space="preserve">https://journals.rudn.ru/psychology-pedagogics/article/view/43757</x:t>
  </x:si>
  <x:si>
    <x:t xml:space="preserve">Correlation between Executive Functions and Activity Regulation Functions in Monolingual and Bilingual Younger Schoolchildren at the Beginning of School Education | Correlation between Executive Functions and Activity Regulation Functions in Monolingual and Bilingual Younger Schoolchildren at the Beginning of School Education | Связь executive functions с функциями регуляции активности у младших школьников - монолингвов и билингвов - в начале школьного обучения | Correlation between Executive Functions and Activity Regulation Functions in Monolingual and Bilingual Younger Schoolchildren at the Beginning of School Education | Связь executive functions с функциями регуляции активности у младши</x:t>
  </x:si>
  <x:si>
    <x:t xml:space="preserve">HTTP 200; проверка объекта 27.10.2026; https://journals.rudn.ru/psychology-pedagogics/article/view/43757</x:t>
  </x:si>
  <x:si>
    <x:t xml:space="preserve">Проверка оформления Михаилом: достаточно данных — Да. Открылась страница статьи (заглавие на английском); DOI на странице совпал с DOI строки. Источник: Подтверждения_28_10_2026.html. Исходный вариант Михаила до последующего переноса: Связь executive functions с функциями регуляции активности у младших школьников — монолингвов и билингвов — в начале школьного обучения / В. Ю. Хотинец, Ю. О. Новгородова, Д. С. Павлова [и др.] // Вестник Российского университета дружбы народов. Серия: Психология и педагогика. — 2024. — Т. 21, № 3. — С. 739–763. — URL: https://journals.rudn.ru/psychology-pedagogics/article/view/43757 (дата обращения: 27.10.2026).</x:t>
  </x:si>
  <x:si>
    <x:t xml:space="preserve">R270</x:t>
  </x:si>
  <x:si>
    <x:t xml:space="preserve">Пузанова Ж.В., Филиппов В.М., Симонова М.А., Григорьева Н.А. Доказательная педагогика: критерии экспериментальных исследований // Вестник Российского университета дружбы народов. Серия: Психология и педагогика. 2024. Т. 21. № 1. С. 313–327. https://doi.org/10.22363/2313-1683-2024-21-1-313-327 EDN: TWOXVR</x:t>
  </x:si>
  <x:si>
    <x:t xml:space="preserve">Доказательная педагогика : критерии экспериментальных исследований / Ж. В. Пузанова, В. М. Филиппов, М. А. Симонова, Н. А. Григорьева // Вестник Российского университета дружбы народов. Серия: Психология и педагогика. — 2024. — Т. 21. — № 1. — С. 313–327. — URL: https://journals.rudn.ru/psychology-pedagogics/article/view/41503 (дата обращения: 27.10.2026).</x:t>
  </x:si>
  <x:si>
    <x:t xml:space="preserve">Пузанова Ж. В. | Филиппов В. М. | Симонова М. А. | Григорьева Н. А.</x:t>
  </x:si>
  <x:si>
    <x:t xml:space="preserve">Доказательная педагогика: критерии экспериментальных исследований</x:t>
  </x:si>
  <x:si>
    <x:t xml:space="preserve">313–327</x:t>
  </x:si>
  <x:si>
    <x:t xml:space="preserve">https://doi.org/10.22363/2313-1683-2024-21-1-313-327</x:t>
  </x:si>
  <x:si>
    <x:t xml:space="preserve">https://journals.rudn.ru/psychology-pedagogics/article/view/49478?setLocale=ru_RU#articleCitations</x:t>
  </x:si>
  <x:si>
    <x:t xml:space="preserve">10.22363/2313-1683-2024-21-1-313-327</x:t>
  </x:si>
  <x:si>
    <x:t xml:space="preserve">Developing Legal Competences in Medical Students as Applied to Biomedical Research: Pedagogical Experience Based on the Standards of the Declaration of Helsinki</x:t>
  </x:si>
  <x:si>
    <x:t xml:space="preserve">TWOXVR</x:t>
  </x:si>
  <x:si>
    <x:t xml:space="preserve">https://journals.rudn.ru/psychology-pedagogics/article/view/49478</x:t>
  </x:si>
  <x:si>
    <x:t xml:space="preserve">https://journals.rudn.ru/psychology-pedagogics/article/view/41503</x:t>
  </x:si>
  <x:si>
    <x:t xml:space="preserve">Evidence-Based Pedagogy: Criteria for Experimental Research | Evidence-Based Pedagogy: Criteria for Experimental Research | Доказательная педагогика: критерии экспериментальных исследований | Evidence-Based Pedagogy: Criteria for Experimental Research | Доказательная педагогика: критерии экспериментальных исследований | Evidence-Based Pedagogy: Criteria for Experimental Research - Puzanova - RUDN Journal of Psychology and Pedagogics</x:t>
  </x:si>
  <x:si>
    <x:t xml:space="preserve">HTTP 200; проверка объекта 27.10.2026; https://journals.rudn.ru/psychology-pedagogics/article/view/41503</x:t>
  </x:si>
  <x:si>
    <x:t xml:space="preserve">R271</x:t>
  </x:si>
  <x:si>
    <x:t xml:space="preserve">Байрамян Р.М. Самоотношение младших школьников как предиктор совладания с трудными жизненными ситуациями: дис. … канд. психол. наук. Москва : НИУ ВШЭ, 2021. 177 с. EDN: ABXSYD</x:t>
  </x:si>
  <x:si>
    <x:t xml:space="preserve">Байрамян Р. М. Самоотношение младших школьников как предиктор совладания с трудными жизненными ситуациями : дис. … канд. психол. наук. — Москва : НИУ ВШЭ, 2021. — 177 с.</x:t>
  </x:si>
  <x:si>
    <x:t xml:space="preserve">Байрамян Р. М.</x:t>
  </x:si>
  <x:si>
    <x:t xml:space="preserve">Самоотношение младших школьников как предиктор совладания с трудными жизненными ситуациями: дис. … канд. психол. наук</x:t>
  </x:si>
  <x:si>
    <x:t xml:space="preserve">177</x:t>
  </x:si>
  <x:si>
    <x:t xml:space="preserve">https://journals.rudn.ru/psychology-pedagogics/article/view/49480?setLocale=ru_RU#articleCitations</x:t>
  </x:si>
  <x:si>
    <x:t xml:space="preserve">Value Preferences of Highand Low-Authentic School Children Depending on Gender</x:t>
  </x:si>
  <x:si>
    <x:t xml:space="preserve">ABXSYD</x:t>
  </x:si>
  <x:si>
    <x:t xml:space="preserve">https://journals.rudn.ru/psychology-pedagogics/article/view/49480</x:t>
  </x:si>
  <x:si>
    <x:t xml:space="preserve">R272</x:t>
  </x:si>
  <x:si>
    <x:t xml:space="preserve">Нартова-Бочавер С.К., Ерофеева В.Г., Байрамян Р.М., Чулюкин К.С. Повседневные представления об аутентичности: от детства к юности // Психология. Журнал Высшей школы экономики. 2023. Т. 20. № 3. С. 523–547. https://doi.org/10.17323/1813-8918-2023-3-523-547 EDN: EGQCBB</x:t>
  </x:si>
  <x:si>
    <x:t xml:space="preserve">Повседневные представления об аутентичности : от детства к юности / С. К. Нартова-Бочавер, В. Г. Ерофеева, Р. М. Байрамян, К. С. Чулюкин // Психология. Журнал Высшей школы экономики. — 2023. — Т. 20. — № 3. — С. 523–547. — URL: https://psy-journal.hse.ru/ru/article/view/40572 (дата обращения: 27.10.2026).</x:t>
  </x:si>
  <x:si>
    <x:t xml:space="preserve">Нартова-Бочавер С. К. | Ерофеева В. Г. | Байрамян Р. М. | Чулюкин К. С.</x:t>
  </x:si>
  <x:si>
    <x:t xml:space="preserve">Повседневные представления об аутентичности: от детства к юности</x:t>
  </x:si>
  <x:si>
    <x:t xml:space="preserve">Психология. Журнал Высшей школы экономики</x:t>
  </x:si>
  <x:si>
    <x:t xml:space="preserve">523–547</x:t>
  </x:si>
  <x:si>
    <x:t xml:space="preserve">https://doi.org/10.17323/1813-8918-2023-3-523-547</x:t>
  </x:si>
  <x:si>
    <x:t xml:space="preserve">10.17323/1813-8918-2023-3-523-547</x:t>
  </x:si>
  <x:si>
    <x:t xml:space="preserve">EGQCBB</x:t>
  </x:si>
  <x:si>
    <x:t xml:space="preserve">https://psy-journal.hse.ru/ru/article/view/40572</x:t>
  </x:si>
  <x:si>
    <x:t xml:space="preserve">Повседневные представления об аутентичности: От детства к юности | Повседневные представления об аутентичности: От детства к юности | 
		Повседневные представления об аутентичности: От детства к юности
							| Психология. Журнал Высшей школы экономики</x:t>
  </x:si>
  <x:si>
    <x:t xml:space="preserve">HTTP 200; проверка объекта 27.10.2026; https://psy-journal.hse.ru/ru/article/view/40572</x:t>
  </x:si>
  <x:si>
    <x:t xml:space="preserve">R273</x:t>
  </x:si>
  <x:si>
    <x:t xml:space="preserve">Нартова-Бочавер С.К., Ирхин Б.Д., Резниченко С.И. Диспозициональная аутентичность во внутриличностном пространстве // Психология. Журнал Высшей школы экономики. 2020. Т. 17. № 3. С. 500–519. https://doi.org/10.17323/1813-8918-2020-3-500-519 EDN: VROPZG</x:t>
  </x:si>
  <x:si>
    <x:t xml:space="preserve">Нартова-Бочавер С. К., Ирхин Б. Д., Резниченко С. И. Диспозициональная аутентичность во внутриличностном пространстве // Психология. Журнал Высшей школы экономики. — 2020. — Т. 17. — № 3. — С. 500–519. — URL: https://psy-journal.hse.ru/ru/article/view/40411 (дата обращения: 27.10.2026).</x:t>
  </x:si>
  <x:si>
    <x:t xml:space="preserve">Нартова-Бочавер С. К. | Ирхин Б. Д. | Резниченко С. И.</x:t>
  </x:si>
  <x:si>
    <x:t xml:space="preserve">Диспозициональная аутентичность во внутриличностном пространстве</x:t>
  </x:si>
  <x:si>
    <x:t xml:space="preserve">500–519</x:t>
  </x:si>
  <x:si>
    <x:t xml:space="preserve">https://doi.org/10.17323/1813-8918-2020-3-500-519</x:t>
  </x:si>
  <x:si>
    <x:t xml:space="preserve">10.17323/1813-8918-2020-3-500-519</x:t>
  </x:si>
  <x:si>
    <x:t xml:space="preserve">VROPZG</x:t>
  </x:si>
  <x:si>
    <x:t xml:space="preserve">https://psy-journal.hse.ru/ru/article/view/40411</x:t>
  </x:si>
  <x:si>
    <x:t xml:space="preserve">Диспозициональная аутентичность во внутриличностном пространстве | Диспозициональная аутентичность во внутриличностном пространстве | 
		Диспозициональная аутентичность во внутриличностном пространстве
							| Психология. Журнал Высшей школы экономики</x:t>
  </x:si>
  <x:si>
    <x:t xml:space="preserve">HTTP 200; проверка объекта 27.10.2026; https://psy-journal.hse.ru/ru/article/view/40411</x:t>
  </x:si>
  <x:si>
    <x:t xml:space="preserve">R274</x:t>
  </x:si>
  <x:si>
    <x:t xml:space="preserve">Ржанова И., Алексеева О. Различия ценностей мужчин и женщин // Психологические исследования. 2017. Т. 10. № 55. С. 8. https://doi.org/10.54359/ps.v10i55.353 EDN: ZTTDXZ</x:t>
  </x:si>
  <x:si>
    <x:t xml:space="preserve">Ржанова И., Алексеева О. Различия ценностей мужчин и женщин // Психологические исследования. — 2017. — Т. 10. — № 55. — С. 8. — URL: https://psystudy.ru/index.php/num/article/view/353 (дата обращения: 27.10.2026).</x:t>
  </x:si>
  <x:si>
    <x:t xml:space="preserve">Ржанова И. | Алексеева О.</x:t>
  </x:si>
  <x:si>
    <x:t xml:space="preserve">Различия ценностей мужчин и женщин</x:t>
  </x:si>
  <x:si>
    <x:t xml:space="preserve">Психологические исследования</x:t>
  </x:si>
  <x:si>
    <x:t xml:space="preserve">55</x:t>
  </x:si>
  <x:si>
    <x:t xml:space="preserve">https://doi.org/10.54359/ps.v10i55.353</x:t>
  </x:si>
  <x:si>
    <x:t xml:space="preserve">10.54359/ps.v10i55.353</x:t>
  </x:si>
  <x:si>
    <x:t xml:space="preserve">ZTTDXZ</x:t>
  </x:si>
  <x:si>
    <x:t xml:space="preserve">https://psystudy.ru/index.php/num/article/view/353</x:t>
  </x:si>
  <x:si>
    <x:t xml:space="preserve">Различия ценностей мужчин и женщин | Различия ценностей мужчин и женщин | 
		Различия ценностей мужчин и женщин
							| Психологические исследования</x:t>
  </x:si>
  <x:si>
    <x:t xml:space="preserve">HTTP 200; проверка объекта 27.10.2026; https://psystudy.ru/index.php/num/article/view/353</x:t>
  </x:si>
  <x:si>
    <x:t xml:space="preserve">R275</x:t>
  </x:si>
  <x:si>
    <x:t xml:space="preserve">Григорьев Д.С., Галлямова А.А., Комягинская Е.Ш. Как стать россиянином? Содержание национальной идентичности, определяющее социальные маркеры принятия иммигрантов в России // Вестник Российского университета дружбы народов. Серия: Психология и педагогика. 2023. Т. 20. № 4. C. 675–696. https://doi.org/10.22363/2313-1683-2023-20-4-675-696 EDN: UZTYXS</x:t>
  </x:si>
  <x:si>
    <x:t xml:space="preserve">Григорьев Д. С., Галлямова А. А., Комягинская Е. Ш. Как стать россиянином? Содержание национальной идентичности, определяющее социальные маркеры принятия иммигрантов в России // Вестник Российского университета дружбы народов. Серия: Психология и педагогика. — 2023. — Т. 20. — № 4. — С. 675–696. — URL: https://journals.rudn.ru/psychology-pedagogics/article/view/40381 (дата обращения: 27.10.2026).</x:t>
  </x:si>
  <x:si>
    <x:t xml:space="preserve">Григорьев Д. С. | Галлямова А. А. | Комягинская Е. Ш.</x:t>
  </x:si>
  <x:si>
    <x:t xml:space="preserve">Как стать россиянином? Содержание национальной идентичности, определяющее социальные маркеры принятия иммигрантов в России</x:t>
  </x:si>
  <x:si>
    <x:t xml:space="preserve">675–696</x:t>
  </x:si>
  <x:si>
    <x:t xml:space="preserve">https://doi.org/10.22363/2313-1683-2023-20-4-675-696</x:t>
  </x:si>
  <x:si>
    <x:t xml:space="preserve">https://journals.rudn.ru/psychology-pedagogics/article/view/50471?setLocale=ru_RU#articleCitations</x:t>
  </x:si>
  <x:si>
    <x:t xml:space="preserve">10.22363/2313-1683-2023-20-4-675-696</x:t>
  </x:si>
  <x:si>
    <x:t xml:space="preserve">Integration and Adaptation of Migrants in the Modern World: Rethinking Classical Models and Searching for New Solutions</x:t>
  </x:si>
  <x:si>
    <x:t xml:space="preserve">UZTYXS</x:t>
  </x:si>
  <x:si>
    <x:t xml:space="preserve">https://journals.rudn.ru/psychology-pedagogics/article/view/50471</x:t>
  </x:si>
  <x:si>
    <x:t xml:space="preserve">https://journals.rudn.ru/psychology-pedagogics/article/view/40381</x:t>
  </x:si>
  <x:si>
    <x:t xml:space="preserve">Becoming a Member of the Russian Nation: The Content of National Identity Underlying the Social Markers of Acceptance for Immigrants in Russia | Becoming a Member of the Russian Nation: The Content of National Identity Underlying the Social Markers of Acceptance for Immigrants in Russia | Как стать россиянином? Содержание национальной идентичности, определяющее социальные маркеры принятия иммигрантов в России | Becoming a Member of the Russian Nation: The Content of National Identity Underlying the Social Markers of Acceptance for Immigrants in Russia | Как стать россиянином? Содержание национальной идентичности, определяющее социальные маркеры принятия иммигрантов в России | Becoming a Memb</x:t>
  </x:si>
  <x:si>
    <x:t xml:space="preserve">HTTP 200; проверка объекта 27.10.2026; https://journals.rudn.ru/psychology-pedagogics/article/view/40381</x:t>
  </x:si>
  <x:si>
    <x:t xml:space="preserve">R276</x:t>
  </x:si>
  <x:si>
    <x:t xml:space="preserve">Слабинский В.Ю. Вклад А.Ф. Лазурского в становление Петербургской (Ленинградской) школы психотерапии: к 150-летию со дня рождения // Вестник Российского университета дружбы народов. Серия: Психология и педагогика, 2024. Т. 21. № 3. С. 949–959. http://doi.org/10.22363/2313-1683-2024-21-3-949-959 EDN: HUIZSY</x:t>
  </x:si>
  <x:si>
    <x:t xml:space="preserve">Слабинский В. Ю. Вклад А.Ф. Лазурского в становление Петербургской (Ленинградской) школы психотерапии : к 150-летию со дня рождения // Вестник Российского университета дружбы народов. Серия: Психология и педагогика. — 2024. — Т. 21. — № 3. — С. 949–959. — URL: https://journals.rudn.ru/psychology-pedagogics/article/view/43766 (дата обращения: 27.10.2026).</x:t>
  </x:si>
  <x:si>
    <x:t xml:space="preserve">Слабинский В. Ю.</x:t>
  </x:si>
  <x:si>
    <x:t xml:space="preserve">Вклад А.Ф. Лазурского в становление Петербургской (Ленинградской) школы психотерапии: к 150-летию со дня рождения</x:t>
  </x:si>
  <x:si>
    <x:t xml:space="preserve">949–959</x:t>
  </x:si>
  <x:si>
    <x:t xml:space="preserve">http://doi.org/10.22363/2313-1683-2024-21-3-949-959</x:t>
  </x:si>
  <x:si>
    <x:t xml:space="preserve">https://journals.rudn.ru/psychology-pedagogics/article/view/50475?setLocale=ru_RU#articleCitations</x:t>
  </x:si>
  <x:si>
    <x:t xml:space="preserve">10.22363/2313-1683-2024-21-3-949-959</x:t>
  </x:si>
  <x:si>
    <x:t xml:space="preserve">Vera Siegel: A Strong Woman in Fateful Times. On the 140th Anniversary of Her Birth</x:t>
  </x:si>
  <x:si>
    <x:t xml:space="preserve">HUIZSY</x:t>
  </x:si>
  <x:si>
    <x:t xml:space="preserve">https://journals.rudn.ru/psychology-pedagogics/article/view/50475</x:t>
  </x:si>
  <x:si>
    <x:t xml:space="preserve">https://journals.rudn.ru/psychology-pedagogics/article/view/43766</x:t>
  </x:si>
  <x:si>
    <x:t xml:space="preserve">A.F. Lazursky’s Contribution to the Formation of the Petersburg (Leningrad) School of Psychotherapy: On the 150th Anniversary of His Birth | A.F. Lazursky’s Contribution to the Formation of the Petersburg (Leningrad) School of Psychotherapy: On the 150th Anniversary of His Birth | Вклад А.Ф. Лазурского в становление Петербургской (Ленинградской) школы психотерапии: к 150-летию со дня рождения | A.F. Lazursky’s Contribution to the Formation of the Petersburg (Leningrad) School of Psychotherapy: On the 150th Anniversary of His Birth | Вклад А.Ф. Лазурского в становление Петербургской (Ленинградской) школы психотерапии: к 150-летию со дня рождения | A.F. Lazursky’s Contribution to the Formation</x:t>
  </x:si>
  <x:si>
    <x:t xml:space="preserve">HTTP 200; проверка объекта 27.10.2026; https://journals.rudn.ru/psychology-pedagogics/article/view/43766</x:t>
  </x:si>
  <x:si>
    <x:t xml:space="preserve">R277</x:t>
  </x:si>
  <x:si>
    <x:t xml:space="preserve">Конколь М.М., Марьина Е.Д. Методологические основания системы метацифровой компетентности (на примере языкового образования) // Образование и наука. 2025. Т. 27. № 9. С. 9-29. https://doi.org/10.17853/1994-5639-2025-9-9-29 EDN: JDKCXN</x:t>
  </x:si>
  <x:si>
    <x:t xml:space="preserve">Конколь М. М., Марьина Е. Д. Методологические основания системы метацифровой компетентности (на примере языкового образования) // Образование и наука. — 2025. — Т. 27. — № 9. — С. 9–29. — URL: https://www.edscience.ru/jour/article/view/4670 (дата обращения: 27.10.2026).</x:t>
  </x:si>
  <x:si>
    <x:t xml:space="preserve">Конколь М. М. | Марьина Е. Д.</x:t>
  </x:si>
  <x:si>
    <x:t xml:space="preserve">Методологические основания системы метацифровой компетентности (на примере языкового образования)</x:t>
  </x:si>
  <x:si>
    <x:t xml:space="preserve">Образование и наука</x:t>
  </x:si>
  <x:si>
    <x:t xml:space="preserve">9–29</x:t>
  </x:si>
  <x:si>
    <x:t xml:space="preserve">https://doi.org/10.17853/1994-5639-2025-9-9-29</x:t>
  </x:si>
  <x:si>
    <x:t xml:space="preserve">https://journals.rudn.ru/psychology-pedagogics/article/view/52998?setLocale=ru_RU#articleCitations</x:t>
  </x:si>
  <x:si>
    <x:t xml:space="preserve">10.17853/1994-5639-2025-9-9-29</x:t>
  </x:si>
  <x:si>
    <x:t xml:space="preserve">University Students’ Readiness to Interact with Artificial Intelligence: An Empirical Study Based on the Components of Meta-Digital Competence</x:t>
  </x:si>
  <x:si>
    <x:t xml:space="preserve">JDKCXN</x:t>
  </x:si>
  <x:si>
    <x:t xml:space="preserve">https://journals.rudn.ru/psychology-pedagogics/article/view/52998</x:t>
  </x:si>
  <x:si>
    <x:t xml:space="preserve">https://www.edscience.ru/jour/article/view/4670</x:t>
  </x:si>
  <x:si>
    <x:t xml:space="preserve">Методологические основания системы метацифровой компетентности (на примере языкового образования) | Конколь | Образование и наука | Методологические основания системы метацифровой компетентности (на примере языкового образования) | Methodological foundations of the meta-digital competence system: a case study in language education | Методологические основания системы метацифровой компетентности (на примере языкового образования) | Методологические основания системы метацифровой компетентности (на примере языкового образования) | Конколь | Образование и наука</x:t>
  </x:si>
  <x:si>
    <x:t xml:space="preserve">HTTP 200; проверка объекта 27.10.2026; https://www.edscience.ru/jour/article/view/4670</x:t>
  </x:si>
  <x:si>
    <x:t xml:space="preserve">R278</x:t>
  </x:si>
  <x:si>
    <x:t xml:space="preserve">Кузьминов Я.И., Кручинская Е.В., Груздев И.А., Наумов А.А. Отстающие и опережающие: как студенты используют генеративный искусственный интеллект в образовательных целях // Высшее образование в России. 2025. Т. 34. № 6. С. 9-35. https://doi.org/10.31992/0869-3617-2025-34-6-9-35 EDN: RXDTXQ</x:t>
  </x:si>
  <x:si>
    <x:t xml:space="preserve">Отстающие и опережающие : как студенты используют генеративный искусственный интеллект в образовательных целях / Я. И. Кузьминов, Е. В. Кручинская, И. А. Груздев, А. А. Наумов // Высшее образование в России. — 2025. — Т. 34. — № 6. — С. 9–35. — URL: https://vovr.elpub.ru/jour/article/view/5643 (дата обращения: 27.10.2026).</x:t>
  </x:si>
  <x:si>
    <x:t xml:space="preserve">Кузьминов Я. И. | Кручинская Е. В. | Груздев И. А. | Наумов А. А.</x:t>
  </x:si>
  <x:si>
    <x:t xml:space="preserve">Отстающие и опережающие: как студенты используют генеративный искусственный интеллект в образовательных целях</x:t>
  </x:si>
  <x:si>
    <x:t xml:space="preserve">9–35</x:t>
  </x:si>
  <x:si>
    <x:t xml:space="preserve">https://doi.org/10.31992/0869-3617-2025-34-6-9-35</x:t>
  </x:si>
  <x:si>
    <x:t xml:space="preserve">10.31992/0869-3617-2025-34-6-9-35</x:t>
  </x:si>
  <x:si>
    <x:t xml:space="preserve">RXDTXQ</x:t>
  </x:si>
  <x:si>
    <x:t xml:space="preserve">https://vovr.elpub.ru/jour/article/view/5643</x:t>
  </x:si>
  <x:si>
    <x:t xml:space="preserve">Отстающие и опережающие: как студенты используют генеративный искусственный интеллект в образовательных целях | Кузьминов | Высшее образование в России  (Vysshee obrazovanie v Rossii = Higher Education in Russia) | Отстающие и опережающие: как студенты используют генеративный искусственный интеллект в образовательных целях | Falling Behind and Getting Ahead: Student Use of Generative AI in Education | Отстающие и опережающие: как студенты используют генеративный искусственный интеллект в образовательных целях | Отстающие и опережающие: как студенты используют генеративный искусственный интеллект в образовательных целях | Кузьминов | Высшее образование в России  (Vysshee obrazovanie v Rossii</x:t>
  </x:si>
  <x:si>
    <x:t xml:space="preserve">HTTP 200; проверка объекта 27.10.2026; https://vovr.elpub.ru/jour/article/view/5643</x:t>
  </x:si>
  <x:si>
    <x:t xml:space="preserve">Проверка оформления Михаилом: достаточно данных — Да. Открылась страница статьи; DOI на странице совпал с DOI строки. Источник: Подтверждения_28_10_2026.html. Исходный вариант Михаила до последующего переноса: Отстающие и опережающие: как студенты используют генеративный искусственный интеллект в образовательных целях / Я. И. Кузьминов, Е. В. Кручинская, И. А. Груздев [и др.] // Высшее образование в России. — 2025. — Т. 34, № 6. — С. 9–35. — URL: https://vovr.elpub.ru/jour/article/view/5643 (дата обращения: 27.10.2026).</x:t>
  </x:si>
  <x:si>
    <x:t xml:space="preserve">R279</x:t>
  </x:si>
  <x:si>
    <x:t xml:space="preserve">Зубок Ю.А. Проблемы социального развития молодежи в условиях риска // Социологические исследования. 2003. № 4 (228). С. 42-51. EDN: OOOSZJ</x:t>
  </x:si>
  <x:si>
    <x:t xml:space="preserve">Зубок Ю. А. Проблемы социального развития молодежи в условиях риска // Социологические исследования. — 2003. — № 4 (228). — С. 42–51.</x:t>
  </x:si>
  <x:si>
    <x:t xml:space="preserve">Зубок Ю. А.</x:t>
  </x:si>
  <x:si>
    <x:t xml:space="preserve">Проблемы социального развития молодежи в условиях риска</x:t>
  </x:si>
  <x:si>
    <x:t xml:space="preserve">Социологические исследования</x:t>
  </x:si>
  <x:si>
    <x:t xml:space="preserve">4 (228)</x:t>
  </x:si>
  <x:si>
    <x:t xml:space="preserve">42–51</x:t>
  </x:si>
  <x:si>
    <x:t xml:space="preserve">https://journals.rudn.ru/psychology-pedagogics/article/view/52999?setLocale=ru_RU#articleCitations</x:t>
  </x:si>
  <x:si>
    <x:t xml:space="preserve">Russian Experience of Socially Useful Activities in Preventing Schoolchildren’s Deviations: A Socio-Legal and Pedagogical Perspective</x:t>
  </x:si>
  <x:si>
    <x:t xml:space="preserve">OOOSZJ</x:t>
  </x:si>
  <x:si>
    <x:t xml:space="preserve">https://journals.rudn.ru/psychology-pedagogics/article/view/52999</x:t>
  </x:si>
  <x:si>
    <x:t xml:space="preserve">R280</x:t>
  </x:si>
  <x:si>
    <x:t xml:space="preserve">Ковалева А.И. Концепция социализации молодежи: нормы, отклонения, социализационная траектория // Социологические исследования. 2003. № 1 (225). С. 109-115. EDN: OOMWYX</x:t>
  </x:si>
  <x:si>
    <x:t xml:space="preserve">Ковалева А. И. Концепция социализации молодежи : нормы, отклонения, социализационная траектория // Социологические исследования. — 2003. — № 1 (225). — С. 109–115.</x:t>
  </x:si>
  <x:si>
    <x:t xml:space="preserve">Ковалева А. И.</x:t>
  </x:si>
  <x:si>
    <x:t xml:space="preserve">Концепция социализации молодежи: нормы, отклонения, социализационная траектория</x:t>
  </x:si>
  <x:si>
    <x:t xml:space="preserve">1 (225)</x:t>
  </x:si>
  <x:si>
    <x:t xml:space="preserve">109–115</x:t>
  </x:si>
  <x:si>
    <x:t xml:space="preserve">OOMWYX</x:t>
  </x:si>
  <x:si>
    <x:t xml:space="preserve">R281</x:t>
  </x:si>
  <x:si>
    <x:t xml:space="preserve">Нечаева Т.К. Привлекаем добровольных помощников // Независимый библиотечный адво­кат. 2022. № 2. С. 26-32.</x:t>
  </x:si>
  <x:si>
    <x:t xml:space="preserve">Нечаева Т. К. Привлекаем добровольных помощников // Независимый библиотечный адво­кат. — 2022. — № 2. — С. 26–32.</x:t>
  </x:si>
  <x:si>
    <x:t xml:space="preserve">Нечаева Т. К.</x:t>
  </x:si>
  <x:si>
    <x:t xml:space="preserve">Привлекаем добровольных помощников</x:t>
  </x:si>
  <x:si>
    <x:t xml:space="preserve">Независимый библиотечный адво­кат</x:t>
  </x:si>
  <x:si>
    <x:t xml:space="preserve">26–32</x:t>
  </x:si>
  <x:si>
    <x:t xml:space="preserve">R282</x:t>
  </x:si>
  <x:si>
    <x:t xml:space="preserve">Перешеина Н.В., Застровцева М.Н. Девиантный школьник : профилактика и коррекция отклонений. Москва : ТЦ Сфера, 2006. 192 с. EDN: QVDIJH</x:t>
  </x:si>
  <x:si>
    <x:t xml:space="preserve">Перешеина Н. В., Застровцева М. Н. Девиантный школьник : профилактика и коррекция отклонений. — Москва : ТЦ Сфера, 2006. — 192 с.</x:t>
  </x:si>
  <x:si>
    <x:t xml:space="preserve">Перешеина Н. В. | Застровцева М. Н.</x:t>
  </x:si>
  <x:si>
    <x:t xml:space="preserve">Девиантный школьник : профилактика и коррекция отклонений</x:t>
  </x:si>
  <x:si>
    <x:t xml:space="preserve">ТЦ Сфера</x:t>
  </x:si>
  <x:si>
    <x:t xml:space="preserve">QVDIJH</x:t>
  </x:si>
  <x:si>
    <x:t xml:space="preserve">R283</x:t>
  </x:si>
  <x:si>
    <x:t xml:space="preserve">Плотникова В.А., Бухаленкова Д.А., Чичинина Е.А. Взаимосвязь предпочитаемых типов цифровых игр и регуляторных функций у детей 6-7 лет // Психологическая наука и образование. 2023. Т. 28. № 4. С. 32-51. https://doi.org/10.17759/pse.2023280402 EDN: IBULZU</x:t>
  </x:si>
  <x:si>
    <x:t xml:space="preserve">Плотникова В. А., Бухаленкова Д. А., Чичинина Е. А. Взаимосвязь предпочитаемых типов цифровых игр и регуляторных функций у детей 6-7 лет // Психологическая наука и образование. — 2023. — Т. 28. — № 4. — С. 32–51. — URL: https://psyjournals.ru/en/journals/pse/archive/2023_n4/Plotnikova_et_al (дата обращения: 27.10.2026).</x:t>
  </x:si>
  <x:si>
    <x:t xml:space="preserve">Плотникова В. А. | Бухаленкова Д. А. | Чичинина Е. А.</x:t>
  </x:si>
  <x:si>
    <x:t xml:space="preserve">Взаимосвязь предпочитаемых типов цифровых игр и регуляторных функций у детей 6-7 лет</x:t>
  </x:si>
  <x:si>
    <x:t xml:space="preserve">32–51</x:t>
  </x:si>
  <x:si>
    <x:t xml:space="preserve">https://doi.org/10.17759/pse.2023280402</x:t>
  </x:si>
  <x:si>
    <x:t xml:space="preserve">https://journals.rudn.ru/psychology-pedagogics/article/view/53001?setLocale=ru_RU#articleCitations</x:t>
  </x:si>
  <x:si>
    <x:t xml:space="preserve">10.17759/pse.2023280402</x:t>
  </x:si>
  <x:si>
    <x:t xml:space="preserve">Questionnaire for Retrospective Assessment of Play Activity in Preschool Age: Development and Validation Testing</x:t>
  </x:si>
  <x:si>
    <x:t xml:space="preserve">IBULZU</x:t>
  </x:si>
  <x:si>
    <x:t xml:space="preserve">https://journals.rudn.ru/psychology-pedagogics/article/view/53001</x:t>
  </x:si>
  <x:si>
    <x:t xml:space="preserve">https://psyjournals.ru/en/journals/pse/archive/2023_n4/Plotnikova_et_al</x:t>
  </x:si>
  <x:si>
    <x:t xml:space="preserve">The Relationship of the Preferred Types of Digital Games and Executive Functions in 6-7-Year-Old Children | The Relationship of the Preferred Types of Digital Games and Executive Functions in 6-7-Year-Old Children // Psychological Science and Education — 2023. Vol. 28, no. 4 | The Relationship of the Preferred Types of Digital Games and Executive Functions in 6-7-Year-Old Children // Psychological Science and Education — 2023. Vol. 28, no. 4 | PsyJournals.ru</x:t>
  </x:si>
  <x:si>
    <x:t xml:space="preserve">HTTP 200; проверка объекта 27.10.2026; https://psyjournals.ru/en/journals/pse/archive/2023_n4/Plotnikova_et_al</x:t>
  </x:si>
  <x:si>
    <x:t xml:space="preserve">R284</x:t>
  </x:si>
  <x:si>
    <x:t xml:space="preserve">Шварц Ш., Бутенко Т.П., Седова Д.С., Липатова А.С. Уточненная теория базовых индивидуальных ценностей: применение в России // Психология. Журнал Высшей школы экономики. 2012. Т. 9. № 2. С. 43-70. EDN: QYXAEH</x:t>
  </x:si>
  <x:si>
    <x:t xml:space="preserve">Уточненная теория базовых индивидуальных ценностей : применение в России / Ш. Шварц, Т. П. Бутенко, Д. С. Седова, А. С. Липатова // Психология. Журнал Высшей школы экономики. — 2012. — Т. 9. — № 2. — С. 43–70.</x:t>
  </x:si>
  <x:si>
    <x:t xml:space="preserve">Шварц Ш. | Бутенко Т. П. | Седова Д. С. | Липатова А. С.</x:t>
  </x:si>
  <x:si>
    <x:t xml:space="preserve">Уточненная теория базовых индивидуальных ценностей: применение в России</x:t>
  </x:si>
  <x:si>
    <x:t xml:space="preserve">43–70</x:t>
  </x:si>
  <x:si>
    <x:t xml:space="preserve">https://journals.rudn.ru/psychology-pedagogics/article/view/53002?setLocale=ru_RU#articleCitations</x:t>
  </x:si>
  <x:si>
    <x:t xml:space="preserve">Relationship between of the City Visual Image Psychosemantic Assessments and Individual Values of Its Citizens: A Study of Krasnodar Residents</x:t>
  </x:si>
  <x:si>
    <x:t xml:space="preserve">QYXAEH</x:t>
  </x:si>
  <x:si>
    <x:t xml:space="preserve">https://journals.rudn.ru/psychology-pedagogics/article/view/53002</x:t>
  </x:si>
  <x:si>
    <x:t xml:space="preserve">Проверка оформления Михаилом: достаточно данных — Да. Исходный вариант Михаила до последующего переноса: Уточненная теория базовых индивидуальных ценностей: применение в России / Ш. Шварц, Т. П. Бутенко, Д. С. Седова [и др.] // Психология. Журнал Высшей школы экономики. — 2012. — Т. 9, № 2. — С. 43–70.</x:t>
  </x:si>
  <x:si>
    <x:t xml:space="preserve">R285</x:t>
  </x:si>
  <x:si>
    <x:t xml:space="preserve">Балабанова Е.С., Молчанова Д.А. Труд в условиях удаленной и гибридной занятости (на примере работников IT-компаний) // Вестник Санкт-Петербургского университета. Социология. 2022. Т. 15. № 1. С. 3-25. https://doi.org/10.21638/spbu12.2022.101 EDN: REROUN</x:t>
  </x:si>
  <x:si>
    <x:t xml:space="preserve">Балабанова Е. С., Молчанова Д. А. Труд в условиях удаленной и гибридной занятости (на примере работников IT-компаний) // Вестник Санкт-Петербургского университета. Социология. — 2022. — Т. 15. — № 1. — С. 3–25. — URL: https://sociologyjournal.spbu.ru/article/view/spbu12.2022.101 (дата обращения: 27.10.2026).</x:t>
  </x:si>
  <x:si>
    <x:t xml:space="preserve">Балабанова Е. С. | Молчанова Д. А.</x:t>
  </x:si>
  <x:si>
    <x:t xml:space="preserve">Труд в условиях удаленной и гибридной занятости (на примере работников IT-компаний)</x:t>
  </x:si>
  <x:si>
    <x:t xml:space="preserve">Вестник Санкт-Петербургского университета. Социология</x:t>
  </x:si>
  <x:si>
    <x:t xml:space="preserve">15</x:t>
  </x:si>
  <x:si>
    <x:t xml:space="preserve">3–25</x:t>
  </x:si>
  <x:si>
    <x:t xml:space="preserve">https://doi.org/10.21638/spbu12.2022.101</x:t>
  </x:si>
  <x:si>
    <x:t xml:space="preserve">https://journals.rudn.ru/psychology-pedagogics/article/view/53003?setLocale=ru_RU#articleCitations</x:t>
  </x:si>
  <x:si>
    <x:t xml:space="preserve">10.21638/spbu12.2022.101</x:t>
  </x:si>
  <x:si>
    <x:t xml:space="preserve">Occupational Well-Being and Work-Related Stressors in Software Professionals</x:t>
  </x:si>
  <x:si>
    <x:t xml:space="preserve">REROUN</x:t>
  </x:si>
  <x:si>
    <x:t xml:space="preserve">https://journals.rudn.ru/psychology-pedagogics/article/view/53003</x:t>
  </x:si>
  <x:si>
    <x:t xml:space="preserve">https://sociologyjournal.spbu.ru/article/view/spbu12.2022.101</x:t>
  </x:si>
  <x:si>
    <x:t xml:space="preserve">Труд в условиях удаленной и гибридной занятости (на примере работников IT-компаний)  | Труд в условиях удаленной и гибридной занятости (на примере работников IT-компаний)  | Труд в условиях удаленной и гибридной занятости (на примере работников IT-компаний)  | 
		Труд в условиях удаленной и гибридной занятости (на примере работников IT-компаний) 
							| Вестник Санкт-Петербургского университета. Социология</x:t>
  </x:si>
  <x:si>
    <x:t xml:space="preserve">HTTP 200; проверка объекта 27.10.2026; https://sociologyjournal.spbu.ru/article/view/spbu12.2022.101</x:t>
  </x:si>
  <x:si>
    <x:t xml:space="preserve">R286</x:t>
  </x:si>
  <x:si>
    <x:t xml:space="preserve">Водопьянова Н.Е., Патраков Э.В., Чижкова Е.А., Бугулиев Л.Г. Личностные корреляты выгорания IT-специалистов // Азимут научных исследований: педагогика и психология. 2023. Т. 12. № 3. С. 120-124. https://doi.org 10.57145/27128474_2023_12_03_28 EDN: WYXCZQ</x:t>
  </x:si>
  <x:si>
    <x:t xml:space="preserve">Личностные корреляты выгорания IT-специалистов / Н. Е. Водопьянова, Э. В. Патраков, Е. А. Чижкова, Л. Г. Бугулиев // Азимут научных исследований: педагогика и психология. — 2023. — Т. 12. — № 3. — С. 120–124.</x:t>
  </x:si>
  <x:si>
    <x:t xml:space="preserve">Водопьянова Н. Е. | Патраков Э. В. | Чижкова Е. А. | Бугулиев Л. Г.</x:t>
  </x:si>
  <x:si>
    <x:t xml:space="preserve">Личностные корреляты выгорания IT-специалистов</x:t>
  </x:si>
  <x:si>
    <x:t xml:space="preserve">Азимут научных исследований: педагогика и психология</x:t>
  </x:si>
  <x:si>
    <x:t xml:space="preserve">120–124</x:t>
  </x:si>
  <x:si>
    <x:t xml:space="preserve">https://doi.org</x:t>
  </x:si>
  <x:si>
    <x:t xml:space="preserve">10.57145/27128474_2023_12_03_28</x:t>
  </x:si>
  <x:si>
    <x:t xml:space="preserve">WYXCZQ</x:t>
  </x:si>
  <x:si>
    <x:t xml:space="preserve">R287</x:t>
  </x:si>
  <x:si>
    <x:t xml:space="preserve">Водопьянова Н.Е., Старченкова Е.С., Наследов А.Д. Стандартизированный опросник «Профессиональное выгорание» для специалистов социономических профессий // Вестник СПбГУ. Серия 12. Психология. Социология. Педагогика. 2013. № 4. С. 17-26. EDN: RWMZCV</x:t>
  </x:si>
  <x:si>
    <x:t xml:space="preserve">Водопьянова Н. Е., Старченкова Е. С., Наследов А. Д. Стандартизированный опросник «Профессиональное выгорание» для специалистов социономических профессий // Вестник СПбГУ. Серия 12. Психология. Социология. Педагогика. — 2013. — № 4. — С. 17–26.</x:t>
  </x:si>
  <x:si>
    <x:t xml:space="preserve">Водопьянова Н. Е. | Старченкова Е. С. | Наследов А. Д.</x:t>
  </x:si>
  <x:si>
    <x:t xml:space="preserve">Стандартизированный опросник «Профессиональное выгорание» для специалистов социономических профессий</x:t>
  </x:si>
  <x:si>
    <x:t xml:space="preserve">Вестник СПбГУ. Серия 12. Психология. Социология. Педагогика</x:t>
  </x:si>
  <x:si>
    <x:t xml:space="preserve">17–26</x:t>
  </x:si>
  <x:si>
    <x:t xml:space="preserve">RWMZCV</x:t>
  </x:si>
  <x:si>
    <x:t xml:space="preserve">R288</x:t>
  </x:si>
  <x:si>
    <x:t xml:space="preserve">Мухаев Р.Т. Государственное и муниципальное управление. М. : ИНФРА-М, 2024. 477 с. https://doi.org/10.12737/2125206 EDN: WYNWSA</x:t>
  </x:si>
  <x:si>
    <x:t xml:space="preserve">Мухаев Р. Т. Государственное и муниципальное управление. — Москва : ИНФРА-М, 2024. — 477 с.</x:t>
  </x:si>
  <x:si>
    <x:t xml:space="preserve">Мухаев Р. Т.</x:t>
  </x:si>
  <x:si>
    <x:t xml:space="preserve">Государственное и муниципальное управление</x:t>
  </x:si>
  <x:si>
    <x:t xml:space="preserve">477</x:t>
  </x:si>
  <x:si>
    <x:t xml:space="preserve">ИНФРА-М</x:t>
  </x:si>
  <x:si>
    <x:t xml:space="preserve">https://doi.org/10.12737/2125206</x:t>
  </x:si>
  <x:si>
    <x:t xml:space="preserve">https://journals.rudn.ru/public-administration/article/view/45813?setLocale=ru_RU#articleCitations</x:t>
  </x:si>
  <x:si>
    <x:t xml:space="preserve">10.12737/2125206</x:t>
  </x:si>
  <x:si>
    <x:t xml:space="preserve">Modern governments: in search of a relevant model of the public administration system</x:t>
  </x:si>
  <x:si>
    <x:t xml:space="preserve">WYNWSA</x:t>
  </x:si>
  <x:si>
    <x:t xml:space="preserve">https://journals.rudn.ru/public-administration/article/view/45813</x:t>
  </x:si>
  <x:si>
    <x:t xml:space="preserve">R289</x:t>
  </x:si>
  <x:si>
    <x:t xml:space="preserve">Шаблинский И.Г. Политическая и конституционная ответственность: некоторые аспекты соотношения // Вопросы правоведения. 2013. № 5 (21). С. 59–71. EDN: SNJCHF</x:t>
  </x:si>
  <x:si>
    <x:t xml:space="preserve">Шаблинский И. Г. Политическая и конституционная ответственность : некоторые аспекты соотношения // Вопросы правоведения. — 2013. — № 5 (21). — С. 59–71.</x:t>
  </x:si>
  <x:si>
    <x:t xml:space="preserve">Шаблинский И. Г.</x:t>
  </x:si>
  <x:si>
    <x:t xml:space="preserve">Политическая и конституционная ответственность: некоторые аспекты соотношения</x:t>
  </x:si>
  <x:si>
    <x:t xml:space="preserve">Вопросы правоведения</x:t>
  </x:si>
  <x:si>
    <x:t xml:space="preserve">5 (21)</x:t>
  </x:si>
  <x:si>
    <x:t xml:space="preserve">59–71</x:t>
  </x:si>
  <x:si>
    <x:t xml:space="preserve">SNJCHF</x:t>
  </x:si>
  <x:si>
    <x:t xml:space="preserve">Проверка оформления Михаилом: достаточно данных — Да. Исходный вариант Михаила до последующего переноса: Шаблинский, И. Г. Политическая и конституционная ответственность: некоторые аспекты соотношения // Вопросы правоведения. — 2013. — № 5 (21). — С. 59–71.</x:t>
  </x:si>
  <x:si>
    <x:t xml:space="preserve">R290</x:t>
  </x:si>
  <x:si>
    <x:t xml:space="preserve">Чепус А.В. Конституционно-­правовая ответственность исполнительной власти в России и странах Европы // Актуальные проблемы российского права. 2015. № 10 (59). С. 186–192. https://doi.org/10.17803/1994-1471.2015.59.10.186-192 EDN: UXMTTB</x:t>
  </x:si>
  <x:si>
    <x:t xml:space="preserve">Чепус А. В. Конституционно-­правовая ответственность исполнительной власти в России и странах Европы // Актуальные проблемы российского права. — 2015. — № 10 (59). — С. 186–192.</x:t>
  </x:si>
  <x:si>
    <x:t xml:space="preserve">Чепус А. В.</x:t>
  </x:si>
  <x:si>
    <x:t xml:space="preserve">Конституционно-­правовая ответственность исполнительной власти в России и странах Европы</x:t>
  </x:si>
  <x:si>
    <x:t xml:space="preserve">Актуальные проблемы российского права</x:t>
  </x:si>
  <x:si>
    <x:t xml:space="preserve">10 (59)</x:t>
  </x:si>
  <x:si>
    <x:t xml:space="preserve">186–192</x:t>
  </x:si>
  <x:si>
    <x:t xml:space="preserve">https://doi.org/10.17803/1994-1471.2015.59.10.186-192</x:t>
  </x:si>
  <x:si>
    <x:t xml:space="preserve">10.17803/1994-1471.2015.59.10.186-192</x:t>
  </x:si>
  <x:si>
    <x:t xml:space="preserve">UXMTTB</x:t>
  </x:si>
  <x:si>
    <x:t xml:space="preserve">R291</x:t>
  </x:si>
  <x:si>
    <x:t xml:space="preserve">Найденов В.С., Бажал Ю.Н., Ерохин С.А. Планирование интенсивного развития общественного производства. М. : Высшая школа, 1990. 223 с.</x:t>
  </x:si>
  <x:si>
    <x:t xml:space="preserve">Найденов В. С., Бажал Ю. Н., Ерохин С. А. Планирование интенсивного развития общественного производства. — Москва : Высшая школа, 1990. — 223 с.</x:t>
  </x:si>
  <x:si>
    <x:t xml:space="preserve">Найденов В. С. | Бажал Ю. Н. | Ерохин С. А.</x:t>
  </x:si>
  <x:si>
    <x:t xml:space="preserve">Планирование интенсивного развития общественного производства</x:t>
  </x:si>
  <x:si>
    <x:t xml:space="preserve">https://journals.rudn.ru/public-administration/article/view/45814?setLocale=ru_RU#articleCitations</x:t>
  </x:si>
  <x:si>
    <x:t xml:space="preserve">National projects 2019-2024: “Comprehensive plan for the modernization and expansion of main infrastructure” and “Ecology”: selected implementation results, challenges, and institutional aspects</x:t>
  </x:si>
  <x:si>
    <x:t xml:space="preserve">https://journals.rudn.ru/public-administration/article/view/45814</x:t>
  </x:si>
  <x:si>
    <x:t xml:space="preserve">R292</x:t>
  </x:si>
  <x:si>
    <x:t xml:space="preserve">Мачерет Д.А. Экономические записки об отечественных железных дорогах // Отечественные записки. 2013. № 3 (54). С. 162–178. EDN: RWIPDT</x:t>
  </x:si>
  <x:si>
    <x:t xml:space="preserve">Мачерет Д. А. Экономические записки об отечественных железных дорогах // Отечественные записки. — 2013. — № 3 (54). — С. 162–178.</x:t>
  </x:si>
  <x:si>
    <x:t xml:space="preserve">Мачерет Д. А.</x:t>
  </x:si>
  <x:si>
    <x:t xml:space="preserve">Экономические записки об отечественных железных дорогах</x:t>
  </x:si>
  <x:si>
    <x:t xml:space="preserve">Отечественные записки</x:t>
  </x:si>
  <x:si>
    <x:t xml:space="preserve">162–178</x:t>
  </x:si>
  <x:si>
    <x:t xml:space="preserve">RWIPDT</x:t>
  </x:si>
  <x:si>
    <x:t xml:space="preserve">R293</x:t>
  </x:si>
  <x:si>
    <x:t xml:space="preserve">Ускова Т.В. Транспортная инфраструктура как фактор развития территорий и связанности экономического пространства // Проблемы развития территории. 2021. Т. 25. № 3. С. 7–22. https://doi.org/10.15838/ptd.2021.3.113.1 EDN: YMRLLI</x:t>
  </x:si>
  <x:si>
    <x:t xml:space="preserve">Ускова Т. В. Транспортная инфраструктура как фактор развития территорий и связанности экономического пространства // Проблемы развития территории. — 2021. — Т. 25. — № 3. — С. 7–22. — URL: http://pdt.volnc.ru/article/28916?_lang=en (дата обращения: 27.10.2026).</x:t>
  </x:si>
  <x:si>
    <x:t xml:space="preserve">Ускова Т. В.</x:t>
  </x:si>
  <x:si>
    <x:t xml:space="preserve">Транспортная инфраструктура как фактор развития территорий и связанности экономического пространства</x:t>
  </x:si>
  <x:si>
    <x:t xml:space="preserve">Проблемы развития территории</x:t>
  </x:si>
  <x:si>
    <x:t xml:space="preserve">7–22</x:t>
  </x:si>
  <x:si>
    <x:t xml:space="preserve">https://doi.org/10.15838/ptd.2021.3.113.1</x:t>
  </x:si>
  <x:si>
    <x:t xml:space="preserve">10.15838/ptd.2021.3.113.1</x:t>
  </x:si>
  <x:si>
    <x:t xml:space="preserve">YMRLLI</x:t>
  </x:si>
  <x:si>
    <x:t xml:space="preserve">http://pdt.volnc.ru/article/28916?_lang=en</x:t>
  </x:si>
  <x:si>
    <x:t xml:space="preserve">Transport Infrastructure as a Factor of Territories’ Development and Connectedness of Economic Space - Problems of Territory's Development</x:t>
  </x:si>
  <x:si>
    <x:t xml:space="preserve">HTTP 200; проверка объекта 27.10.2026; http://pdt.volnc.ru/article/28916?_lang=en</x:t>
  </x:si>
  <x:si>
    <x:t xml:space="preserve">R294</x:t>
  </x:si>
  <x:si>
    <x:t xml:space="preserve">Александрова М.В., Маслюкова Е.А., Юткина О.В. Влияние государственной политики Российской Федерации в области демографии и здравоохранения на качество жизни населения // Вестник Российского университета дружбы народов. Серия: Государственное и муниципальное управление. 2024. Т. 11. № 1. С. 55–71. https://doi.org/10.22363/2312-8313-2024-11-1-55-71 EDN: VQUTCZ</x:t>
  </x:si>
  <x:si>
    <x:t xml:space="preserve">Александрова М. В., Маслюкова Е. А., Юткина О. В. Влияние государственной политики Российской Федерации в области демографии и здравоохранения на качество жизни населения // Вестник Российского университета дружбы народов. Серия: Государственное и муниципальное управление. — 2024. — Т. 11. — № 1. — С. 55–71. — URL: https://journals.rudn.ru/public-administration/article/view/38604 (дата обращения: 27.10.2026).</x:t>
  </x:si>
  <x:si>
    <x:t xml:space="preserve">Александрова М. В. | Маслюкова Е. А. | Юткина О. В.</x:t>
  </x:si>
  <x:si>
    <x:t xml:space="preserve">Влияние государственной политики Российской Федерации в области демографии и здравоохранения на качество жизни населения</x:t>
  </x:si>
  <x:si>
    <x:t xml:space="preserve">Вестник Российского университета дружбы народов. Серия: Государственное и муниципальное управление</x:t>
  </x:si>
  <x:si>
    <x:t xml:space="preserve">55–71</x:t>
  </x:si>
  <x:si>
    <x:t xml:space="preserve">https://doi.org/10.22363/2312-8313-2024-11-1-55-71</x:t>
  </x:si>
  <x:si>
    <x:t xml:space="preserve">https://journals.rudn.ru/public-administration/article/view/45815?setLocale=ru_RU#articleCitations</x:t>
  </x:si>
  <x:si>
    <x:t xml:space="preserve">10.22363/2312-8313-2024-11-1-55-71</x:t>
  </x:si>
  <x:si>
    <x:t xml:space="preserve">The development of public health policy in the context of the transformation of socio-economic systems</x:t>
  </x:si>
  <x:si>
    <x:t xml:space="preserve">VQUTCZ</x:t>
  </x:si>
  <x:si>
    <x:t xml:space="preserve">https://journals.rudn.ru/public-administration/article/view/45815</x:t>
  </x:si>
  <x:si>
    <x:t xml:space="preserve">https://journals.rudn.ru/public-administration/article/view/38604</x:t>
  </x:si>
  <x:si>
    <x:t xml:space="preserve">The Impact of the State Policy of the Russian Federation in the Field of Demography and Health-Care on the Quality of Life of the Population | The Impact of the State Policy of the Russian Federation in the Field of Demography and Health-Care on the Quality of Life of the Population | Влияние государственной политики Российской Федерации в области демографии и здравоохранения на качество жизни населения | The Impact of the State Policy of the Russian Federation in the Field of Demography and Health-Care on the Quality of Life of the Population | Влияние государственной политики Российской Федерации в области демографии и здравоохранения на качество жизни населения | The Impact of the State P</x:t>
  </x:si>
  <x:si>
    <x:t xml:space="preserve">HTTP 200; проверка объекта 27.10.2026; https://journals.rudn.ru/public-administration/article/view/38604</x:t>
  </x:si>
  <x:si>
    <x:t xml:space="preserve">R295</x:t>
  </x:si>
  <x:si>
    <x:t xml:space="preserve">Улумбекова Г.Э., Гиноян А.Б. Финансирование здравоохранения для достижения ожидаемой продолжительности жизни в России 78 лет к 2030 году // Народонаселение. 2022. Т. 25. № 1. С. 129–140. https://doi.org/10.19181/population.2022.25.1.11 EDN: PHHGLM</x:t>
  </x:si>
  <x:si>
    <x:t xml:space="preserve">Улумбекова Г. Э., Гиноян А. Б. Финансирование здравоохранения для достижения ожидаемой продолжительности жизни в России 78 лет к 2030 году // Народонаселение. — 2022. — Т. 25. — № 1. — С. 129–140. — URL: https://www.narodonaselenie-journal.ru/index.php/population/article/view/8870 (дата обращения: 27.10.2026).</x:t>
  </x:si>
  <x:si>
    <x:t xml:space="preserve">Улумбекова Г. Э. | Гиноян А. Б.</x:t>
  </x:si>
  <x:si>
    <x:t xml:space="preserve">Финансирование здравоохранения для достижения ожидаемой продолжительности жизни в России 78 лет к 2030 году</x:t>
  </x:si>
  <x:si>
    <x:t xml:space="preserve">Народонаселение</x:t>
  </x:si>
  <x:si>
    <x:t xml:space="preserve">129–140</x:t>
  </x:si>
  <x:si>
    <x:t xml:space="preserve">https://doi.org/10.19181/population.2022.25.1.11</x:t>
  </x:si>
  <x:si>
    <x:t xml:space="preserve">10.19181/population.2022.25.1.11</x:t>
  </x:si>
  <x:si>
    <x:t xml:space="preserve">PHHGLM</x:t>
  </x:si>
  <x:si>
    <x:t xml:space="preserve">https://www.narodonaselenie-journal.ru/index.php/population/article/view/8870</x:t>
  </x:si>
  <x:si>
    <x:t xml:space="preserve">Финансирование здравоохранения для достижения ожидаемой продолжительности жизни в России 78 лет к 2030 году | Финансирование здравоохранения для достижения ожидаемой продолжительности жизни в России 78 лет к 2030 году | 
		Финансирование здравоохранения для достижения ожидаемой продолжительности жизни в России 78 лет к 2030 году
							| Народонаселение</x:t>
  </x:si>
  <x:si>
    <x:t xml:space="preserve">HTTP 200; проверка объекта 27.10.2026; https://www.narodonaselenie-journal.ru/index.php/population/article/view/8870</x:t>
  </x:si>
  <x:si>
    <x:t xml:space="preserve">R296</x:t>
  </x:si>
  <x:si>
    <x:t xml:space="preserve">Лебедева М.М., Сергеев В.М. Мегаполис как актор мировой политики // Космополис. 2004. № 4. С. 193–200. EDN: RPHSRP</x:t>
  </x:si>
  <x:si>
    <x:t xml:space="preserve">Лебедева М. М., Сергеев В. М. Мегаполис как актор мировой политики // Космополис. — 2004. — № 4. — С. 193–200.</x:t>
  </x:si>
  <x:si>
    <x:t xml:space="preserve">Лебедева М. М. | Сергеев В. М.</x:t>
  </x:si>
  <x:si>
    <x:t xml:space="preserve">Мегаполис как актор мировой политики</x:t>
  </x:si>
  <x:si>
    <x:t xml:space="preserve">Космополис</x:t>
  </x:si>
  <x:si>
    <x:t xml:space="preserve">193–200</x:t>
  </x:si>
  <x:si>
    <x:t xml:space="preserve">https://journals.rudn.ru/public-administration/article/view/45816?setLocale=ru_RU#articleCitations</x:t>
  </x:si>
  <x:si>
    <x:t xml:space="preserve">The phenomenon of the global city-state in world politics</x:t>
  </x:si>
  <x:si>
    <x:t xml:space="preserve">RPHSRP</x:t>
  </x:si>
  <x:si>
    <x:t xml:space="preserve">https://journals.rudn.ru/public-administration/article/view/45816</x:t>
  </x:si>
  <x:si>
    <x:t xml:space="preserve">R297</x:t>
  </x:si>
  <x:si>
    <x:t xml:space="preserve">Алексеев Р.А. Технология блокчейн на выборах: прошлое, настоящее и будущее // Журнал политических исследований. 2020. Т. 4. № 4. С. 25–38. https://doi.org/10.12737/2587-6295-2020-25-38</x:t>
  </x:si>
  <x:si>
    <x:t xml:space="preserve">Алексеев Р. А. Технология блокчейн на выборах : прошлое, настоящее и будущее // Журнал политических исследований. — 2020. — Т. 4. — № 4. — С. 25–38. — URL: https://naukaru.ru/en/nauka/publications/article/6a9c149232807fdbab8600ad/blockchain-technology-in-elections-past-present-and-future/view (дата обращения: 27.10.2026).</x:t>
  </x:si>
  <x:si>
    <x:t xml:space="preserve">Алексеев Р. А.</x:t>
  </x:si>
  <x:si>
    <x:t xml:space="preserve">Технология блокчейн на выборах: прошлое, настоящее и будущее</x:t>
  </x:si>
  <x:si>
    <x:t xml:space="preserve">Журнал политических исследований</x:t>
  </x:si>
  <x:si>
    <x:t xml:space="preserve">25–38</x:t>
  </x:si>
  <x:si>
    <x:t xml:space="preserve">https://doi.org/10.12737/2587-6295-2020-25-38</x:t>
  </x:si>
  <x:si>
    <x:t xml:space="preserve">https://journals.rudn.ru/public-administration/article/view/45817?setLocale=ru_RU#articleCitations</x:t>
  </x:si>
  <x:si>
    <x:t xml:space="preserve">10.12737/2587-6295-2020-25-38</x:t>
  </x:si>
  <x:si>
    <x:t xml:space="preserve">E-Governance in the Russian Federation: prospects and challenges</x:t>
  </x:si>
  <x:si>
    <x:t xml:space="preserve">https://journals.rudn.ru/public-administration/article/view/45817</x:t>
  </x:si>
  <x:si>
    <x:t xml:space="preserve">https://naukaru.ru/en/nauka/publications/article/6a9c149232807fdbab8600ad/blockchain-technology-in-elections-past-present-and-future/view</x:t>
  </x:si>
  <x:si>
    <x:t xml:space="preserve">Blockchain technology in elections: past, present and future | Journal of Political Research | Blockchain technology in elections: past, present and future | Blockchain technology in elections: past, present and future | Blockchain technology in elections: past, present and future | Journal of Political Research</x:t>
  </x:si>
  <x:si>
    <x:t xml:space="preserve">HTTP 200; проверка объекта 27.10.2026; https://naukaru.ru/en/nauka/publications/article/6a9c149232807fdbab8600ad/blockchain-technology-in-elections-past-present-and-future/view</x:t>
  </x:si>
  <x:si>
    <x:t xml:space="preserve">R298</x:t>
  </x:si>
  <x:si>
    <x:t xml:space="preserve">Захаров С.В. Перспективы рождаемости в России: второй демографический переход // Отечественные записки. 2005. № 3. С. 9–36.</x:t>
  </x:si>
  <x:si>
    <x:t xml:space="preserve">Захаров С. В. Перспективы рождаемости в России : второй демографический переход // Отечественные записки. — 2005. — № 3. — С. 9–36.</x:t>
  </x:si>
  <x:si>
    <x:t xml:space="preserve">Захаров С. В.</x:t>
  </x:si>
  <x:si>
    <x:t xml:space="preserve">Перспективы рождаемости в России: второй демографический переход</x:t>
  </x:si>
  <x:si>
    <x:t xml:space="preserve">9–36</x:t>
  </x:si>
  <x:si>
    <x:t xml:space="preserve">https://journals.rudn.ru/public-administration/article/view/46828?setLocale=ru_RU#articleCitations</x:t>
  </x:si>
  <x:si>
    <x:t xml:space="preserve">The factors of formation of a procreative attitude in the context of demographic transition</x:t>
  </x:si>
  <x:si>
    <x:t xml:space="preserve">https://journals.rudn.ru/public-administration/article/view/46828</x:t>
  </x:si>
  <x:si>
    <x:t xml:space="preserve">R299</x:t>
  </x:si>
  <x:si>
    <x:t xml:space="preserve">Архангельский В.Н. Репродуктивное и брачное поведение // Социологические исследования. 2013. № 2 (346). С. 129–136. EDN: PWUQRT</x:t>
  </x:si>
  <x:si>
    <x:t xml:space="preserve">Архангельский В. Н. Репродуктивное и брачное поведение // Социологические исследования. — 2013. — № 2 (346). — С. 129–136.</x:t>
  </x:si>
  <x:si>
    <x:t xml:space="preserve">Архангельский В. Н.</x:t>
  </x:si>
  <x:si>
    <x:t xml:space="preserve">Репродуктивное и брачное поведение</x:t>
  </x:si>
  <x:si>
    <x:t xml:space="preserve">2 (346)</x:t>
  </x:si>
  <x:si>
    <x:t xml:space="preserve">PWUQRT</x:t>
  </x:si>
  <x:si>
    <x:t xml:space="preserve">R300</x:t>
  </x:si>
  <x:si>
    <x:t xml:space="preserve">Драпкина О.М., Самородская И.В. Динамика смертности мужчин и женщин от болезней и внешних причин в регионах России за период 2016–2019 гг. по сравнению с. 2020 г // Профилактическая медицина. 2022. Т. 25. № 4. С. 29–34. https://doi.org/10.17116/profmed20222504129 EDN: GUYVCZ</x:t>
  </x:si>
  <x:si>
    <x:t xml:space="preserve">Драпкина О. М., Самородская И. В. Динамика смертности мужчин и женщин от болезней и внешних причин в регионах России за период 2016–2019 гг. по сравнению с. 2020 г // Профилактическая медицина. — 2022. — Т. 25. — № 4. — С. 29–34. — URL: https://www.mediasphera.ru/issues/profilakticheskaya-meditsina/2022/4/1230549482022041029 (дата обращения: 27.10.2026).</x:t>
  </x:si>
  <x:si>
    <x:t xml:space="preserve">Драпкина О. М. | Самородская И. В.</x:t>
  </x:si>
  <x:si>
    <x:t xml:space="preserve">Динамика смертности мужчин и женщин от болезней и внешних причин в регионах России за период 2016–2019 гг. по сравнению с. 2020 г</x:t>
  </x:si>
  <x:si>
    <x:t xml:space="preserve">Профилактическая медицина</x:t>
  </x:si>
  <x:si>
    <x:t xml:space="preserve">29–34</x:t>
  </x:si>
  <x:si>
    <x:t xml:space="preserve">https://doi.org/10.17116/profmed20222504129</x:t>
  </x:si>
  <x:si>
    <x:t xml:space="preserve">https://journals.rudn.ru/public-administration/article/view/46829?setLocale=ru_RU#articleCitations</x:t>
  </x:si>
  <x:si>
    <x:t xml:space="preserve">10.17116/profmed20222504129</x:t>
  </x:si>
  <x:si>
    <x:t xml:space="preserve">The culture of men’s mindful attitude toward their health in the context of managing demographic processes</x:t>
  </x:si>
  <x:si>
    <x:t xml:space="preserve">GUYVCZ</x:t>
  </x:si>
  <x:si>
    <x:t xml:space="preserve">https://journals.rudn.ru/public-administration/article/view/46829</x:t>
  </x:si>
  <x:si>
    <x:t xml:space="preserve">https://www.mediasphera.ru/issues/profilakticheskaya-meditsina/2022/4/1230549482022041029</x:t>
  </x:si>
  <x:si>
    <x:t xml:space="preserve">Динамика смертности мужчин и женщин от болезней и внешних причин в регионах России за период 2016—2019 гг. по сравнению с 2020 г.</x:t>
  </x:si>
  <x:si>
    <x:t xml:space="preserve">HTTP 200; проверка объекта 27.10.2026; https://www.mediasphera.ru/issues/profilakticheskaya-meditsina/2022/4/1230549482022041029</x:t>
  </x:si>
  <x:si>
    <x:t xml:space="preserve">R301</x:t>
  </x:si>
  <x:si>
    <x:t xml:space="preserve">Лемиш В.В. Системный анализ социальных представлений о здоровье у мужчин на разных этапах взрослости // Системная психология и социология. 2022. № 1 (41). С. 30–47. https://doi.org/10.25688/2223-6872.2022.41.1.3 EDN: QTCSIV</x:t>
  </x:si>
  <x:si>
    <x:t xml:space="preserve">Лемиш В. В. Системный анализ социальных представлений о здоровье у мужчин на разных этапах взрослости // Системная психология и социология. — 2022. — № 1 (41). — С. 30–47. — URL: http://systempsychology.ru/journal/2021_41/796-lemish-v-v-sistemnyy-analiz-socialnyh-predstavleniy-o-zdorove-u-muzhchin-na-raznyh-etapah-vzroslosti.html (дата обращения: 27.10.2026).</x:t>
  </x:si>
  <x:si>
    <x:t xml:space="preserve">Лемиш В. В.</x:t>
  </x:si>
  <x:si>
    <x:t xml:space="preserve">Системный анализ социальных представлений о здоровье у мужчин на разных этапах взрослости</x:t>
  </x:si>
  <x:si>
    <x:t xml:space="preserve">1 (41)</x:t>
  </x:si>
  <x:si>
    <x:t xml:space="preserve">30–47</x:t>
  </x:si>
  <x:si>
    <x:t xml:space="preserve">https://doi.org/10.25688/2223-6872.2022.41.1.3</x:t>
  </x:si>
  <x:si>
    <x:t xml:space="preserve">10.25688/2223-6872.2022.41.1.3</x:t>
  </x:si>
  <x:si>
    <x:t xml:space="preserve">QTCSIV</x:t>
  </x:si>
  <x:si>
    <x:t xml:space="preserve">http://systempsychology.ru/journal/2021_41/796-lemish-v-v-sistemnyy-analiz-socialnyh-predstavleniy-o-zdorove-u-muzhchin-na-raznyh-etapah-vzroslosti.html</x:t>
  </x:si>
  <x:si>
    <x:t xml:space="preserve">Лемиш В. В. Системный анализ социальных представлений о здоровье у мужчин на разных этапах взрослости | Лемиш В. В. Системный анализ социальных представлений о здоровье у мужчин на разных этапах взрослости » Системная психология и социология</x:t>
  </x:si>
  <x:si>
    <x:t xml:space="preserve">HTTP 200; проверка объекта 27.10.2026; http://systempsychology.ru/journal/2021_41/796-lemish-v-v-sistemnyy-analiz-socialnyh-predstavleniy-o-zdorove-u-muzhchin-na-raznyh-etapah-vzroslosti.html</x:t>
  </x:si>
  <x:si>
    <x:t xml:space="preserve">R302</x:t>
  </x:si>
  <x:si>
    <x:t xml:space="preserve">Вергелес М.О. Разрыв в ожидаемой продолжительности жизни между мужчинами и женщинами в развитых странах: больше общего или различного? // Демографическое обозрение. 2021. Т. 8. № 4. С. 6–39. https://doi.org/10.17323/demreview.v8i4.13874 EDN: INAYFA</x:t>
  </x:si>
  <x:si>
    <x:t xml:space="preserve">Вергелес М. О. Разрыв в ожидаемой продолжительности жизни между мужчинами и женщинами в развитых странах : больше общего или различного? // Демографическое обозрение. — 2021. — Т. 8. — № 4. — С. 6–39. — URL: https://demreview.hse.ru/ru/article/view/13874 (дата обращения: 27.10.2026).</x:t>
  </x:si>
  <x:si>
    <x:t xml:space="preserve">Вергелес М. О.</x:t>
  </x:si>
  <x:si>
    <x:t xml:space="preserve">Разрыв в ожидаемой продолжительности жизни между мужчинами и женщинами в развитых странах: больше общего или различного?</x:t>
  </x:si>
  <x:si>
    <x:t xml:space="preserve">Демографическое обозрение</x:t>
  </x:si>
  <x:si>
    <x:t xml:space="preserve">6–39</x:t>
  </x:si>
  <x:si>
    <x:t xml:space="preserve">https://doi.org/10.17323/demreview.v8i4.13874</x:t>
  </x:si>
  <x:si>
    <x:t xml:space="preserve">10.17323/demreview.v8i4.13874</x:t>
  </x:si>
  <x:si>
    <x:t xml:space="preserve">INAYFA</x:t>
  </x:si>
  <x:si>
    <x:t xml:space="preserve">https://demreview.hse.ru/ru/article/view/13874</x:t>
  </x:si>
  <x:si>
    <x:t xml:space="preserve">Разрыв в ожидаемой продолжительности жизни между мужчинами и женщинами в развитых странах: больше общего или различного? | Разрыв в ожидаемой продолжительности жизни между мужчинами и женщинами в развитых странах: больше общего или различного? | 
		Разрыв в ожидаемой продолжительности жизни между мужчинами и женщинами в развитых странах: больше общего или различного?
							| Демографическое обозрение</x:t>
  </x:si>
  <x:si>
    <x:t xml:space="preserve">HTTP 200; проверка объекта 27.10.2026; https://demreview.hse.ru/ru/article/view/13874</x:t>
  </x:si>
  <x:si>
    <x:t xml:space="preserve">R303</x:t>
  </x:si>
  <x:si>
    <x:t xml:space="preserve">Тарасова Е.О. Положительные и негативные аспекты проживания в многопоколенных семьях // Вестник Пермского национального исследовательского политехнического университета. Социально-­экономические науки. 2020. № 1. С. 64–75. https://doi.org/10.15593/2224-9354/2020.1.5 EDN: NGENCZ</x:t>
  </x:si>
  <x:si>
    <x:t xml:space="preserve">Тарасова Е. О. Положительные и негативные аспекты проживания в многопоколенных семьях // Вестник Пермского национального исследовательского политехнического университета. Социально-­экономические науки. — 2020. — № 1. — С. 64–75. — URL: http://vestnik.pstu.ru/get/_res/fs/file.pdf/9177/POSITIVE+AND+NEGATIVE+ASPECTS+OF+LIVING+IN+MULTI-GENERATIONAL+FAMILIESfile.pdf (дата обращения: 27.10.2026).</x:t>
  </x:si>
  <x:si>
    <x:t xml:space="preserve">Тарасова Е. О.</x:t>
  </x:si>
  <x:si>
    <x:t xml:space="preserve">Положительные и негативные аспекты проживания в многопоколенных семьях</x:t>
  </x:si>
  <x:si>
    <x:t xml:space="preserve">Вестник Пермского национального исследовательского политехнического университета. Социально-­экономические науки</x:t>
  </x:si>
  <x:si>
    <x:t xml:space="preserve">64–75</x:t>
  </x:si>
  <x:si>
    <x:t xml:space="preserve">https://doi.org/10.15593/2224-9354/2020.1.5</x:t>
  </x:si>
  <x:si>
    <x:t xml:space="preserve">https://journals.rudn.ru/public-administration/article/view/46830?setLocale=ru_RU#articleCitations</x:t>
  </x:si>
  <x:si>
    <x:t xml:space="preserve">10.15593/2224-9354/2020.1.5</x:t>
  </x:si>
  <x:si>
    <x:t xml:space="preserve">Natural reproduction of the population and the influence of spiritual and moral education and traditional values: an interdisciplinary analysis</x:t>
  </x:si>
  <x:si>
    <x:t xml:space="preserve">NGENCZ</x:t>
  </x:si>
  <x:si>
    <x:t xml:space="preserve">https://journals.rudn.ru/public-administration/article/view/46830</x:t>
  </x:si>
  <x:si>
    <x:t xml:space="preserve">http://vestnik.pstu.ru/get/_res/fs/file.pdf/9177/POSITIVE+AND+NEGATIVE+ASPECTS+OF+LIVING+IN+MULTI-GENERATIONAL+FAMILIESfile.pdf</x:t>
  </x:si>
  <x:si>
    <x:t xml:space="preserve">Вестник ПНИПУ. Социально-экономические науки. 2020. № 1 
64 
DOI: 10.15593/2224-9354/2020.1.5 
УДК 316.362:316.146.36 
Е.О. Тарасова© 
ПОЛОЖИТЕЛЬНЫЕ И НЕГАТИВНЫЕ АСПЕКТЫ  
ПРОЖИВАНИЯ В МНОГОПОКОЛЕННЫХ СЕМЬЯХ 
Традиционная многопоколенная семья с ка</x:t>
  </x:si>
  <x:si>
    <x:t xml:space="preserve">HTTP 200; проверка объекта 27.10.2026; http://vestnik.pstu.ru/get/_res/fs/file.pdf/9177/POSITIVE+AND+NEGATIVE+ASPECTS+OF+LIVING+IN+MULTI-GENERATIONAL+FAMILIESfile.pdf</x:t>
  </x:si>
  <x:si>
    <x:t xml:space="preserve">R304</x:t>
  </x:si>
  <x:si>
    <x:t xml:space="preserve">Манапова А.Б. Образ жизни и теория постматериалистических ценностей Р. Инглхарта // Инновации. Наука. Образование. 2021. № 32. С. 2167–2170. EDN: MFCPND</x:t>
  </x:si>
  <x:si>
    <x:t xml:space="preserve">Манапова А. Б. Образ жизни и теория постматериалистических ценностей Р. Инглхарта // Инновации. Наука. Образование. — 2021. — № 32. — С. 2167–2170.</x:t>
  </x:si>
  <x:si>
    <x:t xml:space="preserve">Манапова А. Б.</x:t>
  </x:si>
  <x:si>
    <x:t xml:space="preserve">Образ жизни и теория постматериалистических ценностей Р. Инглхарта</x:t>
  </x:si>
  <x:si>
    <x:t xml:space="preserve">Инновации. Наука. Образование</x:t>
  </x:si>
  <x:si>
    <x:t xml:space="preserve">2167–2170</x:t>
  </x:si>
  <x:si>
    <x:t xml:space="preserve">MFCPND</x:t>
  </x:si>
  <x:si>
    <x:t xml:space="preserve">R305</x:t>
  </x:si>
  <x:si>
    <x:t xml:space="preserve">Урланис Б.Ц. Эволюция продолжительности жизни. М. : Статистика, 1978. 310 с.</x:t>
  </x:si>
  <x:si>
    <x:t xml:space="preserve">Урланис Б. Ц. Эволюция продолжительности жизни. — Москва : Статистика, 1978. — 310 с.</x:t>
  </x:si>
  <x:si>
    <x:t xml:space="preserve">Урланис Б. Ц.</x:t>
  </x:si>
  <x:si>
    <x:t xml:space="preserve">Эволюция продолжительности жизни</x:t>
  </x:si>
  <x:si>
    <x:t xml:space="preserve">Статистика</x:t>
  </x:si>
  <x:si>
    <x:t xml:space="preserve">https://journals.rudn.ru/public-administration/article/view/46831?setLocale=ru_RU#articleCitations</x:t>
  </x:si>
  <x:si>
    <x:t xml:space="preserve">Specifics of demographic policy at the regional level: the case of the Republic of Tatarstan</x:t>
  </x:si>
  <x:si>
    <x:t xml:space="preserve">https://journals.rudn.ru/public-administration/article/view/46831</x:t>
  </x:si>
  <x:si>
    <x:t xml:space="preserve">R306</x:t>
  </x:si>
  <x:si>
    <x:t xml:space="preserve">Бондаренко Л.В., Архангельский В.Н. Демографическая ситуация на сельских территориях: оценка и перспективы // Экономика, труд, управление в сельском хозяйстве. 2023. № 10 (104). С. 164–176. https://doi.org/10.33938/2310-164 EDN: UBFNTS</x:t>
  </x:si>
  <x:si>
    <x:t xml:space="preserve">Бондаренко Л. В., Архангельский В. Н. Демографическая ситуация на сельских территориях : оценка и перспективы // Экономика, труд, управление в сельском хозяйстве. — 2023. — № 10 (104). — С. 164–176. — URL: http://xn----8sberiayke3ai0ax4i.xn--p1ai/article/1238 (дата обращения: 27.10.2026).</x:t>
  </x:si>
  <x:si>
    <x:t xml:space="preserve">Бондаренко Л. В. | Архангельский В. Н.</x:t>
  </x:si>
  <x:si>
    <x:t xml:space="preserve">Демографическая ситуация на сельских территориях: оценка и перспективы</x:t>
  </x:si>
  <x:si>
    <x:t xml:space="preserve">Экономика, труд, управление в сельском хозяйстве</x:t>
  </x:si>
  <x:si>
    <x:t xml:space="preserve">10 (104)</x:t>
  </x:si>
  <x:si>
    <x:t xml:space="preserve">164–176</x:t>
  </x:si>
  <x:si>
    <x:t xml:space="preserve">https://doi.org/10.33938/2310-164</x:t>
  </x:si>
  <x:si>
    <x:t xml:space="preserve">https://journals.rudn.ru/public-administration/article/view/46833?setLocale=ru_RU#articleCitations</x:t>
  </x:si>
  <x:si>
    <x:t xml:space="preserve">10.33938/2310-164</x:t>
  </x:si>
  <x:si>
    <x:t xml:space="preserve">The impact of state agglomeration policy on long-term trends of population changes in Russia</x:t>
  </x:si>
  <x:si>
    <x:t xml:space="preserve">UBFNTS</x:t>
  </x:si>
  <x:si>
    <x:t xml:space="preserve">https://journals.rudn.ru/public-administration/article/view/46833</x:t>
  </x:si>
  <x:si>
    <x:t xml:space="preserve">http://xn----8sberiayke3ai0ax4i.xn--p1ai/article/1238</x:t>
  </x:si>
  <x:si>
    <x:t xml:space="preserve">Демографическая ситуация на сельских территориях: оценка и перспективы - Журнал "Экономика, труд, управление в сельском хозяйстве" ISSN 2077-3595</x:t>
  </x:si>
  <x:si>
    <x:t xml:space="preserve">HTTP 200; проверка объекта 27.10.2026; http://xn----8sberiayke3ai0ax4i.xn--p1ai/article/1238</x:t>
  </x:si>
  <x:si>
    <x:t xml:space="preserve">R307</x:t>
  </x:si>
  <x:si>
    <x:t xml:space="preserve">Ионцев В.А., Брага Е.А. Особенности демографических процессов сельского населения в регионе России // Вестник Московского университета. Серия 6: Экономика. 2011. № 5. С. 73–81. EDN: ONSYUP</x:t>
  </x:si>
  <x:si>
    <x:t xml:space="preserve">Ионцев В. А., Брага Е. А. Особенности демографических процессов сельского населения в регионе России // Вестник Московского университета. Серия 6: Экономика. — 2011. — № 5. — С. 73–81.</x:t>
  </x:si>
  <x:si>
    <x:t xml:space="preserve">Ионцев В. А. | Брага Е. А.</x:t>
  </x:si>
  <x:si>
    <x:t xml:space="preserve">Особенности демографических процессов сельского населения в регионе России</x:t>
  </x:si>
  <x:si>
    <x:t xml:space="preserve">Вестник Московского университета. Серия 6: Экономика</x:t>
  </x:si>
  <x:si>
    <x:t xml:space="preserve">73–81</x:t>
  </x:si>
  <x:si>
    <x:t xml:space="preserve">ONSYUP</x:t>
  </x:si>
  <x:si>
    <x:t xml:space="preserve">Проверка оформления Михаилом: достаточно данных — Да. Исходный вариант Михаила до последующего переноса: Ионцев, В. А. Особенности демографических процессов сельского населения в регионе России / В. А. Ионцев, Е. А. Брага // Вестник Московского университета. Серия 6: Экономика. — 2011. — № 5. — С. 73–81.</x:t>
  </x:si>
  <x:si>
    <x:t xml:space="preserve">R308</x:t>
  </x:si>
  <x:si>
    <x:t xml:space="preserve">Рыбаковский Л.Л. Результативность как основной показатель оценки состояния и тенденций рождаемости // Социологические исследования. 2016. № 4 (384). С. 23–30. EDN: VZSLIL</x:t>
  </x:si>
  <x:si>
    <x:t xml:space="preserve">Рыбаковский Л. Л. Результативность как основной показатель оценки состояния и тенденций рождаемости // Социологические исследования. — 2016. — № 4 (384). — С. 23–30.</x:t>
  </x:si>
  <x:si>
    <x:t xml:space="preserve">Рыбаковский Л. Л.</x:t>
  </x:si>
  <x:si>
    <x:t xml:space="preserve">Результативность как основной показатель оценки состояния и тенденций рождаемости</x:t>
  </x:si>
  <x:si>
    <x:t xml:space="preserve">4 (384)</x:t>
  </x:si>
  <x:si>
    <x:t xml:space="preserve">23–30</x:t>
  </x:si>
  <x:si>
    <x:t xml:space="preserve">VZSLIL</x:t>
  </x:si>
  <x:si>
    <x:t xml:space="preserve">R309</x:t>
  </x:si>
  <x:si>
    <x:t xml:space="preserve">Карцхия А.А. Гражданско-­правовая модель регулирования цифровых технологий : дис. … д-­ра юр. наук. М. : Российская государственная академия интеллектуальной собственности, 2019. 384 с.</x:t>
  </x:si>
  <x:si>
    <x:t xml:space="preserve">Карцхия А. А. Гражданско-­правовая модель регулирования цифровых технологий : дис. … д-­ра юр. наук. — Москва : Российская государственная академия интеллектуальной собственности, 2019. — 384 с.</x:t>
  </x:si>
  <x:si>
    <x:t xml:space="preserve">Карцхия А. А.</x:t>
  </x:si>
  <x:si>
    <x:t xml:space="preserve">Гражданско-­правовая модель регулирования цифровых технологий : дис. … д-­ра юр. наук</x:t>
  </x:si>
  <x:si>
    <x:t xml:space="preserve">Российская государственная академия интеллектуальной собственности</x:t>
  </x:si>
  <x:si>
    <x:t xml:space="preserve">https://journals.rudn.ru/public-administration/article/view/46835?setLocale=ru_RU#articleCitations</x:t>
  </x:si>
  <x:si>
    <x:t xml:space="preserve">Artificial intelligence in the public administration system of Russia and the European Union: comparative legal analysis. Part I</x:t>
  </x:si>
  <x:si>
    <x:t xml:space="preserve">https://journals.rudn.ru/public-administration/article/view/46835</x:t>
  </x:si>
  <x:si>
    <x:t xml:space="preserve">R310</x:t>
  </x:si>
  <x:si>
    <x:t xml:space="preserve">Уитмен Д. Американская модель Гитлера. СПб. : Питер, 2024. 272 с.</x:t>
  </x:si>
  <x:si>
    <x:t xml:space="preserve">Уитмен Д. Американская модель Гитлера. — Санкт-Петербург : Питер, 2024. — 272 с.</x:t>
  </x:si>
  <x:si>
    <x:t xml:space="preserve">Уитмен Д.</x:t>
  </x:si>
  <x:si>
    <x:t xml:space="preserve">Американская модель Гитлера</x:t>
  </x:si>
  <x:si>
    <x:t xml:space="preserve">272</x:t>
  </x:si>
  <x:si>
    <x:t xml:space="preserve">СПб.</x:t>
  </x:si>
  <x:si>
    <x:t xml:space="preserve">https://journals.rudn.ru/public-administration/article/view/46836?setLocale=ru_RU#articleCitations</x:t>
  </x:si>
  <x:si>
    <x:t xml:space="preserve">Liberalism and fascism in political scientists’ assessments: the problem of the genesis of neo-fascism</x:t>
  </x:si>
  <x:si>
    <x:t xml:space="preserve">https://journals.rudn.ru/public-administration/article/view/46836</x:t>
  </x:si>
  <x:si>
    <x:t xml:space="preserve">R311</x:t>
  </x:si>
  <x:si>
    <x:t xml:space="preserve">Гришина А.К. Системный подход к исследованию институциональной среды интеграционного объединения // Экономические науки. 2022. № 210. С. 57–62. https://doi.org/10.14451/1.210.57 EDN: VCWZPO</x:t>
  </x:si>
  <x:si>
    <x:t xml:space="preserve">Гришина А. К. Системный подход к исследованию институциональной среды интеграционного объединения // Экономические науки. — 2022. — № 210. — С. 57–62. — URL: https://ecsn.ru/wp-content/uploads/202205_57.pdf (дата обращения: 27.10.2026).</x:t>
  </x:si>
  <x:si>
    <x:t xml:space="preserve">Гришина А. К.</x:t>
  </x:si>
  <x:si>
    <x:t xml:space="preserve">Системный подход к исследованию институциональной среды интеграционного объединения</x:t>
  </x:si>
  <x:si>
    <x:t xml:space="preserve">Экономические науки</x:t>
  </x:si>
  <x:si>
    <x:t xml:space="preserve">210</x:t>
  </x:si>
  <x:si>
    <x:t xml:space="preserve">57–62</x:t>
  </x:si>
  <x:si>
    <x:t xml:space="preserve">https://doi.org/10.14451/1.210.57</x:t>
  </x:si>
  <x:si>
    <x:t xml:space="preserve">https://journals.rudn.ru/public-administration/article/view/47910?setLocale=ru_RU#articleCitations</x:t>
  </x:si>
  <x:si>
    <x:t xml:space="preserve">10.14451/1.210.57</x:t>
  </x:si>
  <x:si>
    <x:t xml:space="preserve">Institutional aspects of the political and administrative integration of the Kherson region into the socio-economic space of Russia</x:t>
  </x:si>
  <x:si>
    <x:t xml:space="preserve">VCWZPO</x:t>
  </x:si>
  <x:si>
    <x:t xml:space="preserve">https://journals.rudn.ru/public-administration/article/view/47910</x:t>
  </x:si>
  <x:si>
    <x:t xml:space="preserve">https://ecsn.ru/wp-content/uploads/202205_57.pdf</x:t>
  </x:si>
  <x:si>
    <x:t xml:space="preserve">Экономическая теория
 57
УДК 330.8 DOI: 10.14451/1.210. 57
СИСТЕМНЫЙ ПОДХОД К ИССЛЕДОВАНИЮ ИНСТИТУЦИОНАЛЬНОЙ СРЕДЫ 
ИНТЕГРАЦИОННОГО ОБЪЕДИНЕНИЯ
 2022 © Гришина Анна Константиновна
аспирант Департамента экономической теории
Финансовый университет при</x:t>
  </x:si>
  <x:si>
    <x:t xml:space="preserve">HTTP 200; проверка объекта 27.10.2026; https://ecsn.ru/wp-content/uploads/202205_57.pdf</x:t>
  </x:si>
  <x:si>
    <x:t xml:space="preserve">R312</x:t>
  </x:si>
  <x:si>
    <x:t xml:space="preserve">Комаров А.В., Пихтарь А.Н., Гриневский И.В., Комаров К.А., Голицын Л.В. Концептуальная модель оценки технологической готовности научно-технологического проекта и его потенциала на ранних стадиях разработки // Экономика науки. 2021 Т. 7. № 2. С. 111–134. https://doi.org/10.22394/2410-132X-2021-7-2-111-134 EDN: KFBSAK</x:t>
  </x:si>
  <x:si>
    <x:t xml:space="preserve">Концептуальная модель оценки технологической готовности научно-технологического проекта и его потенциала на ранних стадиях разработки / А. В. Комаров, А. Н. Пихтарь, И. В. Гриневский, К. А. Комаров, Л. В. Голицын // Экономика науки. — 2021. — Т. 7. — № 2. — С. 111–134. — URL: https://ecna.elpub.ru/jour/article/view/310 (дата обращения: 27.10.2026).</x:t>
  </x:si>
  <x:si>
    <x:t xml:space="preserve">Комаров А. В. | Пихтарь А. Н. | Гриневский И. В. | Комаров К. А. | Голицын Л. В.</x:t>
  </x:si>
  <x:si>
    <x:t xml:space="preserve">Концептуальная модель оценки технологической готовности научно-технологического проекта и его потенциала на ранних стадиях разработки</x:t>
  </x:si>
  <x:si>
    <x:t xml:space="preserve">Экономика науки</x:t>
  </x:si>
  <x:si>
    <x:t xml:space="preserve">111–134</x:t>
  </x:si>
  <x:si>
    <x:t xml:space="preserve">https://doi.org/10.22394/2410-132X-2021-7-2-111-134</x:t>
  </x:si>
  <x:si>
    <x:t xml:space="preserve">https://journals.rudn.ru/public-administration/article/view/47911?setLocale=ru_RU#articleCitations</x:t>
  </x:si>
  <x:si>
    <x:t xml:space="preserve">10.22394/2410-132X-2021-7-2-111-134</x:t>
  </x:si>
  <x:si>
    <x:t xml:space="preserve">Evaluation of the scientific results of youth laboratories: features of the methodological approach and potential for application in public administration</x:t>
  </x:si>
  <x:si>
    <x:t xml:space="preserve">KFBSAK</x:t>
  </x:si>
  <x:si>
    <x:t xml:space="preserve">https://journals.rudn.ru/public-administration/article/view/47911</x:t>
  </x:si>
  <x:si>
    <x:t xml:space="preserve">https://ecna.elpub.ru/jour/article/view/310</x:t>
  </x:si>
  <x:si>
    <x:t xml:space="preserve">Концептуальная модель оценки технологической готовности научно-технологического проекта и его потенциала на ранних стадиях разработки | Комаров | Экономика науки | Концептуальная модель оценки технологической готовности научно-технологического проекта и его потенциала на ранних стадиях разработки | A Conceptual Model for Assessing the Technological Readiness of a R&amp;D Project and its Potential at the Early Stages of Development | Концептуальная модель оценки технологической готовности научно-технологического проекта и его потенциала на ранних стадиях разработки | Концептуальная модель оценки технологической готовности научно-технологического проекта и его потенциала на ранних стадиях разработ</x:t>
  </x:si>
  <x:si>
    <x:t xml:space="preserve">HTTP 200; проверка объекта 27.10.2026; https://ecna.elpub.ru/jour/article/view/310</x:t>
  </x:si>
  <x:si>
    <x:t xml:space="preserve">R313</x:t>
  </x:si>
  <x:si>
    <x:t xml:space="preserve">Сартори А.В. Повышение результативности исследований: планирование по уровням готовности в бережливом НИОКР // Экономика науки. 2022. Т. 8. № 1. С. 4–21. https://doi.org/10.22394/2410-132X-2022-8-1-4-21 EDN: PRCTCD</x:t>
  </x:si>
  <x:si>
    <x:t xml:space="preserve">Сартори А. В. Повышение результативности исследований : планирование по уровням готовности в бережливом НИОКР // Экономика науки. — 2022. — Т. 8. — № 1. — С. 4–21. — URL: https://ecna.elpub.ru/jour/article/view/348 (дата обращения: 27.10.2026).</x:t>
  </x:si>
  <x:si>
    <x:t xml:space="preserve">Сартори А. В.</x:t>
  </x:si>
  <x:si>
    <x:t xml:space="preserve">Повышение результативности исследований: планирование по уровням готовности в бережливом НИОКР</x:t>
  </x:si>
  <x:si>
    <x:t xml:space="preserve">4–21</x:t>
  </x:si>
  <x:si>
    <x:t xml:space="preserve">https://doi.org/10.22394/2410-132X-2022-8-1-4-21</x:t>
  </x:si>
  <x:si>
    <x:t xml:space="preserve">10.22394/2410-132X-2022-8-1-4-21</x:t>
  </x:si>
  <x:si>
    <x:t xml:space="preserve">PRCTCD</x:t>
  </x:si>
  <x:si>
    <x:t xml:space="preserve">https://ecna.elpub.ru/jour/article/view/348</x:t>
  </x:si>
  <x:si>
    <x:t xml:space="preserve">Повышение результативности исследований: планирование по уровням готовности в бережливом НИОКР | Сартори | Экономика науки | Повышение результативности исследований: планирование по уровням готовности в бережливом НИОКР | Improving Research Performance Through Planning by Readiness Levels in Lean R&amp;D | Повышение результативности исследований: планирование по уровням готовности в бережливом НИОКР | Повышение результативности исследований: планирование по уровням готовности в бережливом НИОКР | Сартори | Экономика науки</x:t>
  </x:si>
  <x:si>
    <x:t xml:space="preserve">HTTP 200; проверка объекта 27.10.2026; https://ecna.elpub.ru/jour/article/view/348</x:t>
  </x:si>
  <x:si>
    <x:t xml:space="preserve">R314</x:t>
  </x:si>
  <x:si>
    <x:t xml:space="preserve">Гранич В.Ю., Дутов А.В., Мирошкин В.Л., Сыпало К.И. Об уровнях готовности технологий и применении калькулятора УГТ для их оценивания // Экономика науки. 2020. Т. 6. № 1–2. С. 6–10. https://doi.org/10.22394/2410-132X-2020-6-1-2-6-10 EDN: IDJEKP</x:t>
  </x:si>
  <x:si>
    <x:t xml:space="preserve">Об уровнях готовности технологий и применении калькулятора УГТ для их оценивания / В. Ю. Гранич, А. В. Дутов, В. Л. Мирошкин, К. И. Сыпало // Экономика науки. — 2020. — Т. 6. — № 1–2. — С. 6–10. — URL: https://ecna.elpub.ru/jour/article/view/237 (дата обращения: 27.10.2026).</x:t>
  </x:si>
  <x:si>
    <x:t xml:space="preserve">Гранич В. Ю. | Дутов А. В. | Мирошкин В. Л. | Сыпало К. И.</x:t>
  </x:si>
  <x:si>
    <x:t xml:space="preserve">Об уровнях готовности технологий и применении калькулятора УГТ для их оценивания</x:t>
  </x:si>
  <x:si>
    <x:t xml:space="preserve">1–2</x:t>
  </x:si>
  <x:si>
    <x:t xml:space="preserve">6–10</x:t>
  </x:si>
  <x:si>
    <x:t xml:space="preserve">https://doi.org/10.22394/2410-132X-2020-6-1-2-6-10</x:t>
  </x:si>
  <x:si>
    <x:t xml:space="preserve">10.22394/2410-132X-2020-6-1-2-6-10</x:t>
  </x:si>
  <x:si>
    <x:t xml:space="preserve">IDJEKP</x:t>
  </x:si>
  <x:si>
    <x:t xml:space="preserve">https://ecna.elpub.ru/jour/article/view/237</x:t>
  </x:si>
  <x:si>
    <x:t xml:space="preserve">Об уровнях готовности технологий и применении Калькулятора УГТ для их оценивания | Гранич | Экономика науки | Об уровнях готовности технологий и применении Калькулятора УГТ для их оценивания | About the Technology Readiness Level and the application of the TRL Calculator for their assessment | Об уровнях готовности технологий и применении Калькулятора УГТ для их оценивания | Об уровнях готовности технологий и применении Калькулятора УГТ для их оценивания | Гранич | Экономика науки</x:t>
  </x:si>
  <x:si>
    <x:t xml:space="preserve">HTTP 200; проверка объекта 27.10.2026; https://ecna.elpub.ru/jour/article/view/237</x:t>
  </x:si>
  <x:si>
    <x:t xml:space="preserve">R315</x:t>
  </x:si>
  <x:si>
    <x:t xml:space="preserve">Зацаринный А.А., Ионенков Ю.С. Некоторые методические вопросы оценки уровня технологической готовности проектов информационных систем // Системы и средства информатики. 2022. Т. 32. № 3. С. 4–14. https://doi.org/10.14357/08696527220301 EDN: MEFTQV</x:t>
  </x:si>
  <x:si>
    <x:t xml:space="preserve">Зацаринный А. А., Ионенков Ю. С. Некоторые методические вопросы оценки уровня технологической готовности проектов информационных систем // Системы и средства информатики. — 2022. — Т. 32. — № 3. — С. 4–14.</x:t>
  </x:si>
  <x:si>
    <x:t xml:space="preserve">Зацаринный А. А. | Ионенков Ю. С.</x:t>
  </x:si>
  <x:si>
    <x:t xml:space="preserve">Некоторые методические вопросы оценки уровня технологической готовности проектов информационных систем</x:t>
  </x:si>
  <x:si>
    <x:t xml:space="preserve">4–14</x:t>
  </x:si>
  <x:si>
    <x:t xml:space="preserve">https://doi.org/10.14357/08696527220301</x:t>
  </x:si>
  <x:si>
    <x:t xml:space="preserve">10.14357/08696527220301</x:t>
  </x:si>
  <x:si>
    <x:t xml:space="preserve">MEFTQV</x:t>
  </x:si>
  <x:si>
    <x:t xml:space="preserve">R316</x:t>
  </x:si>
  <x:si>
    <x:t xml:space="preserve">Зулькарнай И.У. О миссии «молодежных лабораторий», созданных в рамках национального проекта «Наука и университеты» // Экономика и управление: научно-практический журнал. 2024. № 6 (180). С. 29–35. https://doi.org/10.34773/EU.2024.6.5 EDN: TMXMYD</x:t>
  </x:si>
  <x:si>
    <x:t xml:space="preserve">Зулькарнай И. У. О миссии «молодежных лабораторий», созданных в рамках национального проекта «Наука и университеты» // Экономика и управление: научно-практический журнал. — 2024. — № 6 (180). — С. 29–35. — URL: https://ekam-journal.com/images/2024/6-2024/Zulkarnay.pdf (дата обращения: 27.10.2026).</x:t>
  </x:si>
  <x:si>
    <x:t xml:space="preserve">Зулькарнай И. У.</x:t>
  </x:si>
  <x:si>
    <x:t xml:space="preserve">О миссии «молодежных лабораторий», созданных в рамках национального проекта «Наука и университеты»</x:t>
  </x:si>
  <x:si>
    <x:t xml:space="preserve">Экономика и управление: научно-практический журнал</x:t>
  </x:si>
  <x:si>
    <x:t xml:space="preserve">6 (180)</x:t>
  </x:si>
  <x:si>
    <x:t xml:space="preserve">29–35</x:t>
  </x:si>
  <x:si>
    <x:t xml:space="preserve">https://doi.org/10.34773/EU.2024.6.5</x:t>
  </x:si>
  <x:si>
    <x:t xml:space="preserve">10.34773/EU.2024.6.5</x:t>
  </x:si>
  <x:si>
    <x:t xml:space="preserve">TMXMYD</x:t>
  </x:si>
  <x:si>
    <x:t xml:space="preserve">https://ekam-journal.com/images/2024/6-2024/Zulkarnay.pdf</x:t>
  </x:si>
  <x:si>
    <x:t xml:space="preserve">ЭКОНОМИКА И УПРАВЛЕНИЕ: НАУЧНО-ПРАКТИЧЕСКИЙ ЖУРНАЛ, № 6 (180), 2024 
29 
DOI: 10.34773/EU.2024.6.5 
О миссии «молодежных лабораторий», созданных в рамках 
национального проекта «Наука и университеты»* 
About the Mission of the «Youth Laboratories»</x:t>
  </x:si>
  <x:si>
    <x:t xml:space="preserve">HTTP 200; проверка объекта 27.10.2026; https://ekam-journal.com/images/2024/6-2024/Zulkarnay.pdf</x:t>
  </x:si>
  <x:si>
    <x:t xml:space="preserve">R317</x:t>
  </x:si>
  <x:si>
    <x:t xml:space="preserve">Иванова М.И., Клепинин А.В., Саратова И.С. Национальная система развития кадрового потенциала научной сферы: проблемы и решения // Экономика и управление: проблемы, решения. 2024. Т. 6. № 2 (143). С. 26–36. https://doi.org/10.36871/ek.up.p.r.2024.02.06.004 EDN: CGHVOU</x:t>
  </x:si>
  <x:si>
    <x:t xml:space="preserve">Иванова М. И., Клепинин А. В., Саратова И. С. Национальная система развития кадрового потенциала научной сферы : проблемы и решения // Экономика и управление: проблемы, решения. — 2024. — Т. 6. — № 2 (143). — С. 26–36. — URL: https://s-lib.com/en/issues/eiu_2024_02_v6_a4/ (дата обращения: 27.10.2026).</x:t>
  </x:si>
  <x:si>
    <x:t xml:space="preserve">Иванова М. И. | Клепинин А. В. | Саратова И. С.</x:t>
  </x:si>
  <x:si>
    <x:t xml:space="preserve">Национальная система развития кадрового потенциала научной сферы: проблемы и решения</x:t>
  </x:si>
  <x:si>
    <x:t xml:space="preserve">Экономика и управление: проблемы, решения</x:t>
  </x:si>
  <x:si>
    <x:t xml:space="preserve">2 (143)</x:t>
  </x:si>
  <x:si>
    <x:t xml:space="preserve">26–36</x:t>
  </x:si>
  <x:si>
    <x:t xml:space="preserve">https://doi.org/10.36871/ek.up.p.r.2024.02.06.004</x:t>
  </x:si>
  <x:si>
    <x:t xml:space="preserve">10.36871/ek.up.p.r.2024.02.06.004</x:t>
  </x:si>
  <x:si>
    <x:t xml:space="preserve">CGHVOU</x:t>
  </x:si>
  <x:si>
    <x:t xml:space="preserve">https://s-lib.com/en/issues/eiu_2024_02_v6_a4/</x:t>
  </x:si>
  <x:si>
    <x:t xml:space="preserve">THE NATIONAL SYSTEM FOR THE DEVELOPMENT
OF HUMAN RESOURCES IN THE SCIENTIFIC FIELD:
PROBLEMS AND SOLUTIONS | THE NATIONAL SYSTEM FOR THE DEVELOPMENT
OF HUMAN RESOURCES IN THE SCIENTIFIC FIELD:
PROBLEMS AND SOLUTIONS</x:t>
  </x:si>
  <x:si>
    <x:t xml:space="preserve">HTTP 200; проверка объекта 27.10.2026; https://s-lib.com/en/issues/eiu_2024_02_v6_a4/</x:t>
  </x:si>
  <x:si>
    <x:t xml:space="preserve">R318</x:t>
  </x:si>
  <x:si>
    <x:t xml:space="preserve">Понкин И.В., Редькина А.И. Искусственный интеллект с точки зрения права // Вестник Российского университета дружбы народов. Серия: Юридические науки. 2018. Т. 22. № 1. С. 91–109. https://doi.org/10.22363/2313-2337-2018-22-1-91-109 EDN: YVXKVA</x:t>
  </x:si>
  <x:si>
    <x:t xml:space="preserve">Понкин И. В., Редькина А. И. Искусственный интеллект с точки зрения права // Вестник Российского университета дружбы народов. Серия: Юридические науки. — 2018. — Т. 22. — № 1. — С. 91–109. — URL: https://journals.rudn.ru/law/article/view/18334 (дата обращения: 27.10.2026).</x:t>
  </x:si>
  <x:si>
    <x:t xml:space="preserve">Понкин И. В. | Редькина А. И.</x:t>
  </x:si>
  <x:si>
    <x:t xml:space="preserve">Искусственный интеллект с точки зрения права</x:t>
  </x:si>
  <x:si>
    <x:t xml:space="preserve">91–109</x:t>
  </x:si>
  <x:si>
    <x:t xml:space="preserve">https://doi.org/10.22363/2313-2337-2018-22-1-91-109</x:t>
  </x:si>
  <x:si>
    <x:t xml:space="preserve">https://journals.rudn.ru/public-administration/article/view/47912?setLocale=ru_RU#articleCitations</x:t>
  </x:si>
  <x:si>
    <x:t xml:space="preserve">10.22363/2313-2337-2018-22-1-91-109</x:t>
  </x:si>
  <x:si>
    <x:t xml:space="preserve">Artificial intelligence in the public administration system of Russia and the European Union: comparative legal analysis. Part II</x:t>
  </x:si>
  <x:si>
    <x:t xml:space="preserve">YVXKVA</x:t>
  </x:si>
  <x:si>
    <x:t xml:space="preserve">https://journals.rudn.ru/public-administration/article/view/47912</x:t>
  </x:si>
  <x:si>
    <x:t xml:space="preserve">https://journals.rudn.ru/law/article/view/18334</x:t>
  </x:si>
  <x:si>
    <x:t xml:space="preserve">Artificial Intelligence from the Point of View of Law | Artificial Intelligence from the Point of View of Law | Искусственный интеллект с точки зрения права | Artificial Intelligence from the Point of View of Law | Искусственный интеллект с точки зрения права | Artificial Intelligence from the Point of View of Law - Ponkin - RUDN Journal of Law</x:t>
  </x:si>
  <x:si>
    <x:t xml:space="preserve">HTTP 200; проверка объекта 27.10.2026; https://journals.rudn.ru/law/article/view/18334</x:t>
  </x:si>
  <x:si>
    <x:t xml:space="preserve">R319</x:t>
  </x:si>
  <x:si>
    <x:t xml:space="preserve">Сморгунов Л.В. Цифровизация и сетевая эффективность государственной управляемости // Политическая наука. 2021. № 3. С. 13–36. http://doi.org/10.31249/poln/2021.03.01 EDN: KHMUCH</x:t>
  </x:si>
  <x:si>
    <x:t xml:space="preserve">Сморгунов Л. В. Цифровизация и сетевая эффективность государственной управляемости // Политическая наука. — 2021. — № 3. — С. 13–36. — URL: https://inion.ru/ru/publishing/zhurnaly-iz-perechnia-vak/politicheskaia-nauka-old/arkhiv/2021-3-tcifrovizatciia-politiki/tcifrovizatciia-i-setevaia-effektivnost-gosudarstvennoi-upravliaemosti-digitalization-and-network-effectiveness-of-public/ (дата обращения: 27.10.2026).</x:t>
  </x:si>
  <x:si>
    <x:t xml:space="preserve">Сморгунов Л. В.</x:t>
  </x:si>
  <x:si>
    <x:t xml:space="preserve">Цифровизация и сетевая эффективность государственной управляемости</x:t>
  </x:si>
  <x:si>
    <x:t xml:space="preserve">Политическая наука</x:t>
  </x:si>
  <x:si>
    <x:t xml:space="preserve">13–36</x:t>
  </x:si>
  <x:si>
    <x:t xml:space="preserve">http://doi.org/10.31249/poln/2021.03.01</x:t>
  </x:si>
  <x:si>
    <x:t xml:space="preserve">https://journals.rudn.ru/public-administration/article/view/47913?setLocale=ru_RU#articleCitations</x:t>
  </x:si>
  <x:si>
    <x:t xml:space="preserve">10.31249/poln/2021.03.01</x:t>
  </x:si>
  <x:si>
    <x:t xml:space="preserve">Digitalization as an instrument for improving the efficiency of governmental regulation of rural tourism</x:t>
  </x:si>
  <x:si>
    <x:t xml:space="preserve">KHMUCH</x:t>
  </x:si>
  <x:si>
    <x:t xml:space="preserve">https://journals.rudn.ru/public-administration/article/view/47913</x:t>
  </x:si>
  <x:si>
    <x:t xml:space="preserve">https://inion.ru/ru/publishing/zhurnaly-iz-perechnia-vak/politicheskaia-nauka-old/arkhiv/2021-3-tcifrovizatciia-politiki/tcifrovizatciia-i-setevaia-effektivnost-gosudarstvennoi-upravliaemosti-digitalization-and-network-effectiveness-of-public/</x:t>
  </x:si>
  <x:si>
    <x:t xml:space="preserve">Сморгунов Л. В. Цифровизация и сетевая эффективность государственной управляемости = Digitalization and network effectiveness of public governability</x:t>
  </x:si>
  <x:si>
    <x:t xml:space="preserve">HTTP 200; проверка объекта 27.10.2026; https://inion.ru/ru/publishing/zhurnaly-iz-perechnia-vak/politicheskaia-nauka-old/arkhiv/2021-3-tcifrovizatciia-politiki/tcifrovizatciia-i-setevaia-effektivnost-gosudarstvennoi-upravliaemosti-digitalization-and-network-effectiveness-of-public/</x:t>
  </x:si>
  <x:si>
    <x:t xml:space="preserve">R320</x:t>
  </x:si>
  <x:si>
    <x:t xml:space="preserve">Терещенко Л.К., Стародубова О.Е., Назаров Н.А. Цифровые платформы — новая среда взаимодействия: обзор научно-практического семинара и результаты экспертного опроса // Журнал российского права. 2024. Т. 28. № 7. С. 161–171. https://doi.org/10.61205/S160565900030930-7 EDN: OWLNHC</x:t>
  </x:si>
  <x:si>
    <x:t xml:space="preserve">Терещенко Л. К., Стародубова О. Е., Назаров Н. А. Цифровые платформы — новая среда взаимодействия : обзор научно-практического семинара и результаты экспертного опроса // Журнал российского права. — 2024. — Т. 28. — № 7. — С. 161–171. — URL: https://jrp.jes.su/s1605-65900000622-5-1-ru-233/ (дата обращения: 27.10.2026).</x:t>
  </x:si>
  <x:si>
    <x:t xml:space="preserve">Терещенко Л. К. | Стародубова О. Е. | Назаров Н. А.</x:t>
  </x:si>
  <x:si>
    <x:t xml:space="preserve">Цифровые платформы — новая среда взаимодействия: обзор научно-практического семинара и результаты экспертного опроса</x:t>
  </x:si>
  <x:si>
    <x:t xml:space="preserve">Журнал российского права</x:t>
  </x:si>
  <x:si>
    <x:t xml:space="preserve">161–171</x:t>
  </x:si>
  <x:si>
    <x:t xml:space="preserve">https://doi.org/10.61205/S160565900030930-7</x:t>
  </x:si>
  <x:si>
    <x:t xml:space="preserve">10.61205/S160565900030930-7</x:t>
  </x:si>
  <x:si>
    <x:t xml:space="preserve">OWLNHC</x:t>
  </x:si>
  <x:si>
    <x:t xml:space="preserve">https://jrp.jes.su/s1605-65900000622-5-1-ru-233/</x:t>
  </x:si>
  <x:si>
    <x:t xml:space="preserve">Главная :: Цифровые платформы — новая среда взаимодействия: обзор научно-практического семинара и результаты экспертного опроса | Цифровые платформы — новая среда взаимодействия: обзор научно-практического семинара и результаты экспертного опроса | Цифровые платформы — новая среда взаимодействия: обзор научно-практического семинара и результаты экспертного опроса | № 7 :: Цифровые платформы — новая среда взаимодействия: обзор научно-практического семинара и результаты экспертного опроса - Журнал российского права</x:t>
  </x:si>
  <x:si>
    <x:t xml:space="preserve">HTTP 200; проверка объекта 27.10.2026; https://jrp.jes.su/s1605-65900000622-5-1-ru-233/</x:t>
  </x:si>
  <x:si>
    <x:t xml:space="preserve">R321</x:t>
  </x:si>
  <x:si>
    <x:t xml:space="preserve">Михайлова Е.А., Хайкин С.Р. Методические особенности исследования закрытых этнических групп: опыт организации первого репрезентативного опроса цыган в России // Мониторинг общественного мнения: экономические и социальные перемены. 2016. № 3 (133). С. 68–79. https://doi.org/10.14515/monitoring.2016.3.05 EDN: XDGOQH</x:t>
  </x:si>
  <x:si>
    <x:t xml:space="preserve">Михайлова Е. А., Хайкин С. Р. Методические особенности исследования закрытых этнических групп : опыт организации первого репрезентативного опроса цыган в России // Мониторинг общественного мнения: экономические и социальные перемены. — 2016. — № 3 (133). — С. 68–79. — URL: https://monitoringjournal.ru/index.php/monitoring/article/view/472 (дата обращения: 27.10.2026).</x:t>
  </x:si>
  <x:si>
    <x:t xml:space="preserve">Михайлова Е. А. | Хайкин С. Р.</x:t>
  </x:si>
  <x:si>
    <x:t xml:space="preserve">Методические особенности исследования закрытых этнических групп: опыт организации первого репрезентативного опроса цыган в России</x:t>
  </x:si>
  <x:si>
    <x:t xml:space="preserve">3 (133)</x:t>
  </x:si>
  <x:si>
    <x:t xml:space="preserve">68–79</x:t>
  </x:si>
  <x:si>
    <x:t xml:space="preserve">https://doi.org/10.14515/monitoring.2016.3.05</x:t>
  </x:si>
  <x:si>
    <x:t xml:space="preserve">https://journals.rudn.ru/public-administration/article/view/47914?setLocale=ru_RU#articleCitations</x:t>
  </x:si>
  <x:si>
    <x:t xml:space="preserve">10.14515/monitoring.2016.3.05</x:t>
  </x:si>
  <x:si>
    <x:t xml:space="preserve">The experience of implementing Soviet policies of assimilation of national minorities: application in contemporary public administration</x:t>
  </x:si>
  <x:si>
    <x:t xml:space="preserve">XDGOQH</x:t>
  </x:si>
  <x:si>
    <x:t xml:space="preserve">https://journals.rudn.ru/public-administration/article/view/47914</x:t>
  </x:si>
  <x:si>
    <x:t xml:space="preserve">https://monitoringjournal.ru/index.php/monitoring/article/view/472</x:t>
  </x:si>
  <x:si>
    <x:t xml:space="preserve">Методические особенности исследования закрытых этнических групп: опыт организации первого репрезентативного опроса цыган в России | Методические особенности исследования закрытых этнических групп: опыт организации первого репрезентативного опроса цыган в России | 
		Методические особенности исследования закрытых этнических групп: опыт организации первого репрезентативного опроса цыган в России
							| Мониторинг общественного мнения: экономические и социальные перемены</x:t>
  </x:si>
  <x:si>
    <x:t xml:space="preserve">HTTP 200; проверка объекта 27.10.2026; https://monitoringjournal.ru/index.php/monitoring/article/view/472</x:t>
  </x:si>
  <x:si>
    <x:t xml:space="preserve">Проверка оформления Михаилом: достаточно данных — Да. Открылась страница статьи; DOI на странице совпал с DOI строки. Источник: Подтверждения_28_10_2026.html. Исходный вариант Михаила до последующего переноса: Михайлова, Е. А. Методические особенности исследования закрытых этнических групп: опыт организации первого репрезентативного опроса цыган в России / Е. А. Михайлова, С. Р. Хайкин // Мониторинг общественного мнения: экономические и социальные перемены. — 2016. — № 3 (133). — С. 68–79. — URL: https://monitoringjournal.ru/index.php/monitoring/article/view/472 (дата обращения: 27.10.2026).</x:t>
  </x:si>
  <x:si>
    <x:t xml:space="preserve">R322</x:t>
  </x:si>
  <x:si>
    <x:t xml:space="preserve">Черных А.В. Цыгане — кэлдэрары в России во второй половине ХIХ — начале ХХ века // Вестник Пермского университета. История. 2018. № 1 (40). С. 138–148. https://doi.org/10.17072/2219-3111-2018-1-138-148 EDN: YVOJRG</x:t>
  </x:si>
  <x:si>
    <x:t xml:space="preserve">Черных А. В. Цыгане — кэлдэрары в России во второй половине ХIХ — начале ХХ века // Вестник Пермского университета. История. — 2018. — № 1 (40). — С. 138–148. — URL: https://press.psu.ru/index.php/history/article/view/2499/1866 (дата обращения: 27.10.2026).</x:t>
  </x:si>
  <x:si>
    <x:t xml:space="preserve">Черных А. В.</x:t>
  </x:si>
  <x:si>
    <x:t xml:space="preserve">Цыгане — кэлдэрары в России во второй половине ХIХ — начале ХХ века</x:t>
  </x:si>
  <x:si>
    <x:t xml:space="preserve">Вестник Пермского университета. История</x:t>
  </x:si>
  <x:si>
    <x:t xml:space="preserve">1 (40)</x:t>
  </x:si>
  <x:si>
    <x:t xml:space="preserve">138–148</x:t>
  </x:si>
  <x:si>
    <x:t xml:space="preserve">https://doi.org/10.17072/2219-3111-2018-1-138-148</x:t>
  </x:si>
  <x:si>
    <x:t xml:space="preserve">10.17072/2219-3111-2018-1-138-148</x:t>
  </x:si>
  <x:si>
    <x:t xml:space="preserve">YVOJRG</x:t>
  </x:si>
  <x:si>
    <x:t xml:space="preserve">https://press.psu.ru/index.php/history/article/view/2499/1866</x:t>
  </x:si>
  <x:si>
    <x:t xml:space="preserve">Просмотр «Цыгане-кэлдэрары в России во второй половине ХIХ – начале ХХ в.»</x:t>
  </x:si>
  <x:si>
    <x:t xml:space="preserve">HTTP 200; проверка объекта 27.10.2026; https://press.psu.ru/index.php/history/article/view/2499/1866</x:t>
  </x:si>
  <x:si>
    <x:t xml:space="preserve">R323</x:t>
  </x:si>
  <x:si>
    <x:t xml:space="preserve">Герман А. Цыгане вчера и сегодня. М. : Учпедгиз, 1931. 100 с.</x:t>
  </x:si>
  <x:si>
    <x:t xml:space="preserve">Герман А. Цыгане вчера и сегодня. — Москва : Учпедгиз, 1931. — 100 с.</x:t>
  </x:si>
  <x:si>
    <x:t xml:space="preserve">Герман А.</x:t>
  </x:si>
  <x:si>
    <x:t xml:space="preserve">Цыгане вчера и сегодня</x:t>
  </x:si>
  <x:si>
    <x:t xml:space="preserve">Учпедгиз</x:t>
  </x:si>
  <x:si>
    <x:t xml:space="preserve">R324</x:t>
  </x:si>
  <x:si>
    <x:t xml:space="preserve">Лужков Ю.М. Мы дети твои, Москва. М. : Изд-во Вагриус, 1996. 338 с.</x:t>
  </x:si>
  <x:si>
    <x:t xml:space="preserve">Лужков Ю. М. Мы дети твои, Москва. — Москва : Изд-во Вагриус, 1996. — 338 с.</x:t>
  </x:si>
  <x:si>
    <x:t xml:space="preserve">Лужков Ю. М.</x:t>
  </x:si>
  <x:si>
    <x:t xml:space="preserve">Мы дети твои, Москва</x:t>
  </x:si>
  <x:si>
    <x:t xml:space="preserve">338</x:t>
  </x:si>
  <x:si>
    <x:t xml:space="preserve">Изд-во Вагриус</x:t>
  </x:si>
  <x:si>
    <x:t xml:space="preserve">https://journals.rudn.ru/public-administration/article/view/49690?setLocale=ru_RU#articleCitations</x:t>
  </x:si>
  <x:si>
    <x:t xml:space="preserve">The genesis of Moscow city self-government: a historical view of the past from the present</x:t>
  </x:si>
  <x:si>
    <x:t xml:space="preserve">https://journals.rudn.ru/public-administration/article/view/49690</x:t>
  </x:si>
  <x:si>
    <x:t xml:space="preserve">R325</x:t>
  </x:si>
  <x:si>
    <x:t xml:space="preserve">Убушаева Б.Г. Опыт реализации молодежных социальных проектов в городе Москвe // Вестник Российского университета дружбы народов. Серия: Государственное и муниципальное управление. 2024. Т. 11. № 2. C. 203–211. https://doi.org/10.22363/2312-8313-2024-11-2-203-211 EDN: KPIGRI</x:t>
  </x:si>
  <x:si>
    <x:t xml:space="preserve">Убушаева Б. Г. Опыт реализации молодежных социальных проектов в городе Москвe // Вестник Российского университета дружбы народов. Серия: Государственное и муниципальное управление. — 2024. — Т. 11. — № 2. — С. 203–211. — URL: https://journals.rudn.ru/public-administration/article/view/40260 (дата обращения: 27.10.2026).</x:t>
  </x:si>
  <x:si>
    <x:t xml:space="preserve">Убушаева Б. Г.</x:t>
  </x:si>
  <x:si>
    <x:t xml:space="preserve">Опыт реализации молодежных социальных проектов в городе Москвe</x:t>
  </x:si>
  <x:si>
    <x:t xml:space="preserve">203–211</x:t>
  </x:si>
  <x:si>
    <x:t xml:space="preserve">https://doi.org/10.22363/2312-8313-2024-11-2-203-211</x:t>
  </x:si>
  <x:si>
    <x:t xml:space="preserve">10.22363/2312-8313-2024-11-2-203-211</x:t>
  </x:si>
  <x:si>
    <x:t xml:space="preserve">KPIGRI</x:t>
  </x:si>
  <x:si>
    <x:t xml:space="preserve">https://journals.rudn.ru/public-administration/article/view/40260</x:t>
  </x:si>
  <x:si>
    <x:t xml:space="preserve">Experience of Implementing Youth Social Projects in Moscow | Experience of Implementing Youth Social Projects in Moscow | Опыт реализации молодежных социальных проектов в городе Москвe | Experience of Implementing Youth Social Projects in Moscow | Опыт реализации молодежных социальных проектов в городе Москвe | Experience of Implementing Youth Social Projects in Moscow - Ubushaeva - RUDN Journal of Public Administration</x:t>
  </x:si>
  <x:si>
    <x:t xml:space="preserve">HTTP 200; проверка объекта 27.10.2026; https://journals.rudn.ru/public-administration/article/view/40260</x:t>
  </x:si>
  <x:si>
    <x:t xml:space="preserve">R326</x:t>
  </x:si>
  <x:si>
    <x:t xml:space="preserve">Таунсент Э. Умные города: Большие данные, гражданские хакеры и поиски новой утопии. М. : Изд.-во Института Гайдара, 2019. 398 с.</x:t>
  </x:si>
  <x:si>
    <x:t xml:space="preserve">Таунсент Э. Умные города : Большие данные, гражданские хакеры и поиски новой утопии. — Москва : Изд.-во Института Гайдара, 2019. — 398 с.</x:t>
  </x:si>
  <x:si>
    <x:t xml:space="preserve">Таунсент Э.</x:t>
  </x:si>
  <x:si>
    <x:t xml:space="preserve">Умные города: Большие данные, гражданские хакеры и поиски новой утопии</x:t>
  </x:si>
  <x:si>
    <x:t xml:space="preserve">398</x:t>
  </x:si>
  <x:si>
    <x:t xml:space="preserve">Изд.-во Института Гайдара</x:t>
  </x:si>
  <x:si>
    <x:t xml:space="preserve">https://journals.rudn.ru/public-administration/article/view/49691?setLocale=ru_RU#articleCitations</x:t>
  </x:si>
  <x:si>
    <x:t xml:space="preserve">Ways to solve the problems of integrating local self-government into the system of public authority: towards the implementation of the new law</x:t>
  </x:si>
  <x:si>
    <x:t xml:space="preserve">https://journals.rudn.ru/public-administration/article/view/49691</x:t>
  </x:si>
  <x:si>
    <x:t xml:space="preserve">R327</x:t>
  </x:si>
  <x:si>
    <x:t xml:space="preserve">Уколов В.Ф., Шабуневич О.В. Адаптация инструментария и объектов мониторинга социально-экономического развития регионов к изменяющимся условиям // Вестник МИРБИС. 2022. № 2 (30). С. 150–157. https://doi.org/10.25634/MIRBIS.2022.2.15 EDN: BYTCWM</x:t>
  </x:si>
  <x:si>
    <x:t xml:space="preserve">Уколов В. Ф., Шабуневич О. В. Адаптация инструментария и объектов мониторинга социально-экономического развития регионов к изменяющимся условиям // Вестник МИРБИС. — 2022. — № 2 (30). — С. 150–157. — URL: https://cs.journal-mirbis.ru/-/yeJ4RptkuriDoPLm2wtiSA/sv/document/19/f2/42/521295/1215/30VM-2022_2.pdf?1654693653#page=150 (дата обращения: 27.10.2026).</x:t>
  </x:si>
  <x:si>
    <x:t xml:space="preserve">Уколов В. Ф. | Шабуневич О. В.</x:t>
  </x:si>
  <x:si>
    <x:t xml:space="preserve">Адаптация инструментария и объектов мониторинга социально-экономического развития регионов к изменяющимся условиям</x:t>
  </x:si>
  <x:si>
    <x:t xml:space="preserve">Вестник МИРБИС</x:t>
  </x:si>
  <x:si>
    <x:t xml:space="preserve">2 (30)</x:t>
  </x:si>
  <x:si>
    <x:t xml:space="preserve">150–157</x:t>
  </x:si>
  <x:si>
    <x:t xml:space="preserve">https://doi.org/10.25634/MIRBIS.2022.2.15</x:t>
  </x:si>
  <x:si>
    <x:t xml:space="preserve">10.25634/MIRBIS.2022.2.15</x:t>
  </x:si>
  <x:si>
    <x:t xml:space="preserve">BYTCWM</x:t>
  </x:si>
  <x:si>
    <x:t xml:space="preserve">https://cs.journal-mirbis.ru/-/yeJ4RptkuriDoPLm2wtiSA/sv/document/19/f2/42/521295/1215/30VM-2022_2.pdf?1654693653#page=150</x:t>
  </x:si>
  <x:si>
    <x:t xml:space="preserve">150
Вестник МИРБИС
2022, № 2 (30)’ . ISSN 2411-5703 http://journal-mirbis.ru/ 
journal@mirbis.ru
    МЕНЕДЖМЕНТ: СОВРЕМЕННЫЙ РАКУРС · MANAGEMENT: A MODERN PERSPECTIVE
Вестник МИРБИС. 2022. № 2 (30)' . С. 150–157. 
Vestnik MIRBIS. 2022; 2 (30)': 150</x:t>
  </x:si>
  <x:si>
    <x:t xml:space="preserve">HTTP 200; проверка объекта 27.10.2026; https://cs.journal-mirbis.ru/-/yeJ4RptkuriDoPLm2wtiSA/sv/document/19/f2/42/521295/1215/30VM-2022_2.pdf?1654693653#page=150</x:t>
  </x:si>
  <x:si>
    <x:t xml:space="preserve">R328</x:t>
  </x:si>
  <x:si>
    <x:t xml:space="preserve">Уколов В.Ф., Шабуневич О.В. Современные тренды цифровой трансформации и управление будущим основных сфер жизнедеятельности // Вестник МИРБИС. 2021. № 3 (27). С. 21–27. https://doi.org/10.25634/MIRBIS.2021.3.2 EDN: SJZROI</x:t>
  </x:si>
  <x:si>
    <x:t xml:space="preserve">Уколов В. Ф., Шабуневич О. В. Современные тренды цифровой трансформации и управление будущим основных сфер жизнедеятельности // Вестник МИРБИС. — 2021. — № 3 (27). — С. 21–27. — URL: https://cs.journal-mirbis.ru/-/D4H2cCR8aso0Uz1SKxfVdQ/sv/document/db/2a/4a/521295/1070/27VM-2021_3.pdf?1632915429#page=21 (дата обращения: 27.10.2026).</x:t>
  </x:si>
  <x:si>
    <x:t xml:space="preserve">Современные тренды цифровой трансформации и управление будущим основных сфер жизнедеятельности</x:t>
  </x:si>
  <x:si>
    <x:t xml:space="preserve">3 (27)</x:t>
  </x:si>
  <x:si>
    <x:t xml:space="preserve">21–27</x:t>
  </x:si>
  <x:si>
    <x:t xml:space="preserve">https://doi.org/10.25634/MIRBIS.2021.3.2</x:t>
  </x:si>
  <x:si>
    <x:t xml:space="preserve">10.25634/MIRBIS.2021.3.2</x:t>
  </x:si>
  <x:si>
    <x:t xml:space="preserve">SJZROI</x:t>
  </x:si>
  <x:si>
    <x:t xml:space="preserve">https://cs.journal-mirbis.ru/-/D4H2cCR8aso0Uz1SKxfVdQ/sv/document/db/2a/4a/521295/1070/27VM-2021_3.pdf?1632915429#page=21</x:t>
  </x:si>
  <x:si>
    <x:t xml:space="preserve">21
Вестник МИРБИС
2021, № 3 (27)’’ . ISSN 2411-5703http://journal-mirbis.ru/ 
journal@mirbis.ru
ЦИФРОВИЗАЦИЯ И УПРАВЛЕНИЕ · DIGITALIZATION AND MANAGEMENT
Вестник МИРБИС. 2021. № 3 (27)' . С. 21–27. 
Vestnik MIRBIS. 2021; 3 (27)': 21–27. 
Научная ст</x:t>
  </x:si>
  <x:si>
    <x:t xml:space="preserve">HTTP 200; проверка объекта 27.10.2026; https://cs.journal-mirbis.ru/-/D4H2cCR8aso0Uz1SKxfVdQ/sv/document/db/2a/4a/521295/1070/27VM-2021_3.pdf?1632915429#page=21</x:t>
  </x:si>
  <x:si>
    <x:t xml:space="preserve">R329</x:t>
  </x:si>
  <x:si>
    <x:t xml:space="preserve">Хмельченко Е.Г., Алексеев А.Ю. Современные механизмы и инструменты противодействия коррупции на государственном и муниципальном уровнях // Вестник университета. 2014. № 7. С. 89–94. EDN: SNRNRB</x:t>
  </x:si>
  <x:si>
    <x:t xml:space="preserve">Хмельченко Е. Г., Алексеев А. Ю. Современные механизмы и инструменты противодействия коррупции на государственном и муниципальном уровнях // Вестник университета. — 2014. — № 7. — С. 89–94.</x:t>
  </x:si>
  <x:si>
    <x:t xml:space="preserve">Хмельченко Е. Г. | Алексеев А. Ю.</x:t>
  </x:si>
  <x:si>
    <x:t xml:space="preserve">Современные механизмы и инструменты противодействия коррупции на государственном и муниципальном уровнях</x:t>
  </x:si>
  <x:si>
    <x:t xml:space="preserve">89–94</x:t>
  </x:si>
  <x:si>
    <x:t xml:space="preserve">SNRNRB</x:t>
  </x:si>
  <x:si>
    <x:t xml:space="preserve">R330</x:t>
  </x:si>
  <x:si>
    <x:t xml:space="preserve">Ломака В.А., Дронова В.А. Анализ и оценка реализации национального проекта «Жилье и городская среда» в текущем периоде: итоги и перспективы // Научные записки молодых исследователей. 2025. Т. 13. № 1. С. 65–78. EDN: EQVNDY</x:t>
  </x:si>
  <x:si>
    <x:t xml:space="preserve">Ломака В. А., Дронова В. А. Анализ и оценка реализации национального проекта «Жилье и городская среда» в текущем периоде : итоги и перспективы // Научные записки молодых исследователей. — 2025. — Т. 13. — № 1. — С. 65–78.</x:t>
  </x:si>
  <x:si>
    <x:t xml:space="preserve">Ломака В. А. | Дронова В. А.</x:t>
  </x:si>
  <x:si>
    <x:t xml:space="preserve">Анализ и оценка реализации национального проекта «Жилье и городская среда» в текущем периоде: итоги и перспективы</x:t>
  </x:si>
  <x:si>
    <x:t xml:space="preserve">Научные записки молодых исследователей</x:t>
  </x:si>
  <x:si>
    <x:t xml:space="preserve">65–78</x:t>
  </x:si>
  <x:si>
    <x:t xml:space="preserve">https://journals.rudn.ru/public-administration/article/view/49693?setLocale=ru_RU#articleCitations</x:t>
  </x:si>
  <x:si>
    <x:t xml:space="preserve">Moscow agglomeration and Greater Paris: Similarities and differences</x:t>
  </x:si>
  <x:si>
    <x:t xml:space="preserve">EQVNDY</x:t>
  </x:si>
  <x:si>
    <x:t xml:space="preserve">https://journals.rudn.ru/public-administration/article/view/49693</x:t>
  </x:si>
  <x:si>
    <x:t xml:space="preserve">R331</x:t>
  </x:si>
  <x:si>
    <x:t xml:space="preserve">Ильина И.Н., Коно М. Трансформация подходов к развитию «умного города». М. : Изд. дом Высшей школы экономики, 2023. 273 с. https://doi.org/10.17323/978-5-7598-2579-1 EDN: WCUQKP</x:t>
  </x:si>
  <x:si>
    <x:t xml:space="preserve">Ильина И. Н., Коно М. Трансформация подходов к развитию «умного города». — Москва : Изд. дом Высшей школы экономики, 2023. — 273 с.</x:t>
  </x:si>
  <x:si>
    <x:t xml:space="preserve">Ильина И. Н. | Коно М.</x:t>
  </x:si>
  <x:si>
    <x:t xml:space="preserve">Трансформация подходов к развитию «умного города»</x:t>
  </x:si>
  <x:si>
    <x:t xml:space="preserve">273</x:t>
  </x:si>
  <x:si>
    <x:t xml:space="preserve">Изд. дом Высшей школы экономики</x:t>
  </x:si>
  <x:si>
    <x:t xml:space="preserve">https://doi.org/10.17323/978-5-7598-2579-1</x:t>
  </x:si>
  <x:si>
    <x:t xml:space="preserve">10.17323/978-5-7598-2579-1</x:t>
  </x:si>
  <x:si>
    <x:t xml:space="preserve">WCUQKP</x:t>
  </x:si>
  <x:si>
    <x:t xml:space="preserve">R332</x:t>
  </x:si>
  <x:si>
    <x:t xml:space="preserve">Гукасян Г.Л. Урбанизация и пандемия COVID-2019 в городах мира: утрата преимуществ города или переосмысление городского развития? // Вестник Российского университета дружбы народов. Серия: Государственное и муниципальное управление. 2021. Т. 8. № 1. C. 7–19. https://doi.org/10.22363/2312-8313-2021-8-1-7-19 EDN: VDZMZX</x:t>
  </x:si>
  <x:si>
    <x:t xml:space="preserve">Гукасян Г. Л. Урбанизация и пандемия COVID-2019 в городах мира : утрата преимуществ города или переосмысление городского развития? // Вестник Российского университета дружбы народов. Серия: Государственное и муниципальное управление. — 2021. — Т. 8. — № 1. — С. 7–19. — URL: https://journals.rudn.ru/public-administration/article/view/25923 (дата обращения: 27.10.2026).</x:t>
  </x:si>
  <x:si>
    <x:t xml:space="preserve">Гукасян Г. Л.</x:t>
  </x:si>
  <x:si>
    <x:t xml:space="preserve">Урбанизация и пандемия COVID-2019 в городах мира: утрата преимуществ города или переосмысление городского развития?</x:t>
  </x:si>
  <x:si>
    <x:t xml:space="preserve">7–19</x:t>
  </x:si>
  <x:si>
    <x:t xml:space="preserve">https://doi.org/10.22363/2312-8313-2021-8-1-7-19</x:t>
  </x:si>
  <x:si>
    <x:t xml:space="preserve">https://journals.rudn.ru/public-administration/article/view/49694?setLocale=ru_RU#articleCitations</x:t>
  </x:si>
  <x:si>
    <x:t xml:space="preserve">10.22363/2312-8313-2021-8-1-7-19</x:t>
  </x:si>
  <x:si>
    <x:t xml:space="preserve">Opportunities and prospects for digitalization of the urban environment under the Smart City 2030 program in Moscow</x:t>
  </x:si>
  <x:si>
    <x:t xml:space="preserve">VDZMZX</x:t>
  </x:si>
  <x:si>
    <x:t xml:space="preserve">https://journals.rudn.ru/public-administration/article/view/49694</x:t>
  </x:si>
  <x:si>
    <x:t xml:space="preserve">https://journals.rudn.ru/public-administration/article/view/25923</x:t>
  </x:si>
  <x:si>
    <x:t xml:space="preserve">Urbanization and the COVID-2019 Pandemic in the World’s Cities: Losing the Benefits of the City or Rethinking of Urban Development? | Urbanization and the COVID-2019 Pandemic in the World’s Cities: Losing the Benefits of the City or Rethinking of Urban Development? | Урбанизация и пандемия COVID-2019 в городах мира: утрата преимуществ города или переосмысление городского развития? | Urbanization and the COVID-2019 Pandemic in the World’s Cities: Losing the Benefits of the City or Rethinking of Urban Development? | Урбанизация и пандемия COVID-2019 в городах мира: утрата преимуществ города или переосмысление городского развития? | Urbanization and the COVID-2019 Pandemic in the World’s Cities</x:t>
  </x:si>
  <x:si>
    <x:t xml:space="preserve">HTTP 200; проверка объекта 27.10.2026; https://journals.rudn.ru/public-administration/article/view/25923</x:t>
  </x:si>
  <x:si>
    <x:t xml:space="preserve">Проверка оформления Михаилом: достаточно данных — Да. Открылась страница статьи (заглавие на английском); DOI на странице совпал с DOI строки. Источник: Подтверждения_28_10_2026.html. Исходный вариант Михаила до последующего переноса: Гукасян, Г. Л. Урбанизация и пандемия COVID-2019 в городах мира: утрата преимуществ города или переосмысление городского развития? // Вестник Российского университета дружбы народов. Серия: Государственное и муниципальное управление. — 2021. — Т. 8, № 1. — С. 7–19. — URL: https://journals.rudn.ru/public-administration/article/view/25923 (дата обращения: 27.10.2026).</x:t>
  </x:si>
  <x:si>
    <x:t xml:space="preserve">R333</x:t>
  </x:si>
  <x:si>
    <x:t xml:space="preserve">Колыхалов М.И. Феномен глобального города-государства в мировой политике // Вестник Российского университета дружбы народов. Серия: Государственное и муниципальное управление. 2025. Т. 12. № 2. C. 204–211. https://doi.org/10.22363/2312-8313-2025-12-2-204-211 EDN: ONZZLN</x:t>
  </x:si>
  <x:si>
    <x:t xml:space="preserve">Колыхалов М. И. Феномен глобального города-государства в мировой политике // Вестник Российского университета дружбы народов. Серия: Государственное и муниципальное управление. — 2025. — Т. 12. — № 2. — С. 204–211. — URL: https://journals.rudn.ru/public-administration/article/view/45816 (дата обращения: 27.10.2026).</x:t>
  </x:si>
  <x:si>
    <x:t xml:space="preserve">Колыхалов М. И.</x:t>
  </x:si>
  <x:si>
    <x:t xml:space="preserve">Феномен глобального города-государства в мировой политике</x:t>
  </x:si>
  <x:si>
    <x:t xml:space="preserve">204–211</x:t>
  </x:si>
  <x:si>
    <x:t xml:space="preserve">https://doi.org/10.22363/2312-8313-2025-12-2-204-211</x:t>
  </x:si>
  <x:si>
    <x:t xml:space="preserve">10.22363/2312-8313-2025-12-2-204-211</x:t>
  </x:si>
  <x:si>
    <x:t xml:space="preserve">ONZZLN</x:t>
  </x:si>
  <x:si>
    <x:t xml:space="preserve">The phenomenon of the global city-state in world politics | The phenomenon of the global city-state in world politics | Феномен глобального города-государства в мировой политике | The phenomenon of the global city-state in world politics | Феномен глобального города-государства в мировой политике | The phenomenon of the global city-state in world politics - Kolykhalov - RUDN Journal of Public Administration</x:t>
  </x:si>
  <x:si>
    <x:t xml:space="preserve">HTTP 200; проверка объекта 27.10.2026; https://journals.rudn.ru/public-administration/article/view/45816</x:t>
  </x:si>
  <x:si>
    <x:t xml:space="preserve">R334</x:t>
  </x:si>
  <x:si>
    <x:t xml:space="preserve">Фуко М. Надзирать и наказывать. Рождение тюрьмы. М. : Ad Marginem, 1999. 478 с.</x:t>
  </x:si>
  <x:si>
    <x:t xml:space="preserve">Фуко М. Надзирать и наказывать. Рождение тюрьмы. — Москва : Ad Marginem, 1999. — 478 с.</x:t>
  </x:si>
  <x:si>
    <x:t xml:space="preserve">Фуко М.</x:t>
  </x:si>
  <x:si>
    <x:t xml:space="preserve">Надзирать и наказывать. Рождение тюрьмы</x:t>
  </x:si>
  <x:si>
    <x:t xml:space="preserve">478</x:t>
  </x:si>
  <x:si>
    <x:t xml:space="preserve">Ad Marginem</x:t>
  </x:si>
  <x:si>
    <x:t xml:space="preserve">https://journals.rudn.ru/public-administration/article/view/49695?setLocale=ru_RU#articleCitations</x:t>
  </x:si>
  <x:si>
    <x:t xml:space="preserve">Mass media and digitalization in the traditionalist critique of globalization and information policy</x:t>
  </x:si>
  <x:si>
    <x:t xml:space="preserve">https://journals.rudn.ru/public-administration/article/view/49695</x:t>
  </x:si>
  <x:si>
    <x:t xml:space="preserve">R335</x:t>
  </x:si>
  <x:si>
    <x:t xml:space="preserve">Олешко В.Ф., Малик О.В. Влияние цифровых средств массовой информации на формирование глобальной системы социальных коммуникаций // Известия Уральского федерального университета. Серия 1: Проблемы образования, науки и культуры. 2017. Т. 23. № 4 (168). С. 5–12. EDN: ZXHAQD</x:t>
  </x:si>
  <x:si>
    <x:t xml:space="preserve">Олешко В. Ф., Малик О. В. Влияние цифровых средств массовой информации на формирование глобальной системы социальных коммуникаций // Известия Уральского федерального университета. Серия 1: Проблемы образования, науки и культуры. — 2017. — Т. 23. — № 4 (168). — С. 5–12.</x:t>
  </x:si>
  <x:si>
    <x:t xml:space="preserve">Олешко В. Ф. | Малик О. В.</x:t>
  </x:si>
  <x:si>
    <x:t xml:space="preserve">Влияние цифровых средств массовой информации на формирование глобальной системы социальных коммуникаций</x:t>
  </x:si>
  <x:si>
    <x:t xml:space="preserve">Известия Уральского федерального университета. Серия 1: Проблемы образования, науки и культуры</x:t>
  </x:si>
  <x:si>
    <x:t xml:space="preserve">4 (168)</x:t>
  </x:si>
  <x:si>
    <x:t xml:space="preserve">5–12</x:t>
  </x:si>
  <x:si>
    <x:t xml:space="preserve">ZXHAQD</x:t>
  </x:si>
  <x:si>
    <x:t xml:space="preserve">R336</x:t>
  </x:si>
  <x:si>
    <x:t xml:space="preserve">Дугин А. Война континентов. Современный мир в геополитической системе координат. М. : Академический проект, 2015. 359 с.</x:t>
  </x:si>
  <x:si>
    <x:t xml:space="preserve">Дугин А. Война континентов. Современный мир в геополитической системе координат. — Москва : Академический проект, 2015. — 359 с.</x:t>
  </x:si>
  <x:si>
    <x:t xml:space="preserve">Дугин А.</x:t>
  </x:si>
  <x:si>
    <x:t xml:space="preserve">Война континентов. Современный мир в геополитической системе координат</x:t>
  </x:si>
  <x:si>
    <x:t xml:space="preserve">359</x:t>
  </x:si>
  <x:si>
    <x:t xml:space="preserve">Академический проект</x:t>
  </x:si>
  <x:si>
    <x:t xml:space="preserve">R337</x:t>
  </x:si>
  <x:si>
    <x:t xml:space="preserve">Бенуа А. Против либерализма: (к Четвертой политической теории). СПб. : Амфора ; ТИД Амфора, 2009. 476 с.</x:t>
  </x:si>
  <x:si>
    <x:t xml:space="preserve">Бенуа А. Против либерализма : (к Четвертой политической теории). — Санкт-Петербург : Амфора ; ТИД Амфора, 2009. — 476 с.</x:t>
  </x:si>
  <x:si>
    <x:t xml:space="preserve">Бенуа А.</x:t>
  </x:si>
  <x:si>
    <x:t xml:space="preserve">Против либерализма: (к Четвертой политической теории)</x:t>
  </x:si>
  <x:si>
    <x:t xml:space="preserve">476</x:t>
  </x:si>
  <x:si>
    <x:t xml:space="preserve">Амфора ; ТИД Амфора</x:t>
  </x:si>
  <x:si>
    <x:t xml:space="preserve">Проверка оформления Михаилом: достаточно данных — Да. Исходный вариант Михаила до последующего переноса: Бенуа, А. Против либерализма: (к Четвертой политической теории). — СПб. : Амфора ; ТИД Амфора, 2009. — 476 с.</x:t>
  </x:si>
  <x:si>
    <x:t xml:space="preserve">R338</x:t>
  </x:si>
  <x:si>
    <x:t xml:space="preserve">Ситковский А.М. Влияние государственной политики агломерирования на долгосрочные тенденции изменения численности населения России // Вестник Российского университета дружбы народов. Серия: Государственное и муниципальное управление. 2025. Т. 12. № 3. C. 375–385. https://doi.org/10.22363/2312-8313-2025-12-3-375-385 EDN: BMRMLM</x:t>
  </x:si>
  <x:si>
    <x:t xml:space="preserve">Ситковский А. М. Влияние государственной политики агломерирования на долгосрочные тенденции изменения численности населения России // Вестник Российского университета дружбы народов. Серия: Государственное и муниципальное управление. — 2025. — Т. 12. — № 3. — С. 375–385. — URL: https://journals.rudn.ru/public-administration/article/view/46833 (дата обращения: 27.10.2026).</x:t>
  </x:si>
  <x:si>
    <x:t xml:space="preserve">Ситковский А. М.</x:t>
  </x:si>
  <x:si>
    <x:t xml:space="preserve">Влияние государственной политики агломерирования на долгосрочные тенденции изменения численности населения России</x:t>
  </x:si>
  <x:si>
    <x:t xml:space="preserve">375–385</x:t>
  </x:si>
  <x:si>
    <x:t xml:space="preserve">https://doi.org/10.22363/2312-8313-2025-12-3-375-385</x:t>
  </x:si>
  <x:si>
    <x:t xml:space="preserve">https://journals.rudn.ru/public-administration/article/view/49696?setLocale=ru_RU#articleCitations</x:t>
  </x:si>
  <x:si>
    <x:t xml:space="preserve">10.22363/2312-8313-2025-12-3-375-385</x:t>
  </x:si>
  <x:si>
    <x:t xml:space="preserve">Demographic typology of indigenous peoples of Russia: cluster analysis of age structure</x:t>
  </x:si>
  <x:si>
    <x:t xml:space="preserve">BMRMLM</x:t>
  </x:si>
  <x:si>
    <x:t xml:space="preserve">https://journals.rudn.ru/public-administration/article/view/49696</x:t>
  </x:si>
  <x:si>
    <x:t xml:space="preserve">The impact of state agglomeration policy on long-term trends of population changes in Russia | The impact of state agglomeration policy on long-term trends of population changes in Russia | Влияние государственной политики агломерирования на долгосрочные тенденции изменения численности населения России | The impact of state agglomeration policy on long-term trends of population changes in Russia | Влияние государственной политики агломерирования на долгосрочные тенденции изменения численности населения России | The impact of state agglomeration policy on long-term trends of population changes in Russia - Sitkovskiy - RUDN Journal of Public Administration</x:t>
  </x:si>
  <x:si>
    <x:t xml:space="preserve">HTTP 200; проверка объекта 27.10.2026; https://journals.rudn.ru/public-administration/article/view/46833</x:t>
  </x:si>
  <x:si>
    <x:t xml:space="preserve">R339</x:t>
  </x:si>
  <x:si>
    <x:t xml:space="preserve">Худокормов А.Г. Научно-техническая революция в XX веке (в помощь лектору) // Научные исследования экономического факультета. Электронный журнал. 2023. Т. 15. № 1 (47). С. 7–36. https://doi.org/10.38050/2078-3809-2023-15-1-7-36 EDN: CMLXJY</x:t>
  </x:si>
  <x:si>
    <x:t xml:space="preserve">Худокормов А. Г. Научно-техническая революция в XX веке (в помощь лектору) // Научные исследования экономического факультета. Электронный журнал. — 2023. — Т. 15. — № 1 (47). — С. 7–36. — URL: https://scires.elpub.ru/jour/article/view/242 (дата обращения: 27.10.2026).</x:t>
  </x:si>
  <x:si>
    <x:t xml:space="preserve">Худокормов А. Г.</x:t>
  </x:si>
  <x:si>
    <x:t xml:space="preserve">Научно-техническая революция в XX веке (в помощь лектору)</x:t>
  </x:si>
  <x:si>
    <x:t xml:space="preserve">Научные исследования экономического факультета. Электронный журнал</x:t>
  </x:si>
  <x:si>
    <x:t xml:space="preserve">1 (47)</x:t>
  </x:si>
  <x:si>
    <x:t xml:space="preserve">7–36</x:t>
  </x:si>
  <x:si>
    <x:t xml:space="preserve">https://doi.org/10.38050/2078-3809-2023-15-1-7-36</x:t>
  </x:si>
  <x:si>
    <x:t xml:space="preserve">https://journals.rudn.ru/public-administration/article/view/49697?setLocale=ru_RU#articleCitations</x:t>
  </x:si>
  <x:si>
    <x:t xml:space="preserve">10.38050/2078-3809-2023-15-1-7-36</x:t>
  </x:si>
  <x:si>
    <x:t xml:space="preserve">Theoretical and methodological dimensions of studying politico-administrative transformations in the state</x:t>
  </x:si>
  <x:si>
    <x:t xml:space="preserve">CMLXJY</x:t>
  </x:si>
  <x:si>
    <x:t xml:space="preserve">https://journals.rudn.ru/public-administration/article/view/49697</x:t>
  </x:si>
  <x:si>
    <x:t xml:space="preserve">https://scires.elpub.ru/jour/article/view/242</x:t>
  </x:si>
  <x:si>
    <x:t xml:space="preserve">Научно-техническая революция в XX веке (в помощь лектору) | Худокормов | Научные исследования экономического факультета. Электронный журнал | Научно-техническая революция в XX веке (в помощь лектору) | Scientific and Technological Revolution in the XX Century | Научно-техническая революция в XX веке (в помощь лектору) | Научно-техническая революция в XX веке (в помощь лектору) | Худокормов | Научные исследования экономического факультета. Электронный журнал</x:t>
  </x:si>
  <x:si>
    <x:t xml:space="preserve">HTTP 200; проверка объекта 27.10.2026; https://scires.elpub.ru/jour/article/view/242</x:t>
  </x:si>
  <x:si>
    <x:t xml:space="preserve">R340</x:t>
  </x:si>
  <x:si>
    <x:t xml:space="preserve">Короленко Ю.Н., Романюк Е.В. Цифровая занятость: состояние и регулирование на российском рынке труда // Научный результат. Экономические исследования. 2025. Т. 11. № 2. С. 93–105. https://doi.org/10.18413/2409-1634-2025-11-2-0-8 EDN: BATWZS</x:t>
  </x:si>
  <x:si>
    <x:t xml:space="preserve">Короленко Ю. Н., Романюк Е. В. Цифровая занятость : состояние и регулирование на российском рынке труда // Научный результат. Экономические исследования. — 2025. — Т. 11. — № 2. — С. 93–105. — URL: https://rreconomic.ru/journal/annotation/3832/ (дата обращения: 27.10.2026).</x:t>
  </x:si>
  <x:si>
    <x:t xml:space="preserve">Короленко Ю. Н. | Романюк Е. В.</x:t>
  </x:si>
  <x:si>
    <x:t xml:space="preserve">Цифровая занятость: состояние и регулирование на российском рынке труда</x:t>
  </x:si>
  <x:si>
    <x:t xml:space="preserve">Научный результат. Экономические исследования</x:t>
  </x:si>
  <x:si>
    <x:t xml:space="preserve">93–105</x:t>
  </x:si>
  <x:si>
    <x:t xml:space="preserve">https://doi.org/10.18413/2409-1634-2025-11-2-0-8</x:t>
  </x:si>
  <x:si>
    <x:t xml:space="preserve">https://journals.rudn.ru/public-administration/article/view/49698?setLocale=ru_RU#articleCitations</x:t>
  </x:si>
  <x:si>
    <x:t xml:space="preserve">10.18413/2409-1634-2025-11-2-0-8</x:t>
  </x:si>
  <x:si>
    <x:t xml:space="preserve">Development of the Russian labor market in the context of the digital transformation of the economy</x:t>
  </x:si>
  <x:si>
    <x:t xml:space="preserve">BATWZS</x:t>
  </x:si>
  <x:si>
    <x:t xml:space="preserve">https://journals.rudn.ru/public-administration/article/view/49698</x:t>
  </x:si>
  <x:si>
    <x:t xml:space="preserve">https://rreconomic.ru/journal/annotation/3832/</x:t>
  </x:si>
  <x:si>
    <x:t xml:space="preserve">ЦИФРОВАЯ ЗАНЯТОСТЬ: СОСТОЯНИЕ И РЕГУЛИРОВАНИЕ НА РОССИЙСКОМ РЫНКЕ ТРУДА</x:t>
  </x:si>
  <x:si>
    <x:t xml:space="preserve">HTTP 200; проверка объекта 27.10.2026; https://rreconomic.ru/journal/annotation/3832/</x:t>
  </x:si>
  <x:si>
    <x:t xml:space="preserve">R341</x:t>
  </x:si>
  <x:si>
    <x:t xml:space="preserve">Миронов В.В., Иванюшин Ю.А., Суглобов Д.А., Миронов Д.В., Максимов Л.И. Технология жизнеобеспечения пляжных глэмпингов с использованием возобновляемой энергии морских волн // Вестник МГСУ. 2024. Т. 19. № 4 (185). С. 618-630. https://doi.org/10.22227/1997-0935.2024.4.618-630 EDN: LDQQYP</x:t>
  </x:si>
  <x:si>
    <x:t xml:space="preserve">Технология жизнеобеспечения пляжных глэмпингов с использованием возобновляемой энергии морских волн / В. В. Миронов, Ю. А. Иванюшин, Д. А. Суглобов, Д. В. Миронов, Л. И. Максимов // Вестник МГСУ. — 2024. — Т. 19. — № 4 (185). — С. 618–630. — URL: https://www.vestnikmgsu.ru/jour/article/view/241 (дата обращения: 27.10.2026).</x:t>
  </x:si>
  <x:si>
    <x:t xml:space="preserve">Миронов В. В. | Иванюшин Ю. А. | Суглобов Д. А. | Миронов Д. В. | Максимов Л. И.</x:t>
  </x:si>
  <x:si>
    <x:t xml:space="preserve">Технология жизнеобеспечения пляжных глэмпингов с использованием возобновляемой энергии морских волн</x:t>
  </x:si>
  <x:si>
    <x:t xml:space="preserve">Вестник МГСУ</x:t>
  </x:si>
  <x:si>
    <x:t xml:space="preserve">4 (185)</x:t>
  </x:si>
  <x:si>
    <x:t xml:space="preserve">618–630</x:t>
  </x:si>
  <x:si>
    <x:t xml:space="preserve">https://doi.org/10.22227/1997-0935.2024.4.618-630</x:t>
  </x:si>
  <x:si>
    <x:t xml:space="preserve">https://journals.rudn.ru/structural-mechanics/article/view/45216?setLocale=ru_RU#articleCitations</x:t>
  </x:si>
  <x:si>
    <x:t xml:space="preserve">10.22227/1997-0935.2024.4.618-630</x:t>
  </x:si>
  <x:si>
    <x:t xml:space="preserve">Analysis of Water Seepage into Vacuum Anchor Subjected to Pull-Out Load</x:t>
  </x:si>
  <x:si>
    <x:t xml:space="preserve">LDQQYP</x:t>
  </x:si>
  <x:si>
    <x:t xml:space="preserve">https://journals.rudn.ru/structural-mechanics/article/view/45216</x:t>
  </x:si>
  <x:si>
    <x:t xml:space="preserve">https://www.vestnikmgsu.ru/jour/article/view/241</x:t>
  </x:si>
  <x:si>
    <x:t xml:space="preserve">Технология жизнеобеспечения пляжных глэмпингов с использованием возобновляемой энергии морских волн | Миронов | Вестник МГСУ | Технология жизнеобеспечения пляжных глэмпингов с использованием возобновляемой энергии морских волн | Life support technology of beach glamping using renewable energy of sea waves | Технология жизнеобеспечения пляжных глэмпингов с использованием возобновляемой энергии морских волн | Технология жизнеобеспечения пляжных глэмпингов с использованием возобновляемой энергии морских волн | Миронов | Вестник МГСУ</x:t>
  </x:si>
  <x:si>
    <x:t xml:space="preserve">HTTP 200; проверка объекта 27.10.2026; https://www.vestnikmgsu.ru/jour/article/view/241</x:t>
  </x:si>
  <x:si>
    <x:t xml:space="preserve">R342</x:t>
  </x:si>
  <x:si>
    <x:t xml:space="preserve">Некучаев В.О., Семиткина Е.В., Терентьева М.В., Кривов В.Е. Совершенствование конструктивных решений по закреплению магистрального газопровода в условиях слабонесущих грунтов // Транспорт и хранение нефтепродуктов и углеводородного сырья. 2023. № 5-6. С. 5-12. https://doi.org/10.24412/0131-4270-2023-5-6-5-12 EDN: BILHWZ</x:t>
  </x:si>
  <x:si>
    <x:t xml:space="preserve">Совершенствование конструктивных решений по закреплению магистрального газопровода в условиях слабонесущих грунтов / В. О. Некучаев, Е. В. Семиткина, М. В. Терентьева, В. Е. Кривов // Транспорт и хранение нефтепродуктов и углеводородного сырья. — 2023. — № 5-6. — С. 5–12. — URL: https://cyberleninka.ru/article/n/sovershenstvovanie-konstruktivnyh-resheniy-po-zakrepleniyu-magistralnogo-gazoprovoda-v-usloviyah-slabonesuschih-gruntov (дата обращения: 27.10.2026).</x:t>
  </x:si>
  <x:si>
    <x:t xml:space="preserve">Некучаев В. О. | Семиткина Е. В. | Терентьева М. В. | Кривов В. Е.</x:t>
  </x:si>
  <x:si>
    <x:t xml:space="preserve">Совершенствование конструктивных решений по закреплению магистрального газопровода в условиях слабонесущих грунтов</x:t>
  </x:si>
  <x:si>
    <x:t xml:space="preserve">Транспорт и хранение нефтепродуктов и углеводородного сырья</x:t>
  </x:si>
  <x:si>
    <x:t xml:space="preserve">5-6</x:t>
  </x:si>
  <x:si>
    <x:t xml:space="preserve">https://doi.org/10.24412/0131-4270-2023-5-6-5-12</x:t>
  </x:si>
  <x:si>
    <x:t xml:space="preserve">10.24412/0131-4270-2023-5-6-5-12</x:t>
  </x:si>
  <x:si>
    <x:t xml:space="preserve">BILHWZ</x:t>
  </x:si>
  <x:si>
    <x:t xml:space="preserve">https://cyberleninka.ru/article/n/sovershenstvovanie-konstruktivnyh-resheniy-po-zakrepleniyu-magistralnogo-gazoprovoda-v-usloviyah-slabonesuschih-gruntov</x:t>
  </x:si>
  <x:si>
    <x:t xml:space="preserve">СОВЕРШЕНСТВОВАНИЕ КОНСТРУКТИВНЫХ РЕШЕНИЙ ПО ЗАКРЕПЛЕНИЮ МАГИСТРАЛЬНОГО ГАЗОПРОВОДА В УСЛОВИЯХ СЛАБОНЕСУЩИХ ГРУНТОВ | СОВЕРШЕНСТВОВАНИЕ КОНСТРУКТИВНЫХ РЕШЕНИЙ ПО ЗАКРЕПЛЕНИЮ МАГИСТРАЛЬНОГО ГАЗОПРОВОДА В УСЛОВИЯХ СЛАБОНЕСУЩИХ ГРУНТОВ | СОВЕРШЕНСТВОВАНИЕ КОНСТРУКТИВНЫХ РЕШЕНИЙ ПО ЗАКРЕПЛЕНИЮ МАГИСТРАЛЬНОГО ГАЗОПРОВОДА В УСЛОВИЯХ СЛАБОНЕСУЩИХ ГРУНТОВ – тема научной статьи по строительству и архитектуре читайте бесплатно текст научно-исследовательской работы в электронной библиотеке КиберЛенинка</x:t>
  </x:si>
  <x:si>
    <x:t xml:space="preserve">HTTP 200; проверка объекта 27.10.2026; https://cyberleninka.ru/article/n/sovershenstvovanie-konstruktivnyh-resheniy-po-zakrepleniyu-magistralnogo-gazoprovoda-v-usloviyah-slabonesuschih-gruntov</x:t>
  </x:si>
  <x:si>
    <x:t xml:space="preserve">R343</x:t>
  </x:si>
  <x:si>
    <x:t xml:space="preserve">Голованов А.И., Тюленева О.Н., Шигабутдинов А.Ф. Метод конечных элементов в статике и динамике тонкостенных конструкций. Москва : Физматлит, 2006. 391 с. ISBN 5-9221-0674-0 EDN: QJPXPV</x:t>
  </x:si>
  <x:si>
    <x:t xml:space="preserve">Голованов А. И., Тюленева О. Н., Шигабутдинов А. Ф. Метод конечных элементов в статике и динамике тонкостенных конструкций. — Москва : Физматлит, 2006. — 391 с.</x:t>
  </x:si>
  <x:si>
    <x:t xml:space="preserve">Голованов А. И. | Тюленева О. Н. | Шигабутдинов А. Ф.</x:t>
  </x:si>
  <x:si>
    <x:t xml:space="preserve">Метод конечных элементов в статике и динамике тонкостенных конструкций</x:t>
  </x:si>
  <x:si>
    <x:t xml:space="preserve">391</x:t>
  </x:si>
  <x:si>
    <x:t xml:space="preserve">Физматлит</x:t>
  </x:si>
  <x:si>
    <x:t xml:space="preserve">5-9221-0674-0</x:t>
  </x:si>
  <x:si>
    <x:t xml:space="preserve">https://journals.rudn.ru/structural-mechanics/article/view/45218?setLocale=ru_RU#articleCitations</x:t>
  </x:si>
  <x:si>
    <x:t xml:space="preserve">Two-Field Prismatic Finite Element Under Elasto-Plastic Deformation</x:t>
  </x:si>
  <x:si>
    <x:t xml:space="preserve">QJPXPV</x:t>
  </x:si>
  <x:si>
    <x:t xml:space="preserve">https://journals.rudn.ru/structural-mechanics/article/view/45218</x:t>
  </x:si>
  <x:si>
    <x:t xml:space="preserve">R344</x:t>
  </x:si>
  <x:si>
    <x:t xml:space="preserve">Филин А.П. Прикладная механика твердого деформируемого тела : сопротивление материалов с элементами теории сплошных сред и строительной механики. Т. III. Москва : Наука, 1981. 480 с. URL: https://djvu.online/file/rrZaPLb2PDUM9 (дата обращения: 22.01.2025).</x:t>
  </x:si>
  <x:si>
    <x:t xml:space="preserve">Филин А. П. Прикладная механика твердого деформируемого тела : сопротивление материалов с элементами теории сплошных сред и строительной механики. Т. III. — Москва : Наука, 1981. — 480 с.</x:t>
  </x:si>
  <x:si>
    <x:t xml:space="preserve">Филин А. П.</x:t>
  </x:si>
  <x:si>
    <x:t xml:space="preserve">Прикладная механика твердого деформируемого тела : сопротивление материалов с элементами теории сплошных сред и строительной механики. Т. III</x:t>
  </x:si>
  <x:si>
    <x:t xml:space="preserve">https://djvu.online/file/rrZaPLb2PDUM9</x:t>
  </x:si>
  <x:si>
    <x:t xml:space="preserve">https://journals.rudn.ru/structural-mechanics/article/view/45219?setLocale=ru_RU#articleCitations</x:t>
  </x:si>
  <x:si>
    <x:t xml:space="preserve">Dynamic Loading of Bar Systems with a Finite Number of Degrees of Freedom</x:t>
  </x:si>
  <x:si>
    <x:t xml:space="preserve">https://journals.rudn.ru/structural-mechanics/article/view/45219</x:t>
  </x:si>
  <x:si>
    <x:t xml:space="preserve">R345</x:t>
  </x:si>
  <x:si>
    <x:t xml:space="preserve">Егоров А.В., Егоров В.Н. Расчетно-экспериментальное исследование продольной устойчивости конструкции тонкостенного плоского стержня // Инженерный журнал: наука и инновации, 2023. № 3. С. 1-16. http://doi.org/10.18698/2308-6033-2023-3-2256 EDN: VFTQTU</x:t>
  </x:si>
  <x:si>
    <x:t xml:space="preserve">Егоров А. В., Егоров В. Н. Расчетно-экспериментальное исследование продольной устойчивости конструкции тонкостенного плоского стержня // Инженерный журнал: наука и инновации. — 2023. — № 3. — С. 1–16. — URL: https://engjournal.bmstu.ru/eng/catalog/mech/mdsb/2256.html (дата обращения: 27.10.2026).</x:t>
  </x:si>
  <x:si>
    <x:t xml:space="preserve">Егоров А. В. | Егоров В. Н.</x:t>
  </x:si>
  <x:si>
    <x:t xml:space="preserve">Расчетно-экспериментальное исследование продольной устойчивости конструкции тонкостенного плоского стержня</x:t>
  </x:si>
  <x:si>
    <x:t xml:space="preserve">Инженерный журнал: наука и инновации</x:t>
  </x:si>
  <x:si>
    <x:t xml:space="preserve">1–16</x:t>
  </x:si>
  <x:si>
    <x:t xml:space="preserve">http://doi.org/10.18698/2308-6033-2023-3-2256</x:t>
  </x:si>
  <x:si>
    <x:t xml:space="preserve">10.18698/2308-6033-2023-3-2256</x:t>
  </x:si>
  <x:si>
    <x:t xml:space="preserve">VFTQTU</x:t>
  </x:si>
  <x:si>
    <x:t xml:space="preserve">https://engjournal.bmstu.ru/eng/catalog/mech/mdsb/2256.html</x:t>
  </x:si>
  <x:si>
    <x:t xml:space="preserve">Computational and experimental study of longitudinal stability of the thin-walled flat bar structure | Engineering Journal: Science and Innovation</x:t>
  </x:si>
  <x:si>
    <x:t xml:space="preserve">HTTP 200; проверка объекта 27.10.2026; https://engjournal.bmstu.ru/eng/catalog/mech/mdsb/2256.html</x:t>
  </x:si>
  <x:si>
    <x:t xml:space="preserve">R346</x:t>
  </x:si>
  <x:si>
    <x:t xml:space="preserve">Колмогоров Г.Л., Мельникова Т.Е., Азина Е.О. Применение метода Бубнова-Галеркина для оценки устойчивости анизотропных пластин // Строительная механика инженерных конструкций и сооружений. 2017. № 4. C. 29-33. http://doi.org/10.22363/1815-5235-2017-4-29-33</x:t>
  </x:si>
  <x:si>
    <x:t xml:space="preserve">Колмогоров Г. Л., Мельникова Т. Е., Азина Е. О. Применение метода Бубнова-Галеркина для оценки устойчивости анизотропных пластин // Строительная механика инженерных конструкций и сооружений. — 2017. — № 4. — С. 29–33. — URL: https://journals.rudn.ru/structural-mechanics/article/view/16294 (дата обращения: 27.10.2026).</x:t>
  </x:si>
  <x:si>
    <x:t xml:space="preserve">Колмогоров Г. Л. | Мельникова Т. Е. | Азина Е. О.</x:t>
  </x:si>
  <x:si>
    <x:t xml:space="preserve">Применение метода Бубнова-Галеркина для оценки устойчивости анизотропных пластин</x:t>
  </x:si>
  <x:si>
    <x:t xml:space="preserve">Строительная механика инженерных конструкций и сооружений</x:t>
  </x:si>
  <x:si>
    <x:t xml:space="preserve">29–33</x:t>
  </x:si>
  <x:si>
    <x:t xml:space="preserve">http://doi.org/10.22363/1815-5235-2017-4-29-33</x:t>
  </x:si>
  <x:si>
    <x:t xml:space="preserve">10.22363/1815-5235-2017-4-29-33</x:t>
  </x:si>
  <x:si>
    <x:t xml:space="preserve">https://journals.rudn.ru/structural-mechanics/article/view/16294</x:t>
  </x:si>
  <x:si>
    <x:t xml:space="preserve">PRIMENENIE METODA BUBNOVA - GALERKINA DLYa OTsENKI USTOYChIVOSTI ANIZOTROPNYKh PLASTIN | PRIMENENIE METODA BUBNOVA - GALERKINA DLYa OTsENKI USTOYChIVOSTI ANIZOTROPNYKh PLASTIN | ПРИМЕНЕНИЕ МЕТОДА БУБНОВА - ГАЛЕРКИНА ДЛЯ ОЦЕНКИ УСТОЙЧИВОСТИ АНИЗОТРОПНЫХ ПЛАСТИН | PRIMENENIE METODA BUBNOVA - GALERKINA DLYa OTsENKI USTOYChIVOSTI ANIZOTROPNYKh PLASTIN | ПРИМЕНЕНИЕ МЕТОДА БУБНОВА - ГАЛЕРКИНА ДЛЯ ОЦЕНКИ УСТОЙЧИВОСТИ АНИЗОТРОПНЫХ ПЛАСТИН | PRIMENENIE METODA BUBNOVA - GALERKINA DLYa OTsENKI USTOYChIVOSTI ANIZOTROPNYKh PLASTIN - KOLMOGOROV - Structural Mechanics of Engineering Constructions and Buildings</x:t>
  </x:si>
  <x:si>
    <x:t xml:space="preserve">HTTP 200; проверка объекта 27.10.2026; https://journals.rudn.ru/structural-mechanics/article/view/16294</x:t>
  </x:si>
  <x:si>
    <x:t xml:space="preserve">R347</x:t>
  </x:si>
  <x:si>
    <x:t xml:space="preserve">Мануйлов Г.А., Косицын С.Б., Грудцына И.Е. Геометрически нелинейный расчет на устойчивость подкрепленной пластины с учетом взаимодействия собственных форм выпучивания // Строительная механика инженерных конструкций и сооружений. 2021. Т. 17. № 1. С. 3-18. http://doi.org/10.22363/1815-5235-2021-17-1-3-18</x:t>
  </x:si>
  <x:si>
    <x:t xml:space="preserve">Мануйлов Г. А., Косицын С. Б., Грудцына И. Е. Геометрически нелинейный расчет на устойчивость подкрепленной пластины с учетом взаимодействия собственных форм выпучивания // Строительная механика инженерных конструкций и сооружений. — 2021. — Т. 17. — № 1. — С. 3–18. — URL: https://journals.rudn.ru/structural-mechanics/article/view/26182 (дата обращения: 27.10.2026).</x:t>
  </x:si>
  <x:si>
    <x:t xml:space="preserve">Мануйлов Г. А. | Косицын С. Б. | Грудцына И. Е.</x:t>
  </x:si>
  <x:si>
    <x:t xml:space="preserve">Геометрически нелинейный расчет на устойчивость подкрепленной пластины с учетом взаимодействия собственных форм выпучивания</x:t>
  </x:si>
  <x:si>
    <x:t xml:space="preserve">3–18</x:t>
  </x:si>
  <x:si>
    <x:t xml:space="preserve">http://doi.org/10.22363/1815-5235-2021-17-1-3-18</x:t>
  </x:si>
  <x:si>
    <x:t xml:space="preserve">10.22363/1815-5235-2021-17-1-3-18</x:t>
  </x:si>
  <x:si>
    <x:t xml:space="preserve">https://journals.rudn.ru/structural-mechanics/article/view/26182</x:t>
  </x:si>
  <x:si>
    <x:t xml:space="preserve">Geometrically nonlinear analysis of the stability of the stiffened plate taking into account the interaction of eigenforms of buckling | Geometrically nonlinear analysis of the stability of the stiffened plate taking into account the interaction of eigenforms of buckling | Геометрически нелинейный расчет на устойчивость подкрепленной пластины с учетом взаимодействия собственных форм выпучивания | Geometrically nonlinear analysis of the stability of the stiffened plate taking into account the interaction of eigenforms of buckling | Геометрически нелинейный расчет на устойчивость подкрепленной пластины с учетом взаимодействия собственных форм выпучивания | Geometrically nonlinear analysis of t</x:t>
  </x:si>
  <x:si>
    <x:t xml:space="preserve">HTTP 200; проверка объекта 27.10.2026; https://journals.rudn.ru/structural-mechanics/article/view/26182</x:t>
  </x:si>
  <x:si>
    <x:t xml:space="preserve">R348</x:t>
  </x:si>
  <x:si>
    <x:t xml:space="preserve">Власов В.З. Избранные труды : в 3 т. Москва : Изд-во АН СССР, 1962. 528 с. URL: https://thelib.net/1240368vlasov-vz-izbrannye-trudy-v-3-h-tomah.html (дата обращения: 20.02.2025).</x:t>
  </x:si>
  <x:si>
    <x:t xml:space="preserve">Власов В. З. Избранные труды : в 3 т. — Москва : Изд-во АН СССР, 1962. — 528 с.</x:t>
  </x:si>
  <x:si>
    <x:t xml:space="preserve">Власов В. З.</x:t>
  </x:si>
  <x:si>
    <x:t xml:space="preserve">Избранные труды : в 3 т</x:t>
  </x:si>
  <x:si>
    <x:t xml:space="preserve">Изд-во АН СССР</x:t>
  </x:si>
  <x:si>
    <x:t xml:space="preserve">https://thelib.net/1240368vlasov-vz-izbrannye-trudy-v-3-h-tomah.html</x:t>
  </x:si>
  <x:si>
    <x:t xml:space="preserve">https://journals.rudn.ru/structural-mechanics/article/view/45220?setLocale=ru_RU#articleCitations</x:t>
  </x:si>
  <x:si>
    <x:t xml:space="preserve">Systems of Approximating Functions when Using Variational Methods for Calculating Thin-Walled Building Structures</x:t>
  </x:si>
  <x:si>
    <x:t xml:space="preserve">https://journals.rudn.ru/structural-mechanics/article/view/45220</x:t>
  </x:si>
  <x:si>
    <x:t xml:space="preserve">R349</x:t>
  </x:si>
  <x:si>
    <x:t xml:space="preserve">Ониашвили О.Д. Некоторые динамические задачи теории оболочек. Москва : Изд-во АН СССР, 1957. 199 с.</x:t>
  </x:si>
  <x:si>
    <x:t xml:space="preserve">Ониашвили О. Д. Некоторые динамические задачи теории оболочек. — Москва : Изд-во АН СССР, 1957. — 199 с.</x:t>
  </x:si>
  <x:si>
    <x:t xml:space="preserve">Ониашвили О. Д.</x:t>
  </x:si>
  <x:si>
    <x:t xml:space="preserve">Некоторые динамические задачи теории оболочек</x:t>
  </x:si>
  <x:si>
    <x:t xml:space="preserve">199</x:t>
  </x:si>
  <x:si>
    <x:t xml:space="preserve">R350</x:t>
  </x:si>
  <x:si>
    <x:t xml:space="preserve">Михлин С.Г. Численная реализация вариационных методов. Москва : Наука, 1966. 432 с. URL: https:// publ.lib.ru/ARCHIVES/M/MIHLIN_Solomon_Grigor'evich_(matematik)/ (дата обращения: 20.02.2025).</x:t>
  </x:si>
  <x:si>
    <x:t xml:space="preserve">Михлин С. Г. Численная реализация вариационных методов. — Москва : Наука, 1966. — 432 с.</x:t>
  </x:si>
  <x:si>
    <x:t xml:space="preserve">Михлин С. Г.</x:t>
  </x:si>
  <x:si>
    <x:t xml:space="preserve">Численная реализация вариационных методов</x:t>
  </x:si>
  <x:si>
    <x:t xml:space="preserve">432</x:t>
  </x:si>
  <x:si>
    <x:t xml:space="preserve">https://publ.lib.ru/ARCHIVES/M/MIHLIN_Solomon_Grigor'evich_(matematik)/</x:t>
  </x:si>
  <x:si>
    <x:t xml:space="preserve">Указана в опубликованной строке; после пересмотра профиля 7.0.5 дата не используется в оформлении и не считается извлечённым полем.</x:t>
  </x:si>
  <x:si>
    <x:t xml:space="preserve">R351</x:t>
  </x:si>
  <x:si>
    <x:t xml:space="preserve">Коперник Г.Р., Петров В.В. О построении аппроксимирующих функций при расчете гибких пластинок и пологих оболочек вариационными методами // Механика деформируемых сред. 1974. Т. 1. С. 117-123. EDN: UNCUVN</x:t>
  </x:si>
  <x:si>
    <x:t xml:space="preserve">Коперник Г. Р., Петров В. В. О построении аппроксимирующих функций при расчете гибких пластинок и пологих оболочек вариационными методами // Механика деформируемых сред. — 1974. — Т. 1. — С. 117–123.</x:t>
  </x:si>
  <x:si>
    <x:t xml:space="preserve">Коперник Г. Р. | Петров В. В.</x:t>
  </x:si>
  <x:si>
    <x:t xml:space="preserve">О построении аппроксимирующих функций при расчете гибких пластинок и пологих оболочек вариационными методами</x:t>
  </x:si>
  <x:si>
    <x:t xml:space="preserve">Механика деформируемых сред</x:t>
  </x:si>
  <x:si>
    <x:t xml:space="preserve">117–123</x:t>
  </x:si>
  <x:si>
    <x:t xml:space="preserve">UNCUVN</x:t>
  </x:si>
  <x:si>
    <x:t xml:space="preserve">R352</x:t>
  </x:si>
  <x:si>
    <x:t xml:space="preserve">Зворыгина С.В., Викторова О.Л. Определение рациональных геометрических параметров пространственных плитно-стержневых систем с применением адаптационного метода // Региональная архитектура и строительство. 2019. № 1 (38). С. 105-111. EDN: MDXKBD</x:t>
  </x:si>
  <x:si>
    <x:t xml:space="preserve">Зворыгина С. В., Викторова О. Л. Определение рациональных геометрических параметров пространственных плитно-стержневых систем с применением адаптационного метода // Региональная архитектура и строительство. — 2019. — № 1 (38). — С. 105–111.</x:t>
  </x:si>
  <x:si>
    <x:t xml:space="preserve">Зворыгина С. В. | Викторова О. Л.</x:t>
  </x:si>
  <x:si>
    <x:t xml:space="preserve">Определение рациональных геометрических параметров пространственных плитно-стержневых систем с применением адаптационного метода</x:t>
  </x:si>
  <x:si>
    <x:t xml:space="preserve">Региональная архитектура и строительство</x:t>
  </x:si>
  <x:si>
    <x:t xml:space="preserve">1 (38)</x:t>
  </x:si>
  <x:si>
    <x:t xml:space="preserve">105–111</x:t>
  </x:si>
  <x:si>
    <x:t xml:space="preserve">https://journals.rudn.ru/structural-mechanics/article/view/45222?setLocale=ru_RU#articleCitations</x:t>
  </x:si>
  <x:si>
    <x:t xml:space="preserve">Variant Design of Girder-Slab Structure with Different Geometric Cells Under Flexural Vibrations</x:t>
  </x:si>
  <x:si>
    <x:t xml:space="preserve">MDXKBD</x:t>
  </x:si>
  <x:si>
    <x:t xml:space="preserve">https://journals.rudn.ru/structural-mechanics/article/view/45222</x:t>
  </x:si>
  <x:si>
    <x:t xml:space="preserve">R353</x:t>
  </x:si>
  <x:si>
    <x:t xml:space="preserve">Галлагер Р. Метод конечных элементов. Основы. Москва : Мир, 1984. 429 с. URL: https://dwg.ru/dnl/3236 (дата обращения: 02.03.2025).</x:t>
  </x:si>
  <x:si>
    <x:t xml:space="preserve">Галлагер Р. Метод конечных элементов. Основы. — Москва : Мир, 1984. — 429 с.</x:t>
  </x:si>
  <x:si>
    <x:t xml:space="preserve">Галлагер Р.</x:t>
  </x:si>
  <x:si>
    <x:t xml:space="preserve">Метод конечных элементов. Основы</x:t>
  </x:si>
  <x:si>
    <x:t xml:space="preserve">Мир</x:t>
  </x:si>
  <x:si>
    <x:t xml:space="preserve">https://dwg.ru/dnl/3236</x:t>
  </x:si>
  <x:si>
    <x:t xml:space="preserve">https://journals.rudn.ru/structural-mechanics/article/view/46166?setLocale=ru_RU#articleCitations</x:t>
  </x:si>
  <x:si>
    <x:t xml:space="preserve">Three-Dimensional Analysis of T-connections of Cylindrical Shells Considering Stages of Construction</x:t>
  </x:si>
  <x:si>
    <x:t xml:space="preserve">https://journals.rudn.ru/structural-mechanics/article/view/46166</x:t>
  </x:si>
  <x:si>
    <x:t xml:space="preserve">&lt;urlopen error [SSL: CERTIFICATE_VERIFY_FAILED] certificate verify failed: self-signed certificate in certificate chain (_ssl.c:1010)&gt;</x:t>
  </x:si>
  <x:si>
    <x:t xml:space="preserve">R354</x:t>
  </x:si>
  <x:si>
    <x:t xml:space="preserve">Бате К., Вилсон Е. Численные методы анализа и метод конечных элементов. Москва : Стройиздат, 1982. 446 c. URL: https://dwg.ru/dnl/407 (дата обращения: 02.03.2025).</x:t>
  </x:si>
  <x:si>
    <x:t xml:space="preserve">Бате К., Вилсон Е. Численные методы анализа и метод конечных элементов. — Москва : Стройиздат, 1982. — 446 с.</x:t>
  </x:si>
  <x:si>
    <x:t xml:space="preserve">Бате К. | Вилсон Е.</x:t>
  </x:si>
  <x:si>
    <x:t xml:space="preserve">Численные методы анализа и метод конечных элементов</x:t>
  </x:si>
  <x:si>
    <x:t xml:space="preserve">446</x:t>
  </x:si>
  <x:si>
    <x:t xml:space="preserve">Стройиздат</x:t>
  </x:si>
  <x:si>
    <x:t xml:space="preserve">https://dwg.ru/dnl/407</x:t>
  </x:si>
  <x:si>
    <x:t xml:space="preserve">R355</x:t>
  </x:si>
  <x:si>
    <x:t xml:space="preserve">Косицын С.Б., Акулич В.Ю. Численный анализ НДС ортогонально пересекающихся цилиндрических оболочек, взаимодействующих с основанием, с учетом изменения расчетной модели во времени // Строительная механика инженерных конструкций и сооружений. 2024. Т. 20. № 4. С. 303-310. https://doi.org/10.22363/1815-5235-2024-20-4-303-310 EDN TVXXYV</x:t>
  </x:si>
  <x:si>
    <x:t xml:space="preserve">Косицын С. Б., Акулич В. Ю. Численный анализ НДС ортогонально пересекающихся цилиндрических оболочек, взаимодействующих с основанием, с учетом изменения расчетной модели во времени // Строительная механика инженерных конструкций и сооружений. — 2024. — Т. 20. — № 4. — С. 303–310. — URL: https://journals.rudn.ru/structural-mechanics/article/view/41541 (дата обращения: 27.10.2026).</x:t>
  </x:si>
  <x:si>
    <x:t xml:space="preserve">Косицын С. Б. | Акулич В. Ю.</x:t>
  </x:si>
  <x:si>
    <x:t xml:space="preserve">Численный анализ НДС ортогонально пересекающихся цилиндрических оболочек, взаимодействующих с основанием, с учетом изменения расчетной модели во времени</x:t>
  </x:si>
  <x:si>
    <x:t xml:space="preserve">303–310</x:t>
  </x:si>
  <x:si>
    <x:t xml:space="preserve">https://doi.org/10.22363/1815-5235-2024-20-4-303-310</x:t>
  </x:si>
  <x:si>
    <x:t xml:space="preserve">10.22363/1815-5235-2024-20-4-303-310</x:t>
  </x:si>
  <x:si>
    <x:t xml:space="preserve">TVXXYV</x:t>
  </x:si>
  <x:si>
    <x:t xml:space="preserve">https://journals.rudn.ru/structural-mechanics/article/view/41541</x:t>
  </x:si>
  <x:si>
    <x:t xml:space="preserve">Numerical Stress Analysis of Orthogonally Intersecting Cylindrical Shells Interacting with Soil Considering Stages of Construction | Numerical Stress Analysis of Orthogonally Intersecting Cylindrical Shells Interacting with Soil Considering Stages of Construction | Численный анализ НДС ортогонально пересекающихся цилиндрических оболочек, взаимодействующих с основанием, с учетом изменения расчетной модели во времени | Numerical Stress Analysis of Orthogonally Intersecting Cylindrical Shells Interacting with Soil Considering Stages of Construction | Численный анализ НДС ортогонально пересекающихся цилиндрических оболочек, взаимодействующих с основанием, с учетом изменения расчетной модели во в</x:t>
  </x:si>
  <x:si>
    <x:t xml:space="preserve">HTTP 200; проверка объекта 27.10.2026; https://journals.rudn.ru/structural-mechanics/article/view/41541</x:t>
  </x:si>
  <x:si>
    <x:t xml:space="preserve">R356</x:t>
  </x:si>
  <x:si>
    <x:t xml:space="preserve">Александров А.В., Потапов В.Д., Зылев В.Б. Строительная механика : в 2 книгах. Книга 2 : Динамика и устойчивость упругих систем. Москва : Высшая школа, 2008. 384 с. ISBN 978-5-06-005357-9</x:t>
  </x:si>
  <x:si>
    <x:t xml:space="preserve">Александров А. В., Потапов В. Д., Зылев В. Б. Строительная механика : в 2 книгах. Книга 2 : Динамика и устойчивость упругих систем. — Москва : Высшая школа, 2008. — 384 с.</x:t>
  </x:si>
  <x:si>
    <x:t xml:space="preserve">Александров А. В. | Потапов В. Д. | Зылев В. Б.</x:t>
  </x:si>
  <x:si>
    <x:t xml:space="preserve">Строительная механика : в 2 книгах. Книга 2 : Динамика и устойчивость упругих систем</x:t>
  </x:si>
  <x:si>
    <x:t xml:space="preserve">978-5-06-005357-9</x:t>
  </x:si>
  <x:si>
    <x:t xml:space="preserve">https://journals.rudn.ru/structural-mechanics/article/view/46167?setLocale=ru_RU#articleCitations</x:t>
  </x:si>
  <x:si>
    <x:t xml:space="preserve">Numerical Simulation of Large Plastic Deformations and Free Flight of a Beam After Impact with a Rigid Stop</x:t>
  </x:si>
  <x:si>
    <x:t xml:space="preserve">https://journals.rudn.ru/structural-mechanics/article/view/46167</x:t>
  </x:si>
  <x:si>
    <x:t xml:space="preserve">R357</x:t>
  </x:si>
  <x:si>
    <x:t xml:space="preserve">Ахтямова Л.Ш., Языев Б.М., Чепурненко А.С., Сабитов Л.С. Оптимизация формы трехгранных решетчатых опор по критерию устойчивости // Строительная механика инженерных конструкций и сооружений. 2022. Т. 18. № 4. С. 317-328. http://doi.org/10.22363/1815-5235-2022-18-4-317-328 EDN: UZSBNA</x:t>
  </x:si>
  <x:si>
    <x:t xml:space="preserve">Оптимизация формы трехгранных решетчатых опор по критерию устойчивости / Л. Ш. Ахтямова, Б. М. Языев, А. С. Чепурненко, Л. С. Сабитов // Строительная механика инженерных конструкций и сооружений. — 2022. — Т. 18. — № 4. — С. 317–328. — URL: https://journals.rudn.ru/structural-mechanics/article/view/32742 (дата обращения: 27.10.2026).</x:t>
  </x:si>
  <x:si>
    <x:t xml:space="preserve">Ахтямова Л. Ш. | Языев Б. М. | Чепурненко А. С. | Сабитов Л. С.</x:t>
  </x:si>
  <x:si>
    <x:t xml:space="preserve">Оптимизация формы трехгранных решетчатых опор по критерию устойчивости</x:t>
  </x:si>
  <x:si>
    <x:t xml:space="preserve">317–328</x:t>
  </x:si>
  <x:si>
    <x:t xml:space="preserve">http://doi.org/10.22363/1815-5235-2022-18-4-317-328</x:t>
  </x:si>
  <x:si>
    <x:t xml:space="preserve">https://journals.rudn.ru/structural-mechanics/article/view/46169?setLocale=ru_RU#articleCitations</x:t>
  </x:si>
  <x:si>
    <x:t xml:space="preserve">10.22363/1815-5235-2022-18-4-317-328</x:t>
  </x:si>
  <x:si>
    <x:t xml:space="preserve">Optimization of Section Parameters of Finite Stiffness Cable Under Transverse Impact</x:t>
  </x:si>
  <x:si>
    <x:t xml:space="preserve">UZSBNA</x:t>
  </x:si>
  <x:si>
    <x:t xml:space="preserve">https://journals.rudn.ru/structural-mechanics/article/view/46169</x:t>
  </x:si>
  <x:si>
    <x:t xml:space="preserve">https://journals.rudn.ru/structural-mechanics/article/view/32742</x:t>
  </x:si>
  <x:si>
    <x:t xml:space="preserve">Trihedral lattice supports geometry optimization according to the stability criterion | Trihedral lattice supports geometry optimization according to the stability criterion | Оптимизация формы трехгранных решетчатых опор по критерию устойчивости | Trihedral lattice supports geometry optimization according to the stability criterion | Оптимизация формы трехгранных решетчатых опор по критерию устойчивости | Trihedral lattice supports geometry optimization according to the stability criterion - Akhtyamova - Structural Mechanics of Engineering Constructions and Buildings</x:t>
  </x:si>
  <x:si>
    <x:t xml:space="preserve">HTTP 200; проверка объекта 27.10.2026; https://journals.rudn.ru/structural-mechanics/article/view/32742</x:t>
  </x:si>
  <x:si>
    <x:t xml:space="preserve">R358</x:t>
  </x:si>
  <x:si>
    <x:t xml:space="preserve">Кужахметова Э.Р. Напряженно-деформированное состояние цилиндро-плитно-вантового покрытия здания (сооружения) с различными формами наружного опорного контура // Строительная механика инженерных конструкций и сооружений. 2020. Т. 16. № 2. С. 95-110. http://doi.org/10.22363/1815-5235-2020-16-2-95-110 EDN RUOFTA</x:t>
  </x:si>
  <x:si>
    <x:t xml:space="preserve">Кужахметова Э. Р. Напряженно-деформированное состояние цилиндро-плитно-вантового покрытия здания (сооружения) с различными формами наружного опорного контура // Строительная механика инженерных конструкций и сооружений. — 2020. — Т. 16. — № 2. — С. 95–110.</x:t>
  </x:si>
  <x:si>
    <x:t xml:space="preserve">Кужахметова Э. Р.</x:t>
  </x:si>
  <x:si>
    <x:t xml:space="preserve">Напряженно-деформированное состояние цилиндро-плитно-вантового покрытия здания (сооружения) с различными формами наружного опорного контура</x:t>
  </x:si>
  <x:si>
    <x:t xml:space="preserve">http://doi.org/10.22363/1815-5235-2020-16-2-95-110</x:t>
  </x:si>
  <x:si>
    <x:t xml:space="preserve">10.22363/1815-5235-2020-16-2-95-110</x:t>
  </x:si>
  <x:si>
    <x:t xml:space="preserve">RUOFTA</x:t>
  </x:si>
  <x:si>
    <x:t xml:space="preserve">timed out</x:t>
  </x:si>
  <x:si>
    <x:t xml:space="preserve">R359</x:t>
  </x:si>
  <x:si>
    <x:t xml:space="preserve">Суфиянов В.Г., Клюкин Д.А., Русяк И.Г. Метод Нелдера - Мида решения задачи оптимизации геометрической формы ствола автоматической пушки для улучшения колебательных характеристик // Известия Самарского научного центра Российской академии наук. 2023. Т. 25. № 4. С. 121-131. http://doi.org/10.37313/1990-5378-2023-25-4-121-131 EDN: RBKFKX</x:t>
  </x:si>
  <x:si>
    <x:t xml:space="preserve">Суфиянов В. Г., Клюкин Д. А., Русяк И. Г. Метод Нелдера - Мида решения задачи оптимизации геометрической формы ствола автоматической пушки для улучшения колебательных характеристик // Известия Самарского научного центра Российской академии наук. — 2023. — Т. 25. — № 4. — С. 121–131. — URL: http://www.ssc.smr.ru/media/journals/izvestia/2023/2023_4_121_131.pdf (дата обращения: 27.10.2026).</x:t>
  </x:si>
  <x:si>
    <x:t xml:space="preserve">Суфиянов В. Г. | Клюкин Д. А. | Русяк И. Г.</x:t>
  </x:si>
  <x:si>
    <x:t xml:space="preserve">Метод Нелдера - Мида решения задачи оптимизации геометрической формы ствола автоматической пушки для улучшения колебательных характеристик</x:t>
  </x:si>
  <x:si>
    <x:t xml:space="preserve">Известия Самарского научного центра Российской академии наук</x:t>
  </x:si>
  <x:si>
    <x:t xml:space="preserve">http://doi.org/10.37313/1990-5378-2023-25-4-121-131</x:t>
  </x:si>
  <x:si>
    <x:t xml:space="preserve">10.37313/1990-5378-2023-25-4-121-131</x:t>
  </x:si>
  <x:si>
    <x:t xml:space="preserve">RBKFKX</x:t>
  </x:si>
  <x:si>
    <x:t xml:space="preserve">http://www.ssc.smr.ru/media/journals/izvestia/2023/2023_4_121_131.pdf</x:t>
  </x:si>
  <x:si>
    <x:t xml:space="preserve">121
Информатика, вычислительная техника и управление
Суфиянов Вадим Гарайханович, доктор технических 
наук, доцент, профессор кафедры « Прикладная мате-
матика и информационные технологии». 
E-mail: vsuﬁ y@mail.ru
Клюкин Даниил Анатольевич, аспирант,</x:t>
  </x:si>
  <x:si>
    <x:t xml:space="preserve">HTTP 200; проверка объекта 27.10.2026; http://www.ssc.smr.ru/media/journals/izvestia/2023/2023_4_121_131.pdf</x:t>
  </x:si>
  <x:si>
    <x:t xml:space="preserve">R360</x:t>
  </x:si>
  <x:si>
    <x:t xml:space="preserve">Вознесенский Е.А. Поведение грунтов при динамических нагрузках. Москва : МГУ, 1997. 286 с. ISBN 5-211-03722 URL: https://djvu.online/file/1plA0BadJxR6c (дата обращения: 12.01.2025)</x:t>
  </x:si>
  <x:si>
    <x:t xml:space="preserve">Вознесенский Е. А. Поведение грунтов при динамических нагрузках. — Москва : МГУ, 1997. — 286 с.</x:t>
  </x:si>
  <x:si>
    <x:t xml:space="preserve">Вознесенский Е. А.</x:t>
  </x:si>
  <x:si>
    <x:t xml:space="preserve">Поведение грунтов при динамических нагрузках</x:t>
  </x:si>
  <x:si>
    <x:t xml:space="preserve">МГУ</x:t>
  </x:si>
  <x:si>
    <x:t xml:space="preserve">5-211-03722</x:t>
  </x:si>
  <x:si>
    <x:t xml:space="preserve">https://djvu.online/file/1plA0BadJxR6c</x:t>
  </x:si>
  <x:si>
    <x:t xml:space="preserve">https://journals.rudn.ru/structural-mechanics/article/view/46172?setLocale=ru_RU#articleCitations</x:t>
  </x:si>
  <x:si>
    <x:t xml:space="preserve">Behavior of Underground Shell Structure under Seismic Impact from Explosion</x:t>
  </x:si>
  <x:si>
    <x:t xml:space="preserve">https://journals.rudn.ru/structural-mechanics/article/view/46172</x:t>
  </x:si>
  <x:si>
    <x:t xml:space="preserve">R361</x:t>
  </x:si>
  <x:si>
    <x:t xml:space="preserve">Портаев Д.В. Расчет и конструирование преднапряженных конструкций гражданских зданий. Москва : АСВ, 2011. 248 с.</x:t>
  </x:si>
  <x:si>
    <x:t xml:space="preserve">Портаев Д. В. Расчет и конструирование преднапряженных конструкций гражданских зданий. — Москва : АСВ, 2011. — 248 с.</x:t>
  </x:si>
  <x:si>
    <x:t xml:space="preserve">Портаев Д. В.</x:t>
  </x:si>
  <x:si>
    <x:t xml:space="preserve">Расчет и конструирование преднапряженных конструкций гражданских зданий</x:t>
  </x:si>
  <x:si>
    <x:t xml:space="preserve">248</x:t>
  </x:si>
  <x:si>
    <x:t xml:space="preserve">АСВ</x:t>
  </x:si>
  <x:si>
    <x:t xml:space="preserve">https://journals.rudn.ru/structural-mechanics/article/view/46934?setLocale=ru_RU#articleCitations</x:t>
  </x:si>
  <x:si>
    <x:t xml:space="preserve">Numerical Simulation of the Restoring Effect from Post-Stress in the Slab of a Cast-in-Situ Reinforced Concrete Frame</x:t>
  </x:si>
  <x:si>
    <x:t xml:space="preserve">https://journals.rudn.ru/structural-mechanics/article/view/46934</x:t>
  </x:si>
  <x:si>
    <x:t xml:space="preserve">R362</x:t>
  </x:si>
  <x:si>
    <x:t xml:space="preserve">Прокопович А.А. Сопротивление изгибу железобетонных конструкций с различными условиями сцепления продольной арматуры с бетоном. Самара : НВФ «Сенсоры. Модули, Системы», 2000. 296 с. URL: https://djvu.online/file/XP8BprJZYRgEp (дата обращения: 20.04.2025).</x:t>
  </x:si>
  <x:si>
    <x:t xml:space="preserve">Прокопович А. А. Сопротивление изгибу железобетонных конструкций с различными условиями сцепления продольной арматуры с бетоном. — Самара : НВФ «Сенсоры. Модули, Системы», 2000. — 296 с.</x:t>
  </x:si>
  <x:si>
    <x:t xml:space="preserve">Прокопович А. А.</x:t>
  </x:si>
  <x:si>
    <x:t xml:space="preserve">Сопротивление изгибу железобетонных конструкций с различными условиями сцепления продольной арматуры с бетоном</x:t>
  </x:si>
  <x:si>
    <x:t xml:space="preserve">296</x:t>
  </x:si>
  <x:si>
    <x:t xml:space="preserve">НВФ «Сенсоры. Модули, Системы»</x:t>
  </x:si>
  <x:si>
    <x:t xml:space="preserve">https://djvu.online/file/XP8BprJZYRgEp</x:t>
  </x:si>
  <x:si>
    <x:t xml:space="preserve">Проверка оформления Михаилом: достаточно данных — Да. Исходный вариант Михаила до последующего переноса: Прокопович, А. А. Сопротивление изгибу железобетонных конструкций с различными условиями сцепления продольной арматуры с бетоном. — Самара : НВФ «Сенсоры. Модули, Системы», 2000. — 296 с.</x:t>
  </x:si>
  <x:si>
    <x:t xml:space="preserve">R363</x:t>
  </x:si>
  <x:si>
    <x:t xml:space="preserve">Кетков Ю.Л., Кетков А.Ю., Шульц М.М. MATLAB 6.x: программирование численных методов. СПб. : БХВ-Петербург, 2004. 672 с. ISBN 5-94157-373-1 EDN: QMNBMP</x:t>
  </x:si>
  <x:si>
    <x:t xml:space="preserve">Кетков Ю. Л., Кетков А. Ю., Шульц М. М. MATLAB 6.x : программирование численных методов. — Санкт-Петербург : БХВ-Петербург, 2004. — 672 с.</x:t>
  </x:si>
  <x:si>
    <x:t xml:space="preserve">Кетков Ю. Л. | Кетков А. Ю. | Шульц М. М.</x:t>
  </x:si>
  <x:si>
    <x:t xml:space="preserve">MATLAB 6.x: программирование численных методов</x:t>
  </x:si>
  <x:si>
    <x:t xml:space="preserve">672</x:t>
  </x:si>
  <x:si>
    <x:t xml:space="preserve">БХВ-Петербург</x:t>
  </x:si>
  <x:si>
    <x:t xml:space="preserve">5-94157-373-1</x:t>
  </x:si>
  <x:si>
    <x:t xml:space="preserve">QMNBMP</x:t>
  </x:si>
  <x:si>
    <x:t xml:space="preserve">R364</x:t>
  </x:si>
  <x:si>
    <x:t xml:space="preserve">Сухотерин М.В., Сосновская А.А. Устойчивость высокоупругой прямоугольной пластинки с защемленно-свободными краями при одноосном сжатии // Научно-технический вестник информационных технологий, механики и оптики. 2024. Т. 24. № 2. С. 276-283. https://doi.org/10.17586/2226-1494-2024-24-2-276-283 EDN: KGNTES</x:t>
  </x:si>
  <x:si>
    <x:t xml:space="preserve">Сухотерин М. В., Сосновская А. А. Устойчивость высокоупругой прямоугольной пластинки с защемленно-свободными краями при одноосном сжатии // Научно-технический вестник информационных технологий, механики и оптики. — 2024. — Т. 24. — № 2. — С. 276–283. — URL: https://ntv.ifmo.ru/en/article/22761/ustoychivost_vysokouprugoy_pryamougolnoy_plastinki_s_zaschemlenno-svobodnymi_krayami_pri_odnoosnom_szhatii.htm (дата обращения: 27.10.2026).</x:t>
  </x:si>
  <x:si>
    <x:t xml:space="preserve">Сухотерин М. В. | Сосновская А. А.</x:t>
  </x:si>
  <x:si>
    <x:t xml:space="preserve">Устойчивость высокоупругой прямоугольной пластинки с защемленно-свободными краями при одноосном сжатии</x:t>
  </x:si>
  <x:si>
    <x:t xml:space="preserve">Научно-технический вестник информационных технологий, механики и оптики</x:t>
  </x:si>
  <x:si>
    <x:t xml:space="preserve">276–283</x:t>
  </x:si>
  <x:si>
    <x:t xml:space="preserve">https://doi.org/10.17586/2226-1494-2024-24-2-276-283</x:t>
  </x:si>
  <x:si>
    <x:t xml:space="preserve">https://journals.rudn.ru/structural-mechanics/article/view/46935?setLocale=ru_RU#articleCitations</x:t>
  </x:si>
  <x:si>
    <x:t xml:space="preserve">10.17586/2226-1494-2024-24-2-276-283</x:t>
  </x:si>
  <x:si>
    <x:t xml:space="preserve">Stress-Strain State of an Orthotropic Rectangular Plate Simply Supported on All Sides</x:t>
  </x:si>
  <x:si>
    <x:t xml:space="preserve">KGNTES</x:t>
  </x:si>
  <x:si>
    <x:t xml:space="preserve">https://journals.rudn.ru/structural-mechanics/article/view/46935</x:t>
  </x:si>
  <x:si>
    <x:t xml:space="preserve">https://ntv.ifmo.ru/en/article/22761/ustoychivost_vysokouprugoy_pryamougolnoy_plastinki_s_zaschemlenno-svobodnymi_krayami_pri_odnoosnom_szhatii.htm</x:t>
  </x:si>
  <x:si>
    <x:t xml:space="preserve">Stability of a highly elastic rectangular plate with clamped-free edges under uniaxial compression | Stability of a highly elastic rectangular plate with clamped-free edges under uniaxial compression | Stability of a highly elastic rectangular plate with clamped-free edges under uniaxial compression. Journal Scientific and Technical Of Information Technologies, Mechanics and Optics</x:t>
  </x:si>
  <x:si>
    <x:t xml:space="preserve">HTTP 200; проверка объекта 27.10.2026; https://ntv.ifmo.ru/en/article/22761/ustoychivost_vysokouprugoy_pryamougolnoy_plastinki_s_zaschemlenno-svobodnymi_krayami_pri_odnoosnom_szhatii.htm</x:t>
  </x:si>
  <x:si>
    <x:t xml:space="preserve">R365</x:t>
  </x:si>
  <x:si>
    <x:t xml:space="preserve">Шорстов Р.А., Сулейманова Л.А., Кара К. Технологии получения многослойных конструкций вариатропной структуры // Вестник Белгородского государственного технологического университета им. В.Г. Шухова. 2019. № 4. С. 32–39. https://doi.org/10.34031/article_5cb1e65fe51130.63177531 EDN: ZDDGGD</x:t>
  </x:si>
  <x:si>
    <x:t xml:space="preserve">Шорстов Р. А., Сулейманова Л. А., Кара К. Технологии получения многослойных конструкций вариатропной структуры // Вестник Белгородского государственного технологического университета им. В.Г. Шухова. — 2019. — № 4. — С. 32–39. — URL: https://bulletinbstu.editorum.ru/en/nauka/publications/article/6a9c144d32807fdbab85cf35/technology-of-obtaining-multilayer-structures-variational-structure/view (дата обращения: 27.10.2026).</x:t>
  </x:si>
  <x:si>
    <x:t xml:space="preserve">Шорстов Р. А. | Сулейманова Л. А. | Кара К.</x:t>
  </x:si>
  <x:si>
    <x:t xml:space="preserve">Технологии получения многослойных конструкций вариатропной структуры</x:t>
  </x:si>
  <x:si>
    <x:t xml:space="preserve">Вестник Белгородского государственного технологического университета им. В.Г. Шухова</x:t>
  </x:si>
  <x:si>
    <x:t xml:space="preserve">32–39</x:t>
  </x:si>
  <x:si>
    <x:t xml:space="preserve">https://doi.org/10.34031/article_5cb1e65fe51130.63177531</x:t>
  </x:si>
  <x:si>
    <x:t xml:space="preserve">https://journals.rudn.ru/structural-mechanics/article/view/46939?setLocale=ru_RU#articleCitations</x:t>
  </x:si>
  <x:si>
    <x:t xml:space="preserve">10.34031/article_5cb1e65fe51130.63177531</x:t>
  </x:si>
  <x:si>
    <x:t xml:space="preserve">Determination of Key Quality Indicators of Multilayer Building Structures</x:t>
  </x:si>
  <x:si>
    <x:t xml:space="preserve">ZDDGGD</x:t>
  </x:si>
  <x:si>
    <x:t xml:space="preserve">https://journals.rudn.ru/structural-mechanics/article/view/46939</x:t>
  </x:si>
  <x:si>
    <x:t xml:space="preserve">https://bulletinbstu.editorum.ru/en/nauka/publications/article/6a9c144d32807fdbab85cf35/technology-of-obtaining-multilayer-structures-variational-structure/view</x:t>
  </x:si>
  <x:si>
    <x:t xml:space="preserve">TECHNOLOGY OF OBTAINING MULTILAYER STRUCTURES VARIATIONAL STRUCTURE | Bulletin of Belgorod State Technological University named after. V. G. Shukhov | TECHNOLOGY OF OBTAINING MULTILAYER STRUCTURES VARIATIONAL STRUCTURE | TECHNOLOGY OF OBTAINING MULTILAYER STRUCTURES VARIATIONAL STRUCTURE | TECHNOLOGY OF OBTAINING MULTILAYER STRUCTURES VARIATIONAL STRUCTURE | Bulletin of Belgorod State Technological University named after. V. G. Shukhov</x:t>
  </x:si>
  <x:si>
    <x:t xml:space="preserve">HTTP 200; проверка объекта 27.10.2026; https://bulletinbstu.editorum.ru/en/nauka/publications/article/6a9c144d32807fdbab85cf35/technology-of-obtaining-multilayer-structures-variational-structure/view</x:t>
  </x:si>
  <x:si>
    <x:t xml:space="preserve">R367</x:t>
  </x:si>
  <x:si>
    <x:t xml:space="preserve">Попов И.И., Левченко А.В. Экспериментальное исследование внутреннего трения в каутоне и фиброкаутоне // Научный журнал строительства и архитектуры. 2021. № 4 (64). С. 83–92. https://doi.org/10.36622/VSTU.2021.64.4.008 EDN: QHDDED</x:t>
  </x:si>
  <x:si>
    <x:t xml:space="preserve">Попов И. И., Левченко А. В. Экспериментальное исследование внутреннего трения в каутоне и фиброкаутоне // Научный журнал строительства и архитектуры. — 2021. — № 4 (64). — С. 83–92. — URL: https://vestnikvgasu.wmsite.ru/vypuski/vypusk-4-64-2021/eksperimentalnoe-issledovanie-vnutrennego-trenija-v (дата обращения: 27.10.2026).</x:t>
  </x:si>
  <x:si>
    <x:t xml:space="preserve">Попов И. И. | Левченко А. В.</x:t>
  </x:si>
  <x:si>
    <x:t xml:space="preserve">Экспериментальное исследование внутреннего трения в каутоне и фиброкаутоне</x:t>
  </x:si>
  <x:si>
    <x:t xml:space="preserve">Научный журнал строительства и архитектуры</x:t>
  </x:si>
  <x:si>
    <x:t xml:space="preserve">4 (64)</x:t>
  </x:si>
  <x:si>
    <x:t xml:space="preserve">83–92</x:t>
  </x:si>
  <x:si>
    <x:t xml:space="preserve">https://doi.org/10.36622/VSTU.2021.64.4.008</x:t>
  </x:si>
  <x:si>
    <x:t xml:space="preserve">10.36622/VSTU.2021.64.4.008</x:t>
  </x:si>
  <x:si>
    <x:t xml:space="preserve">QHDDED</x:t>
  </x:si>
  <x:si>
    <x:t xml:space="preserve">https://vestnikvgasu.wmsite.ru/vypuski/vypusk-4-64-2021/eksperimentalnoe-issledovanie-vnutrennego-trenija-v</x:t>
  </x:si>
  <x:si>
    <x:t xml:space="preserve">Экспериментальное исследование внутреннего трения в каутоне и фиброкаутоне | Экспериментальное исследование внутреннего трения в каутоне и фиброкаутоне - Выпуск 4 (64), 2021 - Архив выпусков | Научный журнал строительства и архитектуры</x:t>
  </x:si>
  <x:si>
    <x:t xml:space="preserve">HTTP 200; проверка объекта 27.10.2026; https://vestnikvgasu.wmsite.ru/vypuski/vypusk-4-64-2021/eksperimentalnoe-issledovanie-vnutrennego-trenija-v</x:t>
  </x:si>
  <x:si>
    <x:t xml:space="preserve">R368</x:t>
  </x:si>
  <x:si>
    <x:t xml:space="preserve">Семенов А.А. Динамический отклик пологих оболочек двоякой кривизны на периодическое внешнее воздействие // Строительная механика инженерных конструкций и сооружений. 2024. Т. 20. № 5. С. 433–440. http://doi.org/10.22363/1815-5235-2024-20-5-433-440 EDN: CQAEAZ</x:t>
  </x:si>
  <x:si>
    <x:t xml:space="preserve">Семенов А. А. Динамический отклик пологих оболочек двоякой кривизны на периодическое внешнее воздействие // Строительная механика инженерных конструкций и сооружений. — 2024. — Т. 20. — № 5. — С. 433–440. — URL: https://journals.rudn.ru/structural-mechanics/article/view/42700 (дата обращения: 27.10.2026).</x:t>
  </x:si>
  <x:si>
    <x:t xml:space="preserve">Семенов А. А.</x:t>
  </x:si>
  <x:si>
    <x:t xml:space="preserve">Динамический отклик пологих оболочек двоякой кривизны на периодическое внешнее воздействие</x:t>
  </x:si>
  <x:si>
    <x:t xml:space="preserve">433–440</x:t>
  </x:si>
  <x:si>
    <x:t xml:space="preserve">http://doi.org/10.22363/1815-5235-2024-20-5-433-440</x:t>
  </x:si>
  <x:si>
    <x:t xml:space="preserve">https://journals.rudn.ru/structural-mechanics/article/view/48304?setLocale=ru_RU#articleCitations</x:t>
  </x:si>
  <x:si>
    <x:t xml:space="preserve">10.22363/1815-5235-2024-20-5-433-440</x:t>
  </x:si>
  <x:si>
    <x:t xml:space="preserve">Mathematical Model of Deformation of an Orthotropic Shell Under Blast Loading</x:t>
  </x:si>
  <x:si>
    <x:t xml:space="preserve">CQAEAZ</x:t>
  </x:si>
  <x:si>
    <x:t xml:space="preserve">https://journals.rudn.ru/structural-mechanics/article/view/48304</x:t>
  </x:si>
  <x:si>
    <x:t xml:space="preserve">https://journals.rudn.ru/structural-mechanics/article/view/42700</x:t>
  </x:si>
  <x:si>
    <x:t xml:space="preserve">Dynamic Response of Doubly-Curved Shallow Shells to Periodic External Action | Dynamic Response of Doubly-Curved Shallow Shells to Periodic External Action | Динамический отклик пологих оболочек двоякой кривизны на периодическое внешнее воздействие | Dynamic Response of Doubly-Curved Shallow Shells to Periodic External Action | Динамический отклик пологих оболочек двоякой кривизны на периодическое внешнее воздействие | Dynamic Response of Doubly-Curved Shallow Shells to Periodic External Action - Semenov - Structural Mechanics of Engineering Constructions and Buildings</x:t>
  </x:si>
  <x:si>
    <x:t xml:space="preserve">HTTP 200; проверка объекта 27.10.2026; https://journals.rudn.ru/structural-mechanics/article/view/42700</x:t>
  </x:si>
  <x:si>
    <x:t xml:space="preserve">R369</x:t>
  </x:si>
  <x:si>
    <x:t xml:space="preserve">Ларионов Е.А., Ларионов А.Е. К теории нелинейной ползучести // Строительная механика и расчет сооружений. 2015. № 2 (259). С. 58-65. EDN: TQATUF</x:t>
  </x:si>
  <x:si>
    <x:t xml:space="preserve">Ларионов Е. А., Ларионов А. Е. К теории нелинейной ползучести // Строительная механика и расчет сооружений. — 2015. — № 2 (259). — С. 58–65.</x:t>
  </x:si>
  <x:si>
    <x:t xml:space="preserve">Ларионов Е. А. | Ларионов А. Е.</x:t>
  </x:si>
  <x:si>
    <x:t xml:space="preserve">К теории нелинейной ползучести</x:t>
  </x:si>
  <x:si>
    <x:t xml:space="preserve">Строительная механика и расчет сооружений</x:t>
  </x:si>
  <x:si>
    <x:t xml:space="preserve">2 (259)</x:t>
  </x:si>
  <x:si>
    <x:t xml:space="preserve">58–65</x:t>
  </x:si>
  <x:si>
    <x:t xml:space="preserve">https://journals.rudn.ru/structural-mechanics/article/view/48306?setLocale=ru_RU#articleCitations</x:t>
  </x:si>
  <x:si>
    <x:t xml:space="preserve">Rheological Equations of State of Concrete</x:t>
  </x:si>
  <x:si>
    <x:t xml:space="preserve">TQATUF</x:t>
  </x:si>
  <x:si>
    <x:t xml:space="preserve">https://journals.rudn.ru/structural-mechanics/article/view/48306</x:t>
  </x:si>
  <x:si>
    <x:t xml:space="preserve">R370</x:t>
  </x:si>
  <x:si>
    <x:t xml:space="preserve">Ларионов Е.А. К вопросу о длительной прочности бетона // Известия высших учебных заведений. Строительство. 2005. № 8 (560). С. 28-33. EDN: PFAILF</x:t>
  </x:si>
  <x:si>
    <x:t xml:space="preserve">Ларионов Е. А. К вопросу о длительной прочности бетона // Известия высших учебных заведений. Строительство. — 2005. — № 8 (560). — С. 28–33.</x:t>
  </x:si>
  <x:si>
    <x:t xml:space="preserve">Ларионов Е. А.</x:t>
  </x:si>
  <x:si>
    <x:t xml:space="preserve">К вопросу о длительной прочности бетона</x:t>
  </x:si>
  <x:si>
    <x:t xml:space="preserve">Известия высших учебных заведений. Строительство</x:t>
  </x:si>
  <x:si>
    <x:t xml:space="preserve">8 (560)</x:t>
  </x:si>
  <x:si>
    <x:t xml:space="preserve">28–33</x:t>
  </x:si>
  <x:si>
    <x:t xml:space="preserve">PFAILF</x:t>
  </x:si>
  <x:si>
    <x:t xml:space="preserve">R371</x:t>
  </x:si>
  <x:si>
    <x:t xml:space="preserve">Корнилов Т.А., Эверстова В.Н. Оценка теплозащитных свойств наружных стен из полистиролбетонных блоков каркасно-монолитного здания // Academia. Архитектура и строительство. 2024. № 3. С. 137–144. https://doi.org/10.22337/2077-9038-2024-3-137-144 EDN: AISSKC</x:t>
  </x:si>
  <x:si>
    <x:t xml:space="preserve">Корнилов Т. А., Эверстова В. Н. Оценка теплозащитных свойств наружных стен из полистиролбетонных блоков каркасно-монолитного здания // Academia. Архитектура и строительство. — 2024. — № 3. — С. 137–144. — URL: https://aac.raasn.ru/index.php/aac/ru/article/view/563 (дата обращения: 27.10.2026).</x:t>
  </x:si>
  <x:si>
    <x:t xml:space="preserve">Корнилов Т. А. | Эверстова В. Н.</x:t>
  </x:si>
  <x:si>
    <x:t xml:space="preserve">Оценка теплозащитных свойств наружных стен из полистиролбетонных блоков каркасно-монолитного здания</x:t>
  </x:si>
  <x:si>
    <x:t xml:space="preserve">Academia. Архитектура и строительство</x:t>
  </x:si>
  <x:si>
    <x:t xml:space="preserve">137–144</x:t>
  </x:si>
  <x:si>
    <x:t xml:space="preserve">https://doi.org/10.22337/2077-9038-2024-3-137-144</x:t>
  </x:si>
  <x:si>
    <x:t xml:space="preserve">https://journals.rudn.ru/structural-mechanics/article/view/48307?setLocale=ru_RU#articleCitations</x:t>
  </x:si>
  <x:si>
    <x:t xml:space="preserve">10.22337/2077-9038-2024-3-137-144</x:t>
  </x:si>
  <x:si>
    <x:t xml:space="preserve">Fracture Mechanics of a Three-Layer Wall Panel Based on Two-Stage Concrete</x:t>
  </x:si>
  <x:si>
    <x:t xml:space="preserve">AISSKC</x:t>
  </x:si>
  <x:si>
    <x:t xml:space="preserve">https://journals.rudn.ru/structural-mechanics/article/view/48307</x:t>
  </x:si>
  <x:si>
    <x:t xml:space="preserve">https://aac.raasn.ru/index.php/aac/ru/article/view/563</x:t>
  </x:si>
  <x:si>
    <x:t xml:space="preserve">Оценка теплозащитных свойств наружных стен из полистиролбетонных блоков каркасно-монолитного здания | Оценка теплозащитных свойств наружных стен из полистиролбетонных блоков каркасно-монолитного здания | 
		Оценка теплозащитных свойств наружных стен из полистиролбетонных блоков каркасно-монолитного здания
							| Academia. Архитектура и строительство</x:t>
  </x:si>
  <x:si>
    <x:t xml:space="preserve">HTTP 200; проверка объекта 27.10.2026; https://aac.raasn.ru/index.php/aac/ru/article/view/563</x:t>
  </x:si>
  <x:si>
    <x:t xml:space="preserve">R372</x:t>
  </x:si>
  <x:si>
    <x:t xml:space="preserve">Федосов С.В., Ибрагимов А.М., Гнедина Л.Ю. Проблемы трехслойных ограждающих конструкций // Жилищное строительство. 2012. № 7. С. 9–12. EDN: NRMGFG</x:t>
  </x:si>
  <x:si>
    <x:t xml:space="preserve">Федосов С. В., Ибрагимов А. М., Гнедина Л. Ю. Проблемы трехслойных ограждающих конструкций // Жилищное строительство. — 2012. — № 7. — С. 9–12.</x:t>
  </x:si>
  <x:si>
    <x:t xml:space="preserve">Федосов С. В. | Ибрагимов А. М. | Гнедина Л. Ю.</x:t>
  </x:si>
  <x:si>
    <x:t xml:space="preserve">Проблемы трехслойных ограждающих конструкций</x:t>
  </x:si>
  <x:si>
    <x:t xml:space="preserve">Жилищное строительство</x:t>
  </x:si>
  <x:si>
    <x:t xml:space="preserve">9–12</x:t>
  </x:si>
  <x:si>
    <x:t xml:space="preserve">NRMGFG</x:t>
  </x:si>
  <x:si>
    <x:t xml:space="preserve">R373</x:t>
  </x:si>
  <x:si>
    <x:t xml:space="preserve">Сыромясов А.О., Макаров Ю.А., Ерофеев В.Т. Моделирование разрушения внецентренно нагруженной стеновой панели, изготовленной по каркасной технологии // Журнал Средневолжского математического общества. 2024. Т. 26. № 3. С. 313–325. https://doi.org/10.15507/2079-6900.26.202403.313-325 EDN: OVZIIR</x:t>
  </x:si>
  <x:si>
    <x:t xml:space="preserve">Сыромясов А. О., Макаров Ю. А., Ерофеев В. Т. Моделирование разрушения внецентренно нагруженной стеновой панели, изготовленной по каркасной технологии // Журнал Средневолжского математического общества. — 2024. — Т. 26. — № 3. — С. 313–325. — URL: https://journals.rcsi.science/2079-6900/article/view/282094 (дата обращения: 27.10.2026).</x:t>
  </x:si>
  <x:si>
    <x:t xml:space="preserve">Сыромясов А. О. | Макаров Ю. А. | Ерофеев В. Т.</x:t>
  </x:si>
  <x:si>
    <x:t xml:space="preserve">Моделирование разрушения внецентренно нагруженной стеновой панели, изготовленной по каркасной технологии</x:t>
  </x:si>
  <x:si>
    <x:t xml:space="preserve">Журнал Средневолжского математического общества</x:t>
  </x:si>
  <x:si>
    <x:t xml:space="preserve">313–325</x:t>
  </x:si>
  <x:si>
    <x:t xml:space="preserve">https://doi.org/10.15507/2079-6900.26.202403.313-325</x:t>
  </x:si>
  <x:si>
    <x:t xml:space="preserve">10.15507/2079-6900.26.202403.313-325</x:t>
  </x:si>
  <x:si>
    <x:t xml:space="preserve">OVZIIR</x:t>
  </x:si>
  <x:si>
    <x:t xml:space="preserve">https://journals.rcsi.science/2079-6900/article/view/282094</x:t>
  </x:si>
  <x:si>
    <x:t xml:space="preserve">Desctruction of frame composite concrete slab that is off-center loaded | Моделирование разрушения внецентренно нагруженной стеновой панели, изготовленной по каркасной технологии | Desctruction of frame composite concrete slab that is off-center loaded | Моделирование разрушения внецентренно нагруженной стеновой панели, изготовленной по каркасной технологии | Desctruction of frame composite concrete slab that is off-center loaded | Desctruction of frame composite concrete slab that is off-center loaded - Syromyasov - Zhurnal Srednevolzhskogo Matematicheskogo Obshchestva</x:t>
  </x:si>
  <x:si>
    <x:t xml:space="preserve">HTTP 200; проверка объекта 27.10.2026; https://journals.rcsi.science/2079-6900/article/view/282094</x:t>
  </x:si>
  <x:si>
    <x:t xml:space="preserve">R374</x:t>
  </x:si>
  <x:si>
    <x:t xml:space="preserve">Секулович М. Метод конечных элементов. Москва : Стройиздат, 1993. 664 с. ISBN 5-274-01755-X</x:t>
  </x:si>
  <x:si>
    <x:t xml:space="preserve">Секулович М. Метод конечных элементов. — Москва : Стройиздат, 1993. — 664 с.</x:t>
  </x:si>
  <x:si>
    <x:t xml:space="preserve">Секулович М.</x:t>
  </x:si>
  <x:si>
    <x:t xml:space="preserve">Метод конечных элементов</x:t>
  </x:si>
  <x:si>
    <x:t xml:space="preserve">664</x:t>
  </x:si>
  <x:si>
    <x:t xml:space="preserve">5-274-01755-X</x:t>
  </x:si>
  <x:si>
    <x:t xml:space="preserve">https://journals.rudn.ru/structural-mechanics/article/view/48309?setLocale=ru_RU#articleCitations</x:t>
  </x:si>
  <x:si>
    <x:t xml:space="preserve">Numerical Modeling of Change of Shape of Flexible Bars</x:t>
  </x:si>
  <x:si>
    <x:t xml:space="preserve">https://journals.rudn.ru/structural-mechanics/article/view/48309</x:t>
  </x:si>
  <x:si>
    <x:t xml:space="preserve">R375</x:t>
  </x:si>
  <x:si>
    <x:t xml:space="preserve">Низаметдинов Ф.Р., Сорокин Ф.Д. Особенности применения вектора Эйлера для описания больших поворотов при моделировании элементов конструкций летательных аппаратов на примере стержневого конечного элемента // Труды МАИ. 2018. № 102. C. 1. EDN: YQONFZ</x:t>
  </x:si>
  <x:si>
    <x:t xml:space="preserve">Низаметдинов, Ф. Р. Особенности применения вектора Эйлера для описания больших поворотов при моделировании элементов конструкций летательных аппаратов на примере стержневого конечного элемента / Ф. Р. Низаметдинов, Ф. Д. Сорокин // Труды МАИ. — 2018. — № 102.</x:t>
  </x:si>
  <x:si>
    <x:t xml:space="preserve">Низаметдинов Ф. Р. | Сорокин Ф. Д.</x:t>
  </x:si>
  <x:si>
    <x:t xml:space="preserve">Особенности применения вектора Эйлера для описания больших поворотов при моделировании элементов конструкций летательных аппаратов на примере стержневого конечного элемента</x:t>
  </x:si>
  <x:si>
    <x:t xml:space="preserve">Труды МАИ</x:t>
  </x:si>
  <x:si>
    <x:t xml:space="preserve">102</x:t>
  </x:si>
  <x:si>
    <x:t xml:space="preserve">Неоднозначно</x:t>
  </x:si>
  <x:si>
    <x:t xml:space="preserve">Исходная строка сохранена без изменения. Выбор профиля фиксирует объект цитирования; не утверждает отсутствие электронной версии у издания.
Человеческая проверка: Михаил Саяпин, 28.10.2026. Неоднозначные поля: Значение страниц. Согласие до обсуждения по всей выборке: 855/880 = 97,16%; совместно пустые и неопределённые пары исключены. Первичный комментарий проверяющего: «C. 1» в строке не подтверждено первоисточником. Просмотрены страница статьи https://trudymai.ru/published.php?ID=98753 («Сетевое научное издание», указано только «2018. № 102») и PDF статьи (27 страниц, без печатной нумерации страниц и номера статьи). Вариант «единственная страница» исключается: статья многостраничная. «Начальная страница» и «номер статьи» не подтверждаются и не опровергаются, поэтому в J оставлено «1» как в строке, значение страниц — «Неоднозначно». Согласованные решения от 28.10.2026: Значение страниц: Неоднозначно. Согласен: значение 1 сохраняется в поле страниц, его роль остаётся неоднозначной. Число страниц PDF не подставляется.</x:t>
  </x:si>
  <x:si>
    <x:t xml:space="preserve">YQONFZ</x:t>
  </x:si>
  <x:si>
    <x:t xml:space="preserve">Проверка оформления Михаилом: достаточно данных — Неоднозначно. Неясно значение «C. 1»: на странице статьи «Труды МАИ» (сетевое издание) и в PDF нет нумерации страниц или номера статьи. Неподтверждённое значение в ссылку не включено. Исходный вариант Михаила до последующего переноса: Низаметдинов, Ф. Р. Особенности применения вектора Эйлера для описания больших поворотов при моделировании элементов конструкций летательных аппаратов на примере стержневого конечного элемента / Ф. Р. Низаметдинов, Ф. Д. Сорокин // Труды МАИ. — 2018. — № 102.</x:t>
  </x:si>
  <x:si>
    <x:t xml:space="preserve">R376</x:t>
  </x:si>
  <x:si>
    <x:t xml:space="preserve">Русских С.В. Развертывание плоской упругой стержневой системы с тросовыми элементами, присоединенной к космическому аппарату // Известия высших учебных заведений. Машиностроение. 2018. № 4 (697). С. 80-90. https://doi.org/10.18698/0536-1044-2018-4-80-90 EDN: XOCSKT</x:t>
  </x:si>
  <x:si>
    <x:t xml:space="preserve">Русских С. В. Развертывание плоской упругой стержневой системы с тросовыми элементами, присоединенной к космическому аппарату // Известия высших учебных заведений. Машиностроение. — 2018. — № 4 (697). — С. 80–90. — URL: https://izvuzmash.bmstu.ru/catalog/avroc/hidden/1541.html (дата обращения: 27.10.2026).</x:t>
  </x:si>
  <x:si>
    <x:t xml:space="preserve">Русских С. В.</x:t>
  </x:si>
  <x:si>
    <x:t xml:space="preserve">Развертывание плоской упругой стержневой системы с тросовыми элементами, присоединенной к космическому аппарату</x:t>
  </x:si>
  <x:si>
    <x:t xml:space="preserve">Известия высших учебных заведений. Машиностроение</x:t>
  </x:si>
  <x:si>
    <x:t xml:space="preserve">4 (697)</x:t>
  </x:si>
  <x:si>
    <x:t xml:space="preserve">80–90</x:t>
  </x:si>
  <x:si>
    <x:t xml:space="preserve">https://doi.org/10.18698/0536-1044-2018-4-80-90</x:t>
  </x:si>
  <x:si>
    <x:t xml:space="preserve">10.18698/0536-1044-2018-4-80-90</x:t>
  </x:si>
  <x:si>
    <x:t xml:space="preserve">XOCSKT</x:t>
  </x:si>
  <x:si>
    <x:t xml:space="preserve">https://izvuzmash.bmstu.ru/catalog/avroc/hidden/1541.html</x:t>
  </x:si>
  <x:si>
    <x:t xml:space="preserve">Развертывание плоской упругой стержневой системы с тросовыми элементами, присоединенной к космическому аппарату | Известия высших учебных заведений. Машиностроение</x:t>
  </x:si>
  <x:si>
    <x:t xml:space="preserve">HTTP 200; проверка объекта 27.10.2026; https://izvuzmash.bmstu.ru/catalog/avroc/hidden/1541.html</x:t>
  </x:si>
  <x:si>
    <x:t xml:space="preserve">R377</x:t>
  </x:si>
  <x:si>
    <x:t xml:space="preserve">Тамразян А.Г. Горизонтальное динамическое воздействие по нижней части колонны с учетом совместной работы с элементом сооружения // Железобетонные конструкции. 2025. Т. 10. № 2. С. 3–16. https://doi.org/10.22227/2949-1622.2025.2.3-16 EDN: IFYDUF</x:t>
  </x:si>
  <x:si>
    <x:t xml:space="preserve">Тамразян А. Г. Горизонтальное динамическое воздействие по нижней части колонны с учетом совместной работы с элементом сооружения // Железобетонные конструкции. — 2025. — Т. 10. — № 2. — С. 3–16. — URL: https://www.g-b-k.ru/jour/article/view/72 (дата обращения: 27.10.2026).</x:t>
  </x:si>
  <x:si>
    <x:t xml:space="preserve">Тамразян А. Г.</x:t>
  </x:si>
  <x:si>
    <x:t xml:space="preserve">Горизонтальное динамическое воздействие по нижней части колонны с учетом совместной работы с элементом сооружения</x:t>
  </x:si>
  <x:si>
    <x:t xml:space="preserve">Железобетонные конструкции</x:t>
  </x:si>
  <x:si>
    <x:t xml:space="preserve">3–16</x:t>
  </x:si>
  <x:si>
    <x:t xml:space="preserve">https://doi.org/10.22227/2949-1622.2025.2.3-16</x:t>
  </x:si>
  <x:si>
    <x:t xml:space="preserve">https://journals.rudn.ru/structural-mechanics/article/view/49489?setLocale=ru_RU#articleCitations</x:t>
  </x:si>
  <x:si>
    <x:t xml:space="preserve">10.22227/2949-1622.2025.2.3-16</x:t>
  </x:si>
  <x:si>
    <x:t xml:space="preserve">Analytical Modeling of Reinforced Concrete Columns Under Lateral Impact with Shear Failure</x:t>
  </x:si>
  <x:si>
    <x:t xml:space="preserve">IFYDUF</x:t>
  </x:si>
  <x:si>
    <x:t xml:space="preserve">https://journals.rudn.ru/structural-mechanics/article/view/49489</x:t>
  </x:si>
  <x:si>
    <x:t xml:space="preserve">https://www.g-b-k.ru/jour/article/view/72</x:t>
  </x:si>
  <x:si>
    <x:t xml:space="preserve">Горизонтальное динамическое воздействие по нижней части колонны с учетом совместной работы с элементом сооружения | Тамразян | Железобетонные конструкции | Горизонтальное динамическое воздействие по нижней части колонны с учетом совместной работы с элементом сооружения | Horizontal Dynamic Impact at the Bottom of the Column with Regard to the Joint Operation with the Structural Element | Горизонтальное динамическое воздействие по нижней части колонны с учетом совместной работы с элементом сооружения | Горизонтальное динамическое воздействие по нижней части колонны с учетом совместной работы с элементом сооружения | Тамразян | Железобетонные конструкции</x:t>
  </x:si>
  <x:si>
    <x:t xml:space="preserve">HTTP 200; проверка объекта 27.10.2026; https://www.g-b-k.ru/jour/article/view/72</x:t>
  </x:si>
  <x:si>
    <x:t xml:space="preserve">R378</x:t>
  </x:si>
  <x:si>
    <x:t xml:space="preserve">Алексейцев А.В. Анализ устойчивости железобетонной колонны при горизонтальных ударных воздействиях // Железобетонные конструкции. 2023. Т. 2. № 2. С. 3–12. https://doi.org/10.22227/2949-1622.2023.2.3-12 EDN: VCYHKK</x:t>
  </x:si>
  <x:si>
    <x:t xml:space="preserve">Алексейцев А. В. Анализ устойчивости железобетонной колонны при горизонтальных ударных воздействиях // Железобетонные конструкции. — 2023. — Т. 2. — № 2. — С. 3–12. — URL: https://www.g-b-k.ru/jour/article/view/11 (дата обращения: 27.10.2026).</x:t>
  </x:si>
  <x:si>
    <x:t xml:space="preserve">Алексейцев А. В.</x:t>
  </x:si>
  <x:si>
    <x:t xml:space="preserve">Анализ устойчивости железобетонной колонны при горизонтальных ударных воздействиях</x:t>
  </x:si>
  <x:si>
    <x:t xml:space="preserve">3–12</x:t>
  </x:si>
  <x:si>
    <x:t xml:space="preserve">https://doi.org/10.22227/2949-1622.2023.2.3-12</x:t>
  </x:si>
  <x:si>
    <x:t xml:space="preserve">10.22227/2949-1622.2023.2.3-12</x:t>
  </x:si>
  <x:si>
    <x:t xml:space="preserve">VCYHKK</x:t>
  </x:si>
  <x:si>
    <x:t xml:space="preserve">https://www.g-b-k.ru/jour/article/view/11</x:t>
  </x:si>
  <x:si>
    <x:t xml:space="preserve">Анализ устойчивости железобетонной колонны при горизонтальных ударных воздействиях | Алексейцев | Железобетонные конструкции | Анализ устойчивости железобетонной колонны при горизонтальных ударных воздействиях | Stability of the RC Column under Horizontal Impacts | Анализ устойчивости железобетонной колонны при горизонтальных ударных воздействиях | Анализ устойчивости железобетонной колонны при горизонтальных ударных воздействиях | Алексейцев | Железобетонные конструкции</x:t>
  </x:si>
  <x:si>
    <x:t xml:space="preserve">HTTP 200; проверка объекта 27.10.2026; https://www.g-b-k.ru/jour/article/view/11</x:t>
  </x:si>
  <x:si>
    <x:t xml:space="preserve">R379</x:t>
  </x:si>
  <x:si>
    <x:t xml:space="preserve">Шафрай С.Д. Влияние конструктивно-технологической формы фланцевого соединения на его работоспособность // Известия вузов. Строительство. 2012. № 9. С. 92-100. EDN: PYYPXN</x:t>
  </x:si>
  <x:si>
    <x:t xml:space="preserve">Шафрай С. Д. Влияние конструктивно-технологической формы фланцевого соединения на его работоспособность // Известия вузов. Строительство. — 2012. — № 9. — С. 92–100.</x:t>
  </x:si>
  <x:si>
    <x:t xml:space="preserve">Шафрай С. Д.</x:t>
  </x:si>
  <x:si>
    <x:t xml:space="preserve">Влияние конструктивно-технологической формы фланцевого соединения на его работоспособность</x:t>
  </x:si>
  <x:si>
    <x:t xml:space="preserve">Известия вузов. Строительство</x:t>
  </x:si>
  <x:si>
    <x:t xml:space="preserve">92–100</x:t>
  </x:si>
  <x:si>
    <x:t xml:space="preserve">https://journals.rudn.ru/structural-mechanics/article/view/49492?setLocale=ru_RU#articleCitations</x:t>
  </x:si>
  <x:si>
    <x:t xml:space="preserve">Influence of Rotational Stiffness of Beam-to-Column Connection on Steel Frame Performance</x:t>
  </x:si>
  <x:si>
    <x:t xml:space="preserve">PYYPXN</x:t>
  </x:si>
  <x:si>
    <x:t xml:space="preserve">https://journals.rudn.ru/structural-mechanics/article/view/49492</x:t>
  </x:si>
  <x:si>
    <x:t xml:space="preserve">R380</x:t>
  </x:si>
  <x:si>
    <x:t xml:space="preserve">Альтман М.Б. Применение алюминиевых сплавов. Москва : Металлургия, 1973. 408 с.</x:t>
  </x:si>
  <x:si>
    <x:t xml:space="preserve">Альтман М. Б. Применение алюминиевых сплавов. — Москва : Металлургия, 1973. — 408 с.</x:t>
  </x:si>
  <x:si>
    <x:t xml:space="preserve">Альтман М. Б.</x:t>
  </x:si>
  <x:si>
    <x:t xml:space="preserve">Применение алюминиевых сплавов</x:t>
  </x:si>
  <x:si>
    <x:t xml:space="preserve">408</x:t>
  </x:si>
  <x:si>
    <x:t xml:space="preserve">Металлургия</x:t>
  </x:si>
  <x:si>
    <x:t xml:space="preserve">https://journals.rudn.ru/structural-mechanics/article/view/49496?setLocale=ru_RU#articleCitations</x:t>
  </x:si>
  <x:si>
    <x:t xml:space="preserve">Integral Criterion for the Selection of Aluminum Alloy for the Construction of Reservoirs in the Arctic</x:t>
  </x:si>
  <x:si>
    <x:t xml:space="preserve">https://journals.rudn.ru/structural-mechanics/article/view/49496</x:t>
  </x:si>
  <x:si>
    <x:t xml:space="preserve">R381</x:t>
  </x:si>
  <x:si>
    <x:t xml:space="preserve">Шувалов А.Н., Корнев О.А., Ермаков В.А. Исследование физико-механических характеристик алюминиевых сплавов 1915Т, 1565ч и 6082-Т6 при низких температурах // Строительство: наука и образование. 2024. Т. 14. № 1. С. 73-94. https://doi.org/10.22227/2305-5502.2024.1.5 EDN: HACFND</x:t>
  </x:si>
  <x:si>
    <x:t xml:space="preserve">Шувалов А. Н., Корнев О. А., Ермаков В. А. Исследование физико-механических характеристик алюминиевых сплавов 1915Т, 1565ч и 6082-Т6 при низких температурах // Строительство: наука и образование. — 2024. — Т. 14. — № 1. — С. 73–94. — URL: https://www.nso-journal.ru/jour/article/view/156 (дата обращения: 27.10.2026).</x:t>
  </x:si>
  <x:si>
    <x:t xml:space="preserve">Шувалов А. Н. | Корнев О. А. | Ермаков В. А.</x:t>
  </x:si>
  <x:si>
    <x:t xml:space="preserve">Исследование физико-механических характеристик алюминиевых сплавов 1915Т, 1565ч и 6082-Т6 при низких температурах</x:t>
  </x:si>
  <x:si>
    <x:t xml:space="preserve">Строительство: наука и образование</x:t>
  </x:si>
  <x:si>
    <x:t xml:space="preserve">73–94</x:t>
  </x:si>
  <x:si>
    <x:t xml:space="preserve">https://doi.org/10.22227/2305-5502.2024.1.5</x:t>
  </x:si>
  <x:si>
    <x:t xml:space="preserve">10.22227/2305-5502.2024.1.5</x:t>
  </x:si>
  <x:si>
    <x:t xml:space="preserve">HACFND</x:t>
  </x:si>
  <x:si>
    <x:t xml:space="preserve">https://www.nso-journal.ru/jour/article/view/156</x:t>
  </x:si>
  <x:si>
    <x:t xml:space="preserve">Исследование физико-механических характеристик алюминиевых сплавов 1915Т, 1565ч и 6082-Т6 при низких температурах | Шувалов | Строительство: наука и образование | Исследование физико-механических характеристик алюминиевых сплавов 1915Т, 1565ч и 6082-Т6 при низких температурах | Investigation of physical and mechanical characteristics of aluminium alloys 1915T, 1565ch and 6082-T6 at low temperatures | Исследование физико-механических характеристик алюминиевых сплавов 1915Т, 1565ч и 6082-Т6 при низких температурах | Исследование физико-механических характеристик алюминиевых сплавов 1915Т, 1565ч и 6082-Т6 при низких температурах | Шувалов | Строительство: наука и образование</x:t>
  </x:si>
  <x:si>
    <x:t xml:space="preserve">HTTP 200; проверка объекта 27.10.2026; https://www.nso-journal.ru/jour/article/view/156</x:t>
  </x:si>
  <x:si>
    <x:t xml:space="preserve">R382</x:t>
  </x:si>
  <x:si>
    <x:t xml:space="preserve">Римшин В.И., Амелин П.А. Численный расчет изгибаемых железобетонных элементов в программной среде Abaqus // Строительная механика инженерных конструкций и сооружений. 2022. Т. 18. № 6. С. 552-563. https://doi.org/10.22363/1815-5235-2022-18-6-552-563 EDN: WCRNSY</x:t>
  </x:si>
  <x:si>
    <x:t xml:space="preserve">Римшин В. И., Амелин П. А. Численный расчет изгибаемых железобетонных элементов в программной среде Abaqus // Строительная механика инженерных конструкций и сооружений. — 2022. — Т. 18. — № 6. — С. 552–563. — URL: https://journals.rudn.ru/structural-mechanics/article/view/33551 (дата обращения: 27.10.2026).</x:t>
  </x:si>
  <x:si>
    <x:t xml:space="preserve">Римшин В. И. | Амелин П. А.</x:t>
  </x:si>
  <x:si>
    <x:t xml:space="preserve">Численный расчет изгибаемых железобетонных элементов в программной среде Abaqus</x:t>
  </x:si>
  <x:si>
    <x:t xml:space="preserve">552–563</x:t>
  </x:si>
  <x:si>
    <x:t xml:space="preserve">https://doi.org/10.22363/1815-5235-2022-18-6-552-563</x:t>
  </x:si>
  <x:si>
    <x:t xml:space="preserve">https://journals.rudn.ru/structural-mechanics/article/view/50719?setLocale=ru_RU#articleCitations</x:t>
  </x:si>
  <x:si>
    <x:t xml:space="preserve">10.22363/1815-5235-2022-18-6-552-563</x:t>
  </x:si>
  <x:si>
    <x:t xml:space="preserve">Concrete Damage Plasticity Parameters for the Analysis of Reinforced Concrete Structures</x:t>
  </x:si>
  <x:si>
    <x:t xml:space="preserve">WCRNSY</x:t>
  </x:si>
  <x:si>
    <x:t xml:space="preserve">https://journals.rudn.ru/structural-mechanics/article/view/50719</x:t>
  </x:si>
  <x:si>
    <x:t xml:space="preserve">https://journals.rudn.ru/structural-mechanics/article/view/33551</x:t>
  </x:si>
  <x:si>
    <x:t xml:space="preserve">Numerical calculation of bent reinforced concrete elements of rectangular section in the Abaqus software | Numerical calculation of bent reinforced concrete elements of rectangular section in the Abaqus software | Численный расчет изгибаемых железобетонных элементов прямоугольного сечения в программной среде Abaqus | Numerical calculation of bent reinforced concrete elements of rectangular section in the Abaqus software | Численный расчет изгибаемых железобетонных элементов прямоугольного сечения в программной среде Abaqus | Numerical calculation of bent reinforced concrete elements of rectangular section in the Abaqus software - Rimshin - Structural Mechanics of Engineering Constructions an</x:t>
  </x:si>
  <x:si>
    <x:t xml:space="preserve">HTTP 200; проверка объекта 27.10.2026; https://journals.rudn.ru/structural-mechanics/article/view/33551</x:t>
  </x:si>
  <x:si>
    <x:t xml:space="preserve">Проверка оформления Михаилом: достаточно данных — Да. Открылась страница статьи (заглавие на английском); DOI на странице совпал с DOI строки. Источник: Подтверждения_28_10_2026.html. Исходный вариант Михаила до последующего переноса: Римшин, В. И. Численный расчет изгибаемых железобетонных элементов в программной среде Abaqus / В. И. Римшин, П. А. Амелин // Строительная механика инженерных конструкций и сооружений. — 2022. — Т. 18, № 6. — С. 552–563. — URL: https://journals.rudn.ru/structural-mechanics/article/view/33551 (дата обращения: 27.10.2026).</x:t>
  </x:si>
  <x:si>
    <x:t xml:space="preserve">R383</x:t>
  </x:si>
  <x:si>
    <x:t xml:space="preserve">Шорстов Р.А., Языев С.Б., Чепурненко А.С. Оптимизация сжатых деревянных стоек переменного сечения по критерию максимума критической нагрузки // Строительство и архитектура. 2023. Т. 11. № 1. С. 4. https://doi.org/10.29039/2308-0191-2022-11-1-5-5 EDN: NRRYQL</x:t>
  </x:si>
  <x:si>
    <x:t xml:space="preserve">Шорстов Р. А., Языев С. Б., Чепурненко А. С. Оптимизация сжатых деревянных стоек переменного сечения по критерию максимума критической нагрузки // Строительство и архитектура. — 2023. — Т. 11. — № 1. — С. 4. — URL: https://conarc.ru/en/nauka/publications/article/6a9c14f232807fdbab863efc/optimization-of-compressed-wooden-bars-of-variable-section-according-to-the-criterion-of-maximum-critical-load/view (дата обращения: 27.10.2026).</x:t>
  </x:si>
  <x:si>
    <x:t xml:space="preserve">Шорстов Р. А. | Языев С. Б. | Чепурненко А. С.</x:t>
  </x:si>
  <x:si>
    <x:t xml:space="preserve">Оптимизация сжатых деревянных стоек переменного сечения по критерию максимума критической нагрузки</x:t>
  </x:si>
  <x:si>
    <x:t xml:space="preserve">Строительство и архитектура</x:t>
  </x:si>
  <x:si>
    <x:t xml:space="preserve">https://doi.org/10.29039/2308-0191-2022-11-1-5-5</x:t>
  </x:si>
  <x:si>
    <x:t xml:space="preserve">https://journals.rudn.ru/structural-mechanics/article/view/50720?setLocale=ru_RU#articleCitations</x:t>
  </x:si>
  <x:si>
    <x:t xml:space="preserve">10.29039/2308-0191-2022-11-1-5-5</x:t>
  </x:si>
  <x:si>
    <x:t xml:space="preserve">Rational Outline of Timber Beams</x:t>
  </x:si>
  <x:si>
    <x:t xml:space="preserve">NRRYQL</x:t>
  </x:si>
  <x:si>
    <x:t xml:space="preserve">https://journals.rudn.ru/structural-mechanics/article/view/50720</x:t>
  </x:si>
  <x:si>
    <x:t xml:space="preserve">https://conarc.ru/en/nauka/publications/article/6a9c14f232807fdbab863efc/optimization-of-compressed-wooden-bars-of-variable-section-according-to-the-criterion-of-maximum-critical-load/view</x:t>
  </x:si>
  <x:si>
    <x:t xml:space="preserve">Optimization of compressed wooden bars of variable section according to the criterion of maximum critical load | Construction and Architecture | Optimization of compressed wooden bars of variable section according to the criterion of maximum critical load | Optimization of compressed wooden bars of variable section according to the criterion of maximum critical load | Optimization of compressed wooden bars of variable section according to the criterion of maximum critical load | Construction and Architecture</x:t>
  </x:si>
  <x:si>
    <x:t xml:space="preserve">HTTP 200; проверка объекта 27.10.2026; https://conarc.ru/en/nauka/publications/article/6a9c14f232807fdbab863efc/optimization-of-compressed-wooden-bars-of-variable-section-according-to-the-criterion-of-maximum-critical-load/view</x:t>
  </x:si>
  <x:si>
    <x:t xml:space="preserve">R384</x:t>
  </x:si>
  <x:si>
    <x:t xml:space="preserve">Маркина Ю.Д. Влияние расположения технологического оборудования на результаты расчета цифровой модели башни сотовой связи // Омский научный вестник. 2025. № 4(196). С. 26-34. https://doi.org/10.25206/1813-8225-2025-196-26-34</x:t>
  </x:si>
  <x:si>
    <x:t xml:space="preserve">Маркина Ю. Д. Влияние расположения технологического оборудования на результаты расчета цифровой модели башни сотовой связи // Омский научный вестник. — 2025. — № 4(196). — С. 26–34. — URL: https://journals.omgtu.ru/index.php/onv/article/view/1990/1883 (дата обращения: 27.10.2026).</x:t>
  </x:si>
  <x:si>
    <x:t xml:space="preserve">Маркина Ю. Д.</x:t>
  </x:si>
  <x:si>
    <x:t xml:space="preserve">Влияние расположения технологического оборудования на результаты расчета цифровой модели башни сотовой связи</x:t>
  </x:si>
  <x:si>
    <x:t xml:space="preserve">Омский научный вестник</x:t>
  </x:si>
  <x:si>
    <x:t xml:space="preserve">4(196)</x:t>
  </x:si>
  <x:si>
    <x:t xml:space="preserve">26–34</x:t>
  </x:si>
  <x:si>
    <x:t xml:space="preserve">https://doi.org/10.25206/1813-8225-2025-196-26-34</x:t>
  </x:si>
  <x:si>
    <x:t xml:space="preserve">https://journals.rudn.ru/structural-mechanics/article/view/50721?setLocale=ru_RU#articleCitations</x:t>
  </x:si>
  <x:si>
    <x:t xml:space="preserve">10.25206/1813-8225-2025-196-26-34</x:t>
  </x:si>
  <x:si>
    <x:t xml:space="preserve">Influence of Geometric Asymmetry on the Spatial Behavior of Tower Structures</x:t>
  </x:si>
  <x:si>
    <x:t xml:space="preserve">https://journals.rudn.ru/structural-mechanics/article/view/50721</x:t>
  </x:si>
  <x:si>
    <x:t xml:space="preserve">https://journals.omgtu.ru/index.php/onv/article/view/1990/1883</x:t>
  </x:si>
  <x:si>
    <x:t xml:space="preserve">Просмотр «Влияние расположения технологического оборудования на результаты расчета цифровой модели башни сотовой связи»</x:t>
  </x:si>
  <x:si>
    <x:t xml:space="preserve">HTTP 200; проверка объекта 27.10.2026; https://journals.omgtu.ru/index.php/onv/article/view/1990/1883</x:t>
  </x:si>
  <x:si>
    <x:t xml:space="preserve">R385</x:t>
  </x:si>
  <x:si>
    <x:t xml:space="preserve">Базаров А.Д., Лундэнбазар Б., Комаров А.К., Иванов И.А. Оценка динамической реакции каркасного здания под воздействием микросейсмического шума в г. Улан-Баторе // Известия вузов. Инвестиции. Строительство. Недвижимость. 2020. Т. 10. № 2. С. 198-205. https://doi.org/10.21285/2227-2917-2020-2-198-205 EDN: DYLOFJ</x:t>
  </x:si>
  <x:si>
    <x:t xml:space="preserve">Оценка динамической реакции каркасного здания под воздействием микросейсмического шума в г. Улан-Баторе / А. Д. Базаров, Б. Лундэнбазар, А. К. Комаров, И. А. Иванов // Известия вузов. Инвестиции. Строительство. Недвижимость. — 2020. — Т. 10. — № 2. — С. 198–205. — URL: https://journals.istu.edu/izvestia_invest/journals/2020/33/articles/02 (дата обращения: 27.10.2026).</x:t>
  </x:si>
  <x:si>
    <x:t xml:space="preserve">Базаров А. Д. | Лундэнбазар Б. | Комаров А. К. | Иванов И. А.</x:t>
  </x:si>
  <x:si>
    <x:t xml:space="preserve">Оценка динамической реакции каркасного здания под воздействием микросейсмического шума в г. Улан-Баторе</x:t>
  </x:si>
  <x:si>
    <x:t xml:space="preserve">198–205</x:t>
  </x:si>
  <x:si>
    <x:t xml:space="preserve">https://doi.org/10.21285/2227-2917-2020-2-198-205</x:t>
  </x:si>
  <x:si>
    <x:t xml:space="preserve">https://journals.rudn.ru/structural-mechanics/article/view/50722?setLocale=ru_RU#articleCitations</x:t>
  </x:si>
  <x:si>
    <x:t xml:space="preserve">10.21285/2227-2917-2020-2-198-205</x:t>
  </x:si>
  <x:si>
    <x:t xml:space="preserve">Comparison of Experimental and Numerical Dynamic Characteristics of a Building</x:t>
  </x:si>
  <x:si>
    <x:t xml:space="preserve">DYLOFJ</x:t>
  </x:si>
  <x:si>
    <x:t xml:space="preserve">https://journals.rudn.ru/structural-mechanics/article/view/50722</x:t>
  </x:si>
  <x:si>
    <x:t xml:space="preserve">https://journals.istu.edu/izvestia_invest/journals/2020/33/articles/02</x:t>
  </x:si>
  <x:si>
    <x:t xml:space="preserve">HTTP 200; проверка объекта 27.10.2026; https://journals.istu.edu/izvestia_invest/journals/2020/33/articles/02</x:t>
  </x:si>
  <x:si>
    <x:t xml:space="preserve">R386</x:t>
  </x:si>
  <x:si>
    <x:t xml:space="preserve">Несветаев Г.В., Корянова Ю.И. Прогноз кинетики прочности бетона при твердении в условиях, отличных от нормальных // Современные тенденции в строительстве, градостроительстве и планировке территорий. 2023. Т. 2. № 4. С. 59-68. https://doi.org/10.23947/2949-1835-2023-2-4-59-68 EDN: UAIZPO</x:t>
  </x:si>
  <x:si>
    <x:t xml:space="preserve">Несветаев Г. В., Корянова Ю. И. Прогноз кинетики прочности бетона при твердении в условиях, отличных от нормальных // Современные тенденции в строительстве, градостроительстве и планировке территорий. — 2023. — Т. 2. — № 4. — С. 59–68. — URL: https://www.stsg-donstu.ru/jour/article/view/72 (дата обращения: 27.10.2026).</x:t>
  </x:si>
  <x:si>
    <x:t xml:space="preserve">Несветаев Г. В. | Корянова Ю. И.</x:t>
  </x:si>
  <x:si>
    <x:t xml:space="preserve">Прогноз кинетики прочности бетона при твердении в условиях, отличных от нормальных</x:t>
  </x:si>
  <x:si>
    <x:t xml:space="preserve">Современные тенденции в строительстве, градостроительстве и планировке территорий</x:t>
  </x:si>
  <x:si>
    <x:t xml:space="preserve">59–68</x:t>
  </x:si>
  <x:si>
    <x:t xml:space="preserve">https://doi.org/10.23947/2949-1835-2023-2-4-59-68</x:t>
  </x:si>
  <x:si>
    <x:t xml:space="preserve">https://journals.rudn.ru/structural-mechanics/article/view/51201?setLocale=ru_RU#articleCitations</x:t>
  </x:si>
  <x:si>
    <x:t xml:space="preserve">10.23947/2949-1835-2023-2-4-59-68</x:t>
  </x:si>
  <x:si>
    <x:t xml:space="preserve">Prediction of Thermal Stress in Hardening Mass Concrete Structures Using Temperature Monitoring Data</x:t>
  </x:si>
  <x:si>
    <x:t xml:space="preserve">UAIZPO</x:t>
  </x:si>
  <x:si>
    <x:t xml:space="preserve">https://journals.rudn.ru/structural-mechanics/article/view/51201</x:t>
  </x:si>
  <x:si>
    <x:t xml:space="preserve">https://www.stsg-donstu.ru/jour/article/view/72</x:t>
  </x:si>
  <x:si>
    <x:t xml:space="preserve">Прогноз кинетики прочности бетона при твердении в условиях, отличных от нормальных | Несветаев | Современные тенденции в строительстве, градостроительстве и планировке территорий | Прогноз кинетики прочности бетона при твердении в условиях, отличных от нормальных | Forecasting the Strength Gaining Kinetics of the Concrete Hardening in the Abnormal Conditions | Прогноз кинетики прочности бетона при твердении в условиях, отличных от нормальных | Прогноз кинетики прочности бетона при твердении в условиях, отличных от нормальных | Несветаев | Современные тенденции в строительстве, градостроительстве и планировке территорий</x:t>
  </x:si>
  <x:si>
    <x:t xml:space="preserve">HTTP 200; проверка объекта 27.10.2026; https://www.stsg-donstu.ru/jour/article/view/72</x:t>
  </x:si>
  <x:si>
    <x:t xml:space="preserve">R387</x:t>
  </x:si>
  <x:si>
    <x:t xml:space="preserve">Зарипов Р.М., Масалимов Р.Б. Численное моделирование напряженно-деформированного состояния подводного морского газопровода с учетом разжижения грунта и параметров эксплуатации // Известия Российской академии наук. Механика твердого тела. 2023. № 4. С. 152-166. https://doi.org/10.31857/S0572329922600700 EDN: QWSFJU</x:t>
  </x:si>
  <x:si>
    <x:t xml:space="preserve">Зарипов Р. М., Масалимов Р. Б. Численное моделирование напряженно-деформированного состояния подводного морского газопровода с учетом разжижения грунта и параметров эксплуатации // Известия Российской академии наук. Механика твердого тела. — 2023. — № 4. — С. 152–166. — URL: https://journals.rcsi.science/1026-3519/article/view/137540 (дата обращения: 27.10.2026).</x:t>
  </x:si>
  <x:si>
    <x:t xml:space="preserve">Зарипов Р. М. | Масалимов Р. Б.</x:t>
  </x:si>
  <x:si>
    <x:t xml:space="preserve">Численное моделирование напряженно-деформированного состояния подводного морского газопровода с учетом разжижения грунта и параметров эксплуатации</x:t>
  </x:si>
  <x:si>
    <x:t xml:space="preserve">Известия Российской академии наук. Механика твердого тела</x:t>
  </x:si>
  <x:si>
    <x:t xml:space="preserve">152–166</x:t>
  </x:si>
  <x:si>
    <x:t xml:space="preserve">https://doi.org/10.31857/S0572329922600700</x:t>
  </x:si>
  <x:si>
    <x:t xml:space="preserve">https://journals.rudn.ru/structural-mechanics/article/view/51202?setLocale=ru_RU#articleCitations</x:t>
  </x:si>
  <x:si>
    <x:t xml:space="preserve">10.31857/S0572329922600700</x:t>
  </x:si>
  <x:si>
    <x:t xml:space="preserve">Modeling the Stress-Strain State of Concrete Coated Pipeline During Laying from Pipe-Laying Barges</x:t>
  </x:si>
  <x:si>
    <x:t xml:space="preserve">QWSFJU</x:t>
  </x:si>
  <x:si>
    <x:t xml:space="preserve">https://journals.rudn.ru/structural-mechanics/article/view/51202</x:t>
  </x:si>
  <x:si>
    <x:t xml:space="preserve">https://journals.rcsi.science/1026-3519/article/view/137540</x:t>
  </x:si>
  <x:si>
    <x:t xml:space="preserve">ЧИСЛЕННОЕ МОДЕЛИРОВАНИЕ НАПРЯЖЕННО-ДЕФОРМИРОВАННОГО СОСТОЯНИЯ ПОДВОДНОГО МОРСКОГО ГАЗОПРОВОДА С УЧЕТОМ РАЗЖИЖЕНИЯ ГРУНТА И ПАРАМЕТРОВ ЭКСПЛУАТАЦИИ | ЧИСЛЕННОЕ МОДЕЛИРОВАНИЕ НАПРЯЖЕННО-ДЕФОРМИРОВАННОГО СОСТОЯНИЯ ПОДВОДНОГО МОРСКОГО ГАЗОПРОВОДА С УЧЕТОМ РАЗЖИЖЕНИЯ ГРУНТА И ПАРАМЕТРОВ ЭКСПЛУАТАЦИИ | ЧИСЛЕННОЕ МОДЕЛИРОВАНИЕ НАПРЯЖЕННО-ДЕФОРМИРОВАННОГО СОСТОЯНИЯ ПОДВОДНОГО МОРСКОГО ГАЗОПРОВОДА С УЧЕТОМ РАЗЖИЖЕНИЯ ГРУНТА И ПАРАМЕТРОВ ЭКСПЛУАТАЦИИ | ЧИСЛЕННОЕ МОДЕЛИРОВАНИЕ НАПРЯЖЕННО-ДЕФОРМИРОВАННОГО СОСТОЯНИЯ ПОДВОДНОГО МОРСКОГО ГАЗОПРОВОДА С УЧЕТОМ РАЗЖИЖЕНИЯ ГРУНТА И ПАРАМЕТРОВ ЭКСПЛУАТАЦИИ - Зарипов - Izvestiâ Akademii nauk. Rossijskaâ akademiâ nauk. Mehanika tverdogo tela.</x:t>
  </x:si>
  <x:si>
    <x:t xml:space="preserve">HTTP 200; проверка объекта 27.10.2026; https://journals.rcsi.science/1026-3519/article/view/137540</x:t>
  </x:si>
  <x:si>
    <x:t xml:space="preserve">R388</x:t>
  </x:si>
  <x:si>
    <x:t xml:space="preserve">Ружанский И.Л. Развитие конструктивных форм пространственных и легких конструкций // Промышленное и гражданское строительство. 2010. № 5. С. 12-15. EDN: MCIQLZ</x:t>
  </x:si>
  <x:si>
    <x:t xml:space="preserve">Ружанский И. Л. Развитие конструктивных форм пространственных и легких конструкций // Промышленное и гражданское строительство. — 2010. — № 5. — С. 12–15.</x:t>
  </x:si>
  <x:si>
    <x:t xml:space="preserve">Ружанский И. Л.</x:t>
  </x:si>
  <x:si>
    <x:t xml:space="preserve">Развитие конструктивных форм пространственных и легких конструкций</x:t>
  </x:si>
  <x:si>
    <x:t xml:space="preserve">Промышленное и гражданское строительство</x:t>
  </x:si>
  <x:si>
    <x:t xml:space="preserve">12–15</x:t>
  </x:si>
  <x:si>
    <x:t xml:space="preserve">https://journals.rudn.ru/structural-mechanics/article/view/51203?setLocale=ru_RU#articleCitations</x:t>
  </x:si>
  <x:si>
    <x:t xml:space="preserve">Numerical Analysis of the Stress-Strain State of a Spatial Core Structure, Taking into Account the Malleability of Nodal Joints</x:t>
  </x:si>
  <x:si>
    <x:t xml:space="preserve">MCIQLZ</x:t>
  </x:si>
  <x:si>
    <x:t xml:space="preserve">https://journals.rudn.ru/structural-mechanics/article/view/51203</x:t>
  </x:si>
  <x:si>
    <x:t xml:space="preserve">R389</x:t>
  </x:si>
  <x:si>
    <x:t xml:space="preserve">Гайджуров П.П. Царитова Н.Г. Моделирование сейсмического воздействия на двухконтурный геодезический купол с учетом податливости узловых соединений // Вестник МГСУ. 2026. Т. 21. № 1. С. 24-34. https://doi.org/10.22227/1997-0935.2026.1.24-34 EDN: XHELVH</x:t>
  </x:si>
  <x:si>
    <x:t xml:space="preserve">Гайджуров П. П. Царитова Н.Г. Моделирование сейсмического воздействия на двухконтурный геодезический купол с учетом податливости узловых соединений // Вестник МГСУ. — 2026. — Т. 21. — № 1. — С. 24–34. — URL: https://www.vestnikmgsu.ru/jour/article/view/837 (дата обращения: 27.10.2026).</x:t>
  </x:si>
  <x:si>
    <x:t xml:space="preserve">Гайджуров П. П.</x:t>
  </x:si>
  <x:si>
    <x:t xml:space="preserve">Царитова Н.Г. Моделирование сейсмического воздействия на двухконтурный геодезический купол с учетом податливости узловых соединений</x:t>
  </x:si>
  <x:si>
    <x:t xml:space="preserve">24–34</x:t>
  </x:si>
  <x:si>
    <x:t xml:space="preserve">https://doi.org/10.22227/1997-0935.2026.1.24-34</x:t>
  </x:si>
  <x:si>
    <x:t xml:space="preserve">10.22227/1997-0935.2026.1.24-34</x:t>
  </x:si>
  <x:si>
    <x:t xml:space="preserve">XHELVH</x:t>
  </x:si>
  <x:si>
    <x:t xml:space="preserve">https://www.vestnikmgsu.ru/jour/article/view/837</x:t>
  </x:si>
  <x:si>
    <x:t xml:space="preserve">Моделирование сейсмического воздействия на двухконтурный геодезический купол с учетом податливости узловых соединений | Гайджуров | Вестник МГСУ | Моделирование сейсмического воздействия на двухконтурный геодезический купол с учетом податливости узловых соединений | Modelling of seismic impact on a double-contour geodesic dome taking into account the flexibility of nodal connections | Моделирование сейсмического воздействия на двухконтурный геодезический купол с учетом податливости узловых соединений | Моделирование сейсмического воздействия на двухконтурный геодезический купол с учетом податливости узловых соединений | Гайджуров | Вестник МГСУ</x:t>
  </x:si>
  <x:si>
    <x:t xml:space="preserve">HTTP 200; проверка объекта 27.10.2026; https://www.vestnikmgsu.ru/jour/article/view/837</x:t>
  </x:si>
  <x:si>
    <x:t xml:space="preserve">R390</x:t>
  </x:si>
  <x:si>
    <x:t xml:space="preserve">Шашкин А.Г. Вязко-упругопластическая модель поведения глинистого грунта // Развитие городов и геотехническое строительство. 2011. № 2. С. 1-32. URL: http://urban-development.ru/2011/7.pdf (дата обращения: 13.09.2025)</x:t>
  </x:si>
  <x:si>
    <x:t xml:space="preserve">Шашкин А. Г. Вязко-упругопластическая модель поведения глинистого грунта // Развитие городов и геотехническое строительство. — 2011. — № 2. — С. 1–32. — URL: http://urban-development.ru/2011/7.pdf (дата обращения: 27.10.2026).</x:t>
  </x:si>
  <x:si>
    <x:t xml:space="preserve">Шашкин А. Г.</x:t>
  </x:si>
  <x:si>
    <x:t xml:space="preserve">Вязко-упругопластическая модель поведения глинистого грунта</x:t>
  </x:si>
  <x:si>
    <x:t xml:space="preserve">Развитие городов и геотехническое строительство</x:t>
  </x:si>
  <x:si>
    <x:t xml:space="preserve">1–32</x:t>
  </x:si>
  <x:si>
    <x:t xml:space="preserve">http://urban-development.ru/2011/7.pdf</x:t>
  </x:si>
  <x:si>
    <x:t xml:space="preserve">https://journals.rudn.ru/structural-mechanics/article/view/51204?setLocale=ru_RU#articleCitations</x:t>
  </x:si>
  <x:si>
    <x:t xml:space="preserve">Deformation of a Beam Lying on an Elastic Foundation with Different Variants of the Foundation Flexibility Coefficient</x:t>
  </x:si>
  <x:si>
    <x:t xml:space="preserve">https://journals.rudn.ru/structural-mechanics/article/view/51204</x:t>
  </x:si>
  <x:si>
    <x:t xml:space="preserve">Вязко-упруго-пластическая модель поведения глинистого грунта 
Internet:  urban-development.ru 
РАЗВИТИЕ ГОРОДОВ И ГЕОТЕХНИЧЕСКОЕ СТРОИТЕЛЬСТВО, ВЫПУСК №2/2011 
1 
ВЯЗКО-УПРУГО-ПЛАСТИЧЕСКАЯ МОДЕЛЬ ПОВЕДЕНИЯ  
ГЛИНИСТОГО ГРУНТА 
А.Г. ШАШКИН – канд. т</x:t>
  </x:si>
  <x:si>
    <x:t xml:space="preserve">HTTP 200; проверка объекта 27.10.2026; http://urban-development.ru/2011/7.pdf</x:t>
  </x:si>
  <x:si>
    <x:t xml:space="preserve">R391</x:t>
  </x:si>
  <x:si>
    <x:t xml:space="preserve">Кривошапко С.Н. Аналитические линейчатые поверхности и их полная классификация // Строительная механика инженерных конструкций и сооружений. 2020. Т. 16. № 2. C. 131-138. https://doi.org/10.22363/1815-5235-2020-16-2-131-138 EDN: ILRHCX</x:t>
  </x:si>
  <x:si>
    <x:t xml:space="preserve">Кривошапко С. Н. Аналитические линейчатые поверхности и их полная классификация // Строительная механика инженерных конструкций и сооружений. — 2020. — Т. 16. — № 2. — С. 131–138. — URL: https://journals.rudn.ru/structural-mechanics/article/view/23597 (дата обращения: 27.10.2026).</x:t>
  </x:si>
  <x:si>
    <x:t xml:space="preserve">Кривошапко С. Н.</x:t>
  </x:si>
  <x:si>
    <x:t xml:space="preserve">Аналитические линейчатые поверхности и их полная классификация</x:t>
  </x:si>
  <x:si>
    <x:t xml:space="preserve">131–138</x:t>
  </x:si>
  <x:si>
    <x:t xml:space="preserve">https://doi.org/10.22363/1815-5235-2020-16-2-131-138</x:t>
  </x:si>
  <x:si>
    <x:t xml:space="preserve">https://journals.rudn.ru/structural-mechanics/article/view/51205?setLocale=ru_RU#articleCitations</x:t>
  </x:si>
  <x:si>
    <x:t xml:space="preserve">10.22363/1815-5235-2020-16-2-131-138</x:t>
  </x:si>
  <x:si>
    <x:t xml:space="preserve">Comparative Analysis of Calculation of a Plate of Curvilinear Trapezoidal Plan using Numerical Methods</x:t>
  </x:si>
  <x:si>
    <x:t xml:space="preserve">ILRHCX</x:t>
  </x:si>
  <x:si>
    <x:t xml:space="preserve">https://journals.rudn.ru/structural-mechanics/article/view/51205</x:t>
  </x:si>
  <x:si>
    <x:t xml:space="preserve">https://journals.rudn.ru/structural-mechanics/article/view/23597</x:t>
  </x:si>
  <x:si>
    <x:t xml:space="preserve">Analytical ruled surfaces and their complete classification | Analytical ruled surfaces and their complete classification | Аналитические линейчатые поверхности и их полная классификация | Analytical ruled surfaces and their complete classification | Аналитические линейчатые поверхности и их полная классификация | Analytical ruled surfaces and their complete classification - Krivoshapko - Structural Mechanics of Engineering Constructions and Buildings</x:t>
  </x:si>
  <x:si>
    <x:t xml:space="preserve">HTTP 200; проверка объекта 27.10.2026; https://journals.rudn.ru/structural-mechanics/article/view/23597</x:t>
  </x:si>
  <x:si>
    <x:t xml:space="preserve">R392</x:t>
  </x:si>
  <x:si>
    <x:t xml:space="preserve">Алёшина О.О. Исследования по геометрии и расчету торсовых оболочек одинакового ската // Строительная механика и расчет сооружений. 2019. № 3 (284). С. 63-70. EDN: MGZGMR</x:t>
  </x:si>
  <x:si>
    <x:t xml:space="preserve">Алёшина О. О. Исследования по геометрии и расчету торсовых оболочек одинакового ската // Строительная механика и расчет сооружений. — 2019. — № 3 (284). — С. 63–70.</x:t>
  </x:si>
  <x:si>
    <x:t xml:space="preserve">Алёшина О. О.</x:t>
  </x:si>
  <x:si>
    <x:t xml:space="preserve">Исследования по геометрии и расчету торсовых оболочек одинакового ската</x:t>
  </x:si>
  <x:si>
    <x:t xml:space="preserve">3 (284)</x:t>
  </x:si>
  <x:si>
    <x:t xml:space="preserve">MGZGMR</x:t>
  </x:si>
  <x:si>
    <x:t xml:space="preserve">R393</x:t>
  </x:si>
  <x:si>
    <x:t xml:space="preserve">Талантова К.В. Сталефибробетон. Конструкции. Терминология // Вестник Евразийской науки. 2020. № 4 (12). С. 69-71. https://doi.org/10.15862/69SAVN420 EDN: NEGDOF</x:t>
  </x:si>
  <x:si>
    <x:t xml:space="preserve">Талантова К. В. Сталефибробетон. Конструкции. Терминология // Вестник Евразийской науки. — 2020. — № 4 (12). — С. 69–71. — URL: https://esj.today/PDF/69SAVN420.pdf (дата обращения: 27.10.2026).</x:t>
  </x:si>
  <x:si>
    <x:t xml:space="preserve">Талантова К. В.</x:t>
  </x:si>
  <x:si>
    <x:t xml:space="preserve">Сталефибробетон. Конструкции. Терминология</x:t>
  </x:si>
  <x:si>
    <x:t xml:space="preserve">Вестник Евразийской науки</x:t>
  </x:si>
  <x:si>
    <x:t xml:space="preserve">4 (12)</x:t>
  </x:si>
  <x:si>
    <x:t xml:space="preserve">69–71</x:t>
  </x:si>
  <x:si>
    <x:t xml:space="preserve">https://doi.org/10.15862/69SAVN420</x:t>
  </x:si>
  <x:si>
    <x:t xml:space="preserve">https://journals.rudn.ru/structural-mechanics/article/view/51206?setLocale=ru_RU#articleCitations</x:t>
  </x:si>
  <x:si>
    <x:t xml:space="preserve">10.15862/69SAVN420</x:t>
  </x:si>
  <x:si>
    <x:t xml:space="preserve">Test Methods and Device for Studying the Mechanical Properties of Fiber, Concrete and Fiber-Reinforced Concrete Elements</x:t>
  </x:si>
  <x:si>
    <x:t xml:space="preserve">NEGDOF</x:t>
  </x:si>
  <x:si>
    <x:t xml:space="preserve">https://journals.rudn.ru/structural-mechanics/article/view/51206</x:t>
  </x:si>
  <x:si>
    <x:t xml:space="preserve">https://esj.today/PDF/69SAVN420.pdf</x:t>
  </x:si>
  <x:si>
    <x:t xml:space="preserve">Вестник Евразийской науки 
The Eurasian Scientific Journal 
2020, №4, Том 12 
2020, No 4, Vol 12 
ISSN 2588-0101 
https://esj.today 
Страница 1 из 10 
69SAVN420 
Издательство «Мир науки» \ Publishing company «World of science» http://izd-mn.com 
Ве</x:t>
  </x:si>
  <x:si>
    <x:t xml:space="preserve">HTTP 200; проверка объекта 27.10.2026; https://esj.today/PDF/69SAVN420.pdf</x:t>
  </x:si>
  <x:si>
    <x:t xml:space="preserve">R394</x:t>
  </x:si>
  <x:si>
    <x:t xml:space="preserve">Карпенко Н.И. Общие модели механики железобетона. Москва : Стройиздат, 1996. 416 с. ISBN 5-274-01682-0</x:t>
  </x:si>
  <x:si>
    <x:t xml:space="preserve">Карпенко Н. И. Общие модели механики железобетона. — Москва : Стройиздат, 1996. — 416 с.</x:t>
  </x:si>
  <x:si>
    <x:t xml:space="preserve">Карпенко Н. И.</x:t>
  </x:si>
  <x:si>
    <x:t xml:space="preserve">Общие модели механики железобетона</x:t>
  </x:si>
  <x:si>
    <x:t xml:space="preserve">416</x:t>
  </x:si>
  <x:si>
    <x:t xml:space="preserve">5-274-01682-0</x:t>
  </x:si>
  <x:si>
    <x:t xml:space="preserve">https://journals.rudn.ru/structural-mechanics/article/view/52518?setLocale=ru_RU#articleCitations</x:t>
  </x:si>
  <x:si>
    <x:t xml:space="preserve">Orthotropic Hyperelastic Model of Concrete Deformation Under Combined Multiaxial Loading</x:t>
  </x:si>
  <x:si>
    <x:t xml:space="preserve">https://journals.rudn.ru/structural-mechanics/article/view/52518</x:t>
  </x:si>
  <x:si>
    <x:t xml:space="preserve">R395</x:t>
  </x:si>
  <x:si>
    <x:t xml:space="preserve">Кюри П. Избранные труды. Москва : Наука, 1966. 404 c.</x:t>
  </x:si>
  <x:si>
    <x:t xml:space="preserve">Кюри П. Избранные труды. — Москва : Наука, 1966. — 404 с.</x:t>
  </x:si>
  <x:si>
    <x:t xml:space="preserve">Кюри П.</x:t>
  </x:si>
  <x:si>
    <x:t xml:space="preserve">Избранные труды</x:t>
  </x:si>
  <x:si>
    <x:t xml:space="preserve">404</x:t>
  </x:si>
  <x:si>
    <x:t xml:space="preserve">R396</x:t>
  </x:si>
  <x:si>
    <x:t xml:space="preserve">Бачинский В.Я., Бамбура А.Н., Ватагин С.С. Связь между напряжениями и деформациями бетона при кратковременном неоднородном сжатии // Бетон и железобетон. 1984. № 10. С. 18-19. URL: https://science.totalarch.com/magazine/concrete/concrete_1984_10.pdf (дата обращения: 22.12.2025).</x:t>
  </x:si>
  <x:si>
    <x:t xml:space="preserve">Бачинский В. Я., Бамбура А. Н., Ватагин С. С. Связь между напряжениями и деформациями бетона при кратковременном неоднородном сжатии // Бетон и железобетон. — 1984. — № 10. — С. 18–19.</x:t>
  </x:si>
  <x:si>
    <x:t xml:space="preserve">Бачинский В. Я. | Бамбура А. Н. | Ватагин С. С.</x:t>
  </x:si>
  <x:si>
    <x:t xml:space="preserve">Связь между напряжениями и деформациями бетона при кратковременном неоднородном сжатии</x:t>
  </x:si>
  <x:si>
    <x:t xml:space="preserve">Бетон и железобетон</x:t>
  </x:si>
  <x:si>
    <x:t xml:space="preserve">18–19</x:t>
  </x:si>
  <x:si>
    <x:t xml:space="preserve">https://science.totalarch.com/magazine/concrete/concrete_1984_10.pdf</x:t>
  </x:si>
  <x:si>
    <x:t xml:space="preserve">R397</x:t>
  </x:si>
  <x:si>
    <x:t xml:space="preserve">Москвичев В.В. Ресурсное проектирование и безопасность крупногабаритных сварных конструкций // Сварка в России - 2019: современное состояние и перспективы : тезисы докладов Междунар. конф., Томск, 03-07 сентября 2019 г. Томск : СТТ, 2019. С. 209. EDN: RSOPYO</x:t>
  </x:si>
  <x:si>
    <x:t xml:space="preserve">Москвичев В. В. Ресурсное проектирование и безопасность крупногабаритных сварных конструкций // Сварка в России. — 2019. — С. 209.</x:t>
  </x:si>
  <x:si>
    <x:t xml:space="preserve">Москвичев В. В.</x:t>
  </x:si>
  <x:si>
    <x:t xml:space="preserve">Ресурсное проектирование и безопасность крупногабаритных сварных конструкций</x:t>
  </x:si>
  <x:si>
    <x:t xml:space="preserve">Сварка в России</x:t>
  </x:si>
  <x:si>
    <x:t xml:space="preserve">209</x:t>
  </x:si>
  <x:si>
    <x:t xml:space="preserve">https://journals.rudn.ru/structural-mechanics/article/view/52519?setLocale=ru_RU#articleCitations</x:t>
  </x:si>
  <x:si>
    <x:t xml:space="preserve">Rationing of Defects in Mounting Welds and Near-Seam Areas of Vertical Tanks made of Aluminum Alloys</x:t>
  </x:si>
  <x:si>
    <x:t xml:space="preserve">RSOPYO</x:t>
  </x:si>
  <x:si>
    <x:t xml:space="preserve">https://journals.rudn.ru/structural-mechanics/article/view/52519</x:t>
  </x:si>
  <x:si>
    <x:t xml:space="preserve">R398</x:t>
  </x:si>
  <x:si>
    <x:t xml:space="preserve">Клебанов Я.М., Бурмистров А.Г., Столяров Н.Н. Экспериментальные исследования деформационных и прочностных свойств материала рулонированных сварных соединений // Вестник Самарского государственного технического университета. Серия: Технические науки. 2012. № 3 (35). С. 133-140. EDN: PYUQNB</x:t>
  </x:si>
  <x:si>
    <x:t xml:space="preserve">Клебанов Я. М., Бурмистров А. Г., Столяров Н. Н. Экспериментальные исследования деформационных и прочностных свойств материала рулонированных сварных соединений // Вестник Самарского государственного технического университета. Серия: Технические науки. — 2012. — № 3 (35). — С. 133–140.</x:t>
  </x:si>
  <x:si>
    <x:t xml:space="preserve">Клебанов Я. М. | Бурмистров А. Г. | Столяров Н. Н.</x:t>
  </x:si>
  <x:si>
    <x:t xml:space="preserve">Экспериментальные исследования деформационных и прочностных свойств материала рулонированных сварных соединений</x:t>
  </x:si>
  <x:si>
    <x:t xml:space="preserve">Вестник Самарского государственного технического университета. Серия: Технические науки</x:t>
  </x:si>
  <x:si>
    <x:t xml:space="preserve">3 (35)</x:t>
  </x:si>
  <x:si>
    <x:t xml:space="preserve">133–140</x:t>
  </x:si>
  <x:si>
    <x:t xml:space="preserve">PYUQNB</x:t>
  </x:si>
  <x:si>
    <x:t xml:space="preserve">R399</x:t>
  </x:si>
  <x:si>
    <x:t xml:space="preserve">Есипов А.В., Сальный И.С., Воробьев Я.В. Расчет прочности нормальных сечений армированных деревянных балок // Вестник Волгоградского государственного архитектурно-строительного университета. Серия: Строительство и архитектура. 2017. № 49 (68). С. 5-15. EDN: ZGRUDD</x:t>
  </x:si>
  <x:si>
    <x:t xml:space="preserve">Есипов А. В., Сальный И. С., Воробьев Я. В. Расчет прочности нормальных сечений армированных деревянных балок // Вестник Волгоградского государственного архитектурно-строительного университета. Серия: Строительство и архитектура. — 2017. — № 49 (68). — С. 5–15.</x:t>
  </x:si>
  <x:si>
    <x:t xml:space="preserve">Есипов А. В. | Сальный И. С. | Воробьев Я. В.</x:t>
  </x:si>
  <x:si>
    <x:t xml:space="preserve">Расчет прочности нормальных сечений армированных деревянных балок</x:t>
  </x:si>
  <x:si>
    <x:t xml:space="preserve">Вестник Волгоградского государственного архитектурно-строительного университета. Серия: Строительство и архитектура</x:t>
  </x:si>
  <x:si>
    <x:t xml:space="preserve">49 (68)</x:t>
  </x:si>
  <x:si>
    <x:t xml:space="preserve">https://journals.rudn.ru/structural-mechanics/article/view/52522?setLocale=ru_RU#articleCitations</x:t>
  </x:si>
  <x:si>
    <x:t xml:space="preserve">Rational Reinforcement of Continuous Three-Span Timber Beams</x:t>
  </x:si>
  <x:si>
    <x:t xml:space="preserve">ZGRUDD</x:t>
  </x:si>
  <x:si>
    <x:t xml:space="preserve">https://journals.rudn.ru/structural-mechanics/article/view/52522</x:t>
  </x:si>
  <x:si>
    <x:t xml:space="preserve">Проверка оформления Михаилом: достаточно данных — Да. Исходный вариант Михаила до последующего переноса: Есипов, А. В. Расчет прочности нормальных сечений армированных деревянных балок / А. В. Есипов, И. С. Сальный, Я. В. Воробьев // Вестник Волгоградского государственного архитектурно-строительного университета. Серия: Строительство и архитектура. — 2017. — № 49 (68). — С. 5–15.</x:t>
  </x:si>
  <x:si>
    <x:t xml:space="preserve">R401</x:t>
  </x:si>
  <x:si>
    <x:t xml:space="preserve">СТО 4.2–07–2014 Система менеджмента качества. Основные требова-
ния к построению, изложению и оформлению документов учебной деятельно-
сти. Введен 30.12.2013. Красноярск: ИПК СФУ, 2014. – 60 с.</x:t>
  </x:si>
  <x:si>
    <x:t xml:space="preserve">СТО 4.2–07–2014 Система менеджмента качества. Основные требования к построению, изложению и оформлению документов учебной деятельности. — Красноярск : ИПК СФУ, 2014. — 60 с.</x:t>
  </x:si>
  <x:si>
    <x:t xml:space="preserve">Стандарт</x:t>
  </x:si>
  <x:si>
    <x:t xml:space="preserve">СТО 4.2–07–2014 Система менеджмента качества. Основные требования к построению, изложению и оформлению документов учебной деятельности</x:t>
  </x:si>
  <x:si>
    <x:t xml:space="preserve">ИПК СФУ</x:t>
  </x:si>
  <x:si>
    <x:t xml:space="preserve">Красноярск</x:t>
  </x:si>
  <x:si>
    <x:t xml:space="preserve">Опубликованный список литературы (PDF)</x:t>
  </x:si>
  <x:si>
    <x:t xml:space="preserve">https://elib.sfu-kras.ru/bitstream/handle/2311/68013/puzevich_a.v._pe13-07.pdf?isAllowed=y&amp;sequence=1#page=88</x:t>
  </x:si>
  <x:si>
    <x:t xml:space="preserve">Исходная строка из PDF; сохранены переносы и опечатки. Номер списка вынесен отдельно.</x:t>
  </x:si>
  <x:si>
    <x:t xml:space="preserve">Пузевич А. В. Разработка автоматизированной системы управления процессом обучения государственных и муниципальных служащих. ВКР</x:t>
  </x:si>
  <x:si>
    <x:t xml:space="preserve">https://elib.sfu-kras.ru/bitstream/handle/2311/68013/puzevich_a.v._pe13-07.pdf</x:t>
  </x:si>
  <x:si>
    <x:t xml:space="preserve">ВКР</x:t>
  </x:si>
  <x:si>
    <x:t xml:space="preserve">Сибирский федеральный университет</x:t>
  </x:si>
  <x:si>
    <x:t xml:space="preserve">88</x:t>
  </x:si>
  <x:si>
    <x:t xml:space="preserve">Сверено с PDF: страница 88, пункт 1</x:t>
  </x:si>
  <x:si>
    <x:t xml:space="preserve">Не проверялся</x:t>
  </x:si>
  <x:si>
    <x:t xml:space="preserve">Не добавлялась: во входе отсутствует</x:t>
  </x:si>
  <x:si>
    <x:t xml:space="preserve">R402</x:t>
  </x:si>
  <x:si>
    <x:t xml:space="preserve">Выполнение выпускной квалификационной работы по направлению
09.03.03 «Прикладная информатика»: учебно-методическое пособие [Текст] /
сост. А. В. Федорова. – Красноярск: СФУ, 2016. – 36 с.</x:t>
  </x:si>
  <x:si>
    <x:t xml:space="preserve">Выполнение выпускной квалификационной работы по направлению 09.03.03 «Прикладная информатика» : учебно-методическое пособие / сост. А. В. Федорова. — Красноярск : СФУ, 2016. — 36 с.</x:t>
  </x:si>
  <x:si>
    <x:t xml:space="preserve">Выполнение выпускной квалификационной работы по направлению 09.03.03 «Прикладная информатика»: учебно-методическое пособие</x:t>
  </x:si>
  <x:si>
    <x:t xml:space="preserve">36</x:t>
  </x:si>
  <x:si>
    <x:t xml:space="preserve">СФУ</x:t>
  </x:si>
  <x:si>
    <x:t xml:space="preserve">Исходная строка из PDF; сохранены переносы и опечатки. Номер списка вынесен отдельно. А. В. Федорова — составитель, не автор.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Автора нет; составитель А.В. Федорова (не автор). Обозначение «[Текст]» в заглавие не включено. Согласованные решения от 28.10.2026: Авторы: [пусто]. Согласен снять неоднозначность: А. В. Федорова прямо обозначена как составитель. Поле авторов пустое; составитель сохраняется в комментарии и оформлении. Составитель А. В. Федорова не включается в авторов; неоднозначность поля авторов снята.</x:t>
  </x:si>
  <x:si>
    <x:t xml:space="preserve">сост. А. В. Федорова</x:t>
  </x:si>
  <x:si>
    <x:t xml:space="preserve">Сверено с PDF: страница 88, пункт 2</x:t>
  </x:si>
  <x:si>
    <x:t xml:space="preserve">Проверка оформления Михаилом: достаточно данных — Да. Исходный вариант Михаила до последующего переноса: Выполнение выпускной квалификационной работы по направлению 09.03.03 «Прикладная информатика» : учебно-методическое пособие / сост. А. В. Федорова. — Красноярск : СФУ, 2016. — 36 с.</x:t>
  </x:si>
  <x:si>
    <x:t xml:space="preserve">R403</x:t>
  </x:si>
  <x:si>
    <x:t xml:space="preserve">Пыжикова Н.И., Титова Е.В., Козлов М.А. Критерии оценки эффектив-
ности государственной поддержки // Успехи современной науки. – 2015. – № 3.
– С. 5–7.</x:t>
  </x:si>
  <x:si>
    <x:t xml:space="preserve">Пыжикова Н. И., Титова Е. В., Козлов М. А. Критерии оценки эффективности государственной поддержки // Успехи современной науки. — 2015. — № 3. — С. 5–7.</x:t>
  </x:si>
  <x:si>
    <x:t xml:space="preserve">Пыжикова Н. И. | Титова Е. В. | Козлов М. А.</x:t>
  </x:si>
  <x:si>
    <x:t xml:space="preserve">Критерии оценки эффективности государственной поддержки</x:t>
  </x:si>
  <x:si>
    <x:t xml:space="preserve">Успехи современной науки</x:t>
  </x:si>
  <x:si>
    <x:t xml:space="preserve">5–7</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</x:si>
  <x:si>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x:t>
  </x:si>
  <x:si>
    <x:t xml:space="preserve">Сверено с PDF: страница 88, пункт 3</x:t>
  </x:si>
  <x:si>
    <x:t xml:space="preserve">Проверка оформления Михаилом: достаточно данных — Да. Исходный вариант Михаила до последующего переноса: Пыжикова, Н. И. Критерии оценки эффективности государственной поддержки / Н. И. Пыжикова, Е. В. Титова, М. А. Козлов // Успехи современной науки. — 2015. — № 3. — С. 5–7.</x:t>
  </x:si>
  <x:si>
    <x:t xml:space="preserve">R406</x:t>
  </x:si>
  <x:si>
    <x:t xml:space="preserve">Административное право РФ [Электронный ресурс] : Управление: по-
нятие, признаки, виды. – Режим доступа: http://lawbook.online/ administrativnoe-
pravo-uchebniki/upravlenie-ponyatie-priznaki-17407.html.</x:t>
  </x:si>
  <x:si>
    <x:t xml:space="preserve">Управление : понятие, признаки, виды // Административное право РФ. — URL: https://lawbook.scicenter.online/administrativnoe-pravo-rossii-kniga/upravlenie-ponyatie-priznaki-17407.html (дата обращения: 27.10.2026).</x:t>
  </x:si>
  <x:si>
    <x:t xml:space="preserve">Сетевой документ</x:t>
  </x:si>
  <x:si>
    <x:t xml:space="preserve">Управление: понятие, признаки, виды</x:t>
  </x:si>
  <x:si>
    <x:t xml:space="preserve">Административное право РФ</x:t>
  </x:si>
  <x:si>
    <x:t xml:space="preserve">http://lawbook.online/administrativnoe-pravo-uchebniki/upravlenie-ponyatie-priznaki-17407.html</x:t>
  </x:si>
  <x:si>
    <x:t xml:space="preserve">Исходная строка из PDF; сохранены переносы и опечатки. Номер списка вынесен отдельно. Пробелы переноса URL удалены только в нормализованном поле; дата обращения отсутствует и не выдумана.</x:t>
  </x:si>
  <x:si>
    <x:t xml:space="preserve">Сверено с PDF: страница 88, пункт 6</x:t>
  </x:si>
  <x:si>
    <x:t xml:space="preserve">https://lawbook.scicenter.online/administrativnoe-pravo-rossii-kniga/upravlenie-ponyatie-priznaki-17407.html</x:t>
  </x:si>
  <x:si>
    <x:t xml:space="preserve">1.1. Управление: понятие, признаки, виды:     Управление – процесс целенаправленного воздействия на систему</x:t>
  </x:si>
  <x:si>
    <x:t xml:space="preserve">HTTP 200; проверка объекта 27.10.2026; https://lawbook.scicenter.online/administrativnoe-pravo-rossii-kniga/upravlenie-ponyatie-priznaki-17407.html</x:t>
  </x:si>
  <x:si>
    <x:t xml:space="preserve">Внешний контекст форматирования: ресурс открыт 27.10.2026; во входной строке даты нет.</x:t>
  </x:si>
  <x:si>
    <x:t xml:space="preserve">R407</x:t>
  </x:si>
  <x:si>
    <x:t xml:space="preserve">Берваль, А.В. Управление рисками основных участников рынка доле-
вого строительства жилья : монография / А.В. Берваль, А.И. Романова. – М.:
НИЦ ИНФРА–М, 2014. – 154 с.</x:t>
  </x:si>
  <x:si>
    <x:t xml:space="preserve">Берваль А. В., Романова А. И. Управление рисками основных участников рынка долевого строительства жилья : монография. — Москва : НИЦ ИНФРА–М, 2014. — 154 с.</x:t>
  </x:si>
  <x:si>
    <x:t xml:space="preserve">Берваль А. В. | Романова А. И.</x:t>
  </x:si>
  <x:si>
    <x:t xml:space="preserve">Управление рисками основных участников рынка долевого строительства жилья: монография</x:t>
  </x:si>
  <x:si>
    <x:t xml:space="preserve">154</x:t>
  </x:si>
  <x:si>
    <x:t xml:space="preserve">НИЦ ИНФРА–М</x:t>
  </x:si>
  <x:si>
    <x:t xml:space="preserve">Сверено с PDF: страница 88, пункт 7</x:t>
  </x:si>
  <x:si>
    <x:t xml:space="preserve">R408</x:t>
  </x:si>
  <x:si>
    <x:t xml:space="preserve">Волков, Ю. Е. Управление как вид социальной деятельности / Ю. Е.
Волков // Социология управления : Учебник. – М. : Изд-во РАГС, 2006. – С. 83–
103.</x:t>
  </x:si>
  <x:si>
    <x:t xml:space="preserve">Волков Ю. Е. Управление как вид социальной деятельности // Социология управления: Учебник. — Москва : Изд-во РАГС, 2006. — С. 83–103.</x:t>
  </x:si>
  <x:si>
    <x:t xml:space="preserve">Раздел книги</x:t>
  </x:si>
  <x:si>
    <x:t xml:space="preserve">Волков Ю. Е.</x:t>
  </x:si>
  <x:si>
    <x:t xml:space="preserve">Управление как вид социальной деятельности</x:t>
  </x:si>
  <x:si>
    <x:t xml:space="preserve">Социология управления: Учебник</x:t>
  </x:si>
  <x:si>
    <x:t xml:space="preserve">83–103</x:t>
  </x:si>
  <x:si>
    <x:t xml:space="preserve">Изд-во РАГС</x:t>
  </x:si>
  <x:si>
    <x:t xml:space="preserve">Сверено с PDF: страница 88, пункт 8</x:t>
  </x:si>
  <x:si>
    <x:t xml:space="preserve">R409</x:t>
  </x:si>
  <x:si>
    <x:t xml:space="preserve">Аврамчикова, Н.Т. Государственное и муниципальное управление:
учебное пособие «Менеджмент»/ СИБГАУ, Красноярск, 2008. – 125 с.</x:t>
  </x:si>
  <x:si>
    <x:t xml:space="preserve">Аврамчикова Н. Т. Государственное и муниципальное управление : учебное пособие «Менеджмент» / СИБГАУ. — Красноярск, 2008. — 125 с.</x:t>
  </x:si>
  <x:si>
    <x:t xml:space="preserve">Аврамчикова Н. Т.</x:t>
  </x:si>
  <x:si>
    <x:t xml:space="preserve">Государственное и муниципальное управление: учебное пособие «Менеджмент»</x:t>
  </x:si>
  <x:si>
    <x:t xml:space="preserve">125</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</x:si>
  <x:si>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Издатель. Согласие до обсуждения по всей выборке: 855/880 = 97,16%; совместно пустые и неопределённые пары исключены. Первичный комментарий проверяющего: «СИБГАУ, Красноярск» без разделителя: роль СИБГАУ (издатель или иная) неясна, издатель не назначен. «Учебное пособие «Менеджмент»» оставлено в заглавии.
Внешняя проверка 28.10.2026 (по отчёту подтверждений, не мной): титульный лист или надёжная карточка издания 2008 г. (125 с.) не найдены; другие библиографии дают иные объём и год (148 с.; издание 2010 г.), к записи они не отнесены и реквизиты не заполняли. Роль СибГАУ как издателя не подтверждена, поле «Издатель» оставлено пустым и отмечено как неоднозначное. Согласованные решения от 28.10.2026: Издатель: [пусто]. Согласен: издатель не установлен, поле пустое, неоднозначность сохраняется. Автор Аврамчикова Н. Т. должен сохраняться отдельно. Дополнительная правка оформления после сопоставления: в варианте Михаила отсутствовал автор. Аврамчикова Н. Т. сохранена по исходной строке и его пояснению в согласовании. СИБГАУ не назначен издателем; роль организации остаётся неоднозначной. Новый вариант оформления требует финального подтверждения.</x:t>
  </x:si>
  <x:si>
    <x:t xml:space="preserve">Сверено с PDF: страница 88, пункт 9</x:t>
  </x:si>
  <x:si>
    <x:t xml:space="preserve">Проверка оформления Михаилом: достаточно данных — Да. Роль СИБГАУ неясна; в ссылке указан как в строке.
Титульный лист или надёжная карточка издания 2008 г. (125 с.) не найдены; другие библиографии дают иные объём и год (148 с.; издание 2010 г.), к записи они не отнесены и реквизиты не заполняли. Роль СибГАУ как издателя не подтверждена, поле «Издатель» оставлено пустым и отмечено как неоднозначное. Исходный вариант Михаила до последующего переноса: Государственное и муниципальное управление : учебное пособие «Менеджмент» / СИБГАУ. — Красноярск, 2008. — 125 с. Дополнительная правка оформления после сопоставления: в варианте Михаила отсутствовал автор. Аврамчикова Н. Т. сохранена по исходной строке и его пояснению в согласовании. СИБГАУ не назначен издателем; роль организации остаётся неоднозначной. Новый вариант оформления требует финального подтверждения.</x:t>
  </x:si>
  <x:si>
    <x:t xml:space="preserve">R411</x:t>
  </x:si>
  <x:si>
    <x:t xml:space="preserve">Чиркин В. Е. Система государственного и муниципального управле-
ния: учебник / В. Е. Чиркин. − 5-е изд., пересмотр. − М.: Норма: ИНФРА–М,
2013. − 432 с.</x:t>
  </x:si>
  <x:si>
    <x:t xml:space="preserve">Чиркин В. Е. Система государственного и муниципального управления : учебник. — 5-е изд., пересмотр. — Москва : Норма: ИНФРА–М, 2013. — 432 с.</x:t>
  </x:si>
  <x:si>
    <x:t xml:space="preserve">Чиркин В. Е.</x:t>
  </x:si>
  <x:si>
    <x:t xml:space="preserve">Система государственного и муниципального управления: учебник</x:t>
  </x:si>
  <x:si>
    <x:t xml:space="preserve">Норма: ИНФРА–М</x:t>
  </x:si>
  <x:si>
    <x:t xml:space="preserve">5-е изд., пересмотр.</x:t>
  </x:si>
  <x:si>
    <x:t xml:space="preserve">Сверено с PDF: страница 88, пункт 11</x:t>
  </x:si>
  <x:si>
    <x:t xml:space="preserve">R412</x:t>
  </x:si>
  <x:si>
    <x:t xml:space="preserve">Доклад о деятельности Уполномоченного по правам человека в Рос-
сийской Федерации за 2016 год 17 мая 2017 г. Российская газета – Федеральный
выпуск. – 2016. – №7270 (104).</x:t>
  </x:si>
  <x:si>
    <x:t xml:space="preserve">Доклад о деятельности Уполномоченного по правам человека в Российской Федерации за 2016 год // Российская газета – Федеральный выпуск. — 2017. — № 7270 (104).</x:t>
  </x:si>
  <x:si>
    <x:t xml:space="preserve">Газетная публикация</x:t>
  </x:si>
  <x:si>
    <x:t xml:space="preserve">Доклад о деятельности Уполномоченного по правам человека в Российской Федерации за 2016 год</x:t>
  </x:si>
  <x:si>
    <x:t xml:space="preserve">Российская газета – Федеральный выпуск</x:t>
  </x:si>
  <x:si>
    <x:t xml:space="preserve">7270 (104)</x:t>
  </x:si>
  <x:si>
    <x:t xml:space="preserve">Исходная строка из PDF; сохранены переносы и опечатки. Номер списка вынесен отдельно. В строке конфликт: дата 17.05.2017, год выпуска 2016. Сохранён явно указанный год выпуска; требуется сверка оригинала газеты.  Повторная сверка: 17 мая 2017 г. — дата публикации, не часть заглавия. 2016 — отчётный период и ошибочный отдельный год выпуска. Правильный год публикации 2017 подтверждён первичной страницей газеты.</x:t>
  </x:si>
  <x:si>
    <x:t xml:space="preserve">Сверено с PDF: страница 88, пункт 12</x:t>
  </x:si>
  <x:si>
    <x:t xml:space="preserve">https://rg.ru/documents/2017/05/17/doklad-dok.html</x:t>
  </x:si>
  <x:si>
    <x:t xml:space="preserve">R413</x:t>
  </x:si>
  <x:si>
    <x:t xml:space="preserve">Рой, О. М. Система государственного и муниципального управления :
учебное пособие / О. М. Рой. – 3-е изд. – СПб. : Питер. – 2009. – 14 с.</x:t>
  </x:si>
  <x:si>
    <x:t xml:space="preserve">Рой О. М. Система государственного и муниципального управления : учебное пособие. — 3-е изд. — Санкт-Петербург : Питер, 2009. — 14 с.</x:t>
  </x:si>
  <x:si>
    <x:t xml:space="preserve">Рой О. М.</x:t>
  </x:si>
  <x:si>
    <x:t xml:space="preserve">Система государственного и муниципального управления: учебное пособие</x:t>
  </x:si>
  <x:si>
    <x:t xml:space="preserve">3-е изд.</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</x:si>
  <x:si>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Объём «14 с.» записан как в строке (необычно мал для учебного пособия).</x:t>
  </x:si>
  <x:si>
    <x:t xml:space="preserve">Сверено с PDF: страница 88, пункт 13</x:t>
  </x:si>
  <x:si>
    <x:t xml:space="preserve">Проверка оформления Михаилом: достаточно данных — Да. Исходный вариант Михаила до последующего переноса: Рой, О. М. Система государственного и муниципального управления : учебное пособие. — 3-е изд. — СПб. : Питер, 2009. — 14 с.</x:t>
  </x:si>
  <x:si>
    <x:t xml:space="preserve">R414</x:t>
  </x:si>
  <x:si>
    <x:t xml:space="preserve">Шедько, Ю.Н. Система государственного и муниципального управле-
ния: учебник для бакалавров / Ю. Н. Шедько, Ю. Б. Миндлин, И. С. Цыпин [и
др.]; под ред. Ю. Н. Шедько. − М.: Издательство Юрайт, 2013. − 570 с.</x:t>
  </x:si>
  <x:si>
    <x:t xml:space="preserve">Система государственного и муниципального управления : учебник для бакалавров / Ю. Н. Шедько, Ю. Б. Миндлин, И. С. Цыпин [и др.] ; под ред. Ю. Н. Шедько. — Москва : Издательство Юрайт, 2013. — 570 с.</x:t>
  </x:si>
  <x:si>
    <x:t xml:space="preserve">Шедько Ю. Н. | Миндлин Ю. Б. | Цыпин И. С. | [и др.]</x:t>
  </x:si>
  <x:si>
    <x:t xml:space="preserve">Система государственного и муниципального управления: учебник для бакалавров</x:t>
  </x:si>
  <x:si>
    <x:t xml:space="preserve">570</x:t>
  </x:si>
  <x:si>
    <x:t xml:space="preserve">Издательство Юрайт</x:t>
  </x:si>
  <x:si>
    <x:t xml:space="preserve">Исходная строка из PDF; сохранены переносы и опечатки. Номер списка вынесен отдельно. Список авторов неполный; [и др.] сохранено. Ю. Н. Шедько также указан редактором.</x:t>
  </x:si>
  <x:si>
    <x:t xml:space="preserve">под ред. Ю. Н. Шедько</x:t>
  </x:si>
  <x:si>
    <x:t xml:space="preserve">Сверено с PDF: страница 88, пункт 14</x:t>
  </x:si>
  <x:si>
    <x:t xml:space="preserve">R417</x:t>
  </x:si>
  <x:si>
    <x:t xml:space="preserve">Макарейко, Н.В. Административное право: пособие для сдачи экзаме-
на / Н.В. Макарейко. – 3-е изд., перераб. и доп. – М., 2014. – 212 с.</x:t>
  </x:si>
  <x:si>
    <x:t xml:space="preserve">Макарейко Н. В. Административное право : пособие для сдачи экзамена. — 3-е изд., перераб. и доп. — Москва, 2014. — 212 с.</x:t>
  </x:si>
  <x:si>
    <x:t xml:space="preserve">Макарейко Н. В.</x:t>
  </x:si>
  <x:si>
    <x:t xml:space="preserve">Административное право: пособие для сдачи экзамена</x:t>
  </x:si>
  <x:si>
    <x:t xml:space="preserve">212</x:t>
  </x:si>
  <x:si>
    <x:t xml:space="preserve">3-е изд., перераб. и доп.</x:t>
  </x:si>
  <x:si>
    <x:t xml:space="preserve">https://elib.sfu-kras.ru/bitstream/handle/2311/68013/puzevich_a.v._pe13-07.pdf?isAllowed=y&amp;sequence=1#page=89</x:t>
  </x:si>
  <x:si>
    <x:t xml:space="preserve">89</x:t>
  </x:si>
  <x:si>
    <x:t xml:space="preserve">Сверено с PDF: страница 89, пункт 17</x:t>
  </x:si>
  <x:si>
    <x:t xml:space="preserve">R419</x:t>
  </x:si>
  <x:si>
    <x:t xml:space="preserve">Исторический факультет МГУ им. М.В. Ломоносова [Электронный
ресурс] : Табель о рангах всех чинов 24 января 1722 г. – Режим доступа:
http://www.hist.msu.ru/ER/Etext/tabel.htm.</x:t>
  </x:si>
  <x:si>
    <x:t xml:space="preserve">Табель о рангах всех чинов 24 января 1722 г // Исторический факультет МГУ им. М.В. Ломоносова. — URL: http://www.hist.msu.ru/ER/Etext/tabel.htm (дата обращения: 27.10.2026).</x:t>
  </x:si>
  <x:si>
    <x:t xml:space="preserve">Табель о рангах всех чинов 24 января 1722 г.</x:t>
  </x:si>
  <x:si>
    <x:t xml:space="preserve">Исторический факультет МГУ им. М.В. Ломоносова</x:t>
  </x:si>
  <x:si>
    <x:t xml:space="preserve">http://www.hist.msu.ru/ER/Etext/tabel.htm</x:t>
  </x:si>
  <x:si>
    <x:t xml:space="preserve">Сверено с PDF: страница 89, пункт 19</x:t>
  </x:si>
  <x:si>
    <x:t xml:space="preserve">Табель о рангах 1722 г.</x:t>
  </x:si>
  <x:si>
    <x:t xml:space="preserve">HTTP 200; проверка объекта 27.10.2026; http://www.hist.msu.ru/ER/Etext/tabel.htm</x:t>
  </x:si>
  <x:si>
    <x:t xml:space="preserve">R421</x:t>
  </x:si>
  <x:si>
    <x:t xml:space="preserve">Ивановский В.В. Русское государственное право ч. 1 Верховная
власть и ее органы. Казань, 1896. – 578 с.</x:t>
  </x:si>
  <x:si>
    <x:t xml:space="preserve">Ивановский В. В. Русское государственное право ч. 1 Верховная власть и ее органы. — Казань, 1896. — 578 с.</x:t>
  </x:si>
  <x:si>
    <x:t xml:space="preserve">Ивановский В. В.</x:t>
  </x:si>
  <x:si>
    <x:t xml:space="preserve">Русское государственное право ч. 1 Верховная власть и ее органы</x:t>
  </x:si>
  <x:si>
    <x:t xml:space="preserve">578</x:t>
  </x:si>
  <x:si>
    <x:t xml:space="preserve">Сверено с PDF: страница 89, пункт 21</x:t>
  </x:si>
  <x:si>
    <x:t xml:space="preserve">R422</x:t>
  </x:si>
  <x:si>
    <x:t xml:space="preserve">Щербаков Ю.Н. Государственная и муниципальная служба. Феникс,
2007. – 8 с.</x:t>
  </x:si>
  <x:si>
    <x:t xml:space="preserve">Щербаков Ю. Н. Государственная и муниципальная служба. — Феникс, 2007. — 8 с.</x:t>
  </x:si>
  <x:si>
    <x:t xml:space="preserve">Щербаков Ю. Н.</x:t>
  </x:si>
  <x:si>
    <x:t xml:space="preserve">Государственная и муниципальная служба</x:t>
  </x:si>
  <x:si>
    <x:t xml:space="preserve">Феникс</x:t>
  </x:si>
  <x:si>
    <x:t xml:space="preserve">Сверено с PDF: страница 89, пункт 23</x:t>
  </x:si>
  <x:si>
    <x:t xml:space="preserve">R423</x:t>
  </x:si>
  <x:si>
    <x:t xml:space="preserve">Атаманчук Г.В. Теория государственного управления. Курс лекций.
М.: Юридическая литература, 1997. – 263 с.</x:t>
  </x:si>
  <x:si>
    <x:t xml:space="preserve">Атаманчук Г. В. Теория государственного управления. Курс лекций. — Москва : Юридическая литература, 1997. — 263 с.</x:t>
  </x:si>
  <x:si>
    <x:t xml:space="preserve">Атаманчук Г. В.</x:t>
  </x:si>
  <x:si>
    <x:t xml:space="preserve">Теория государственного управления. Курс лекций</x:t>
  </x:si>
  <x:si>
    <x:t xml:space="preserve">263</x:t>
  </x:si>
  <x:si>
    <x:t xml:space="preserve">Юридическая литература</x:t>
  </x:si>
  <x:si>
    <x:t xml:space="preserve">Сверено с PDF: страница 89, пункт 24</x:t>
  </x:si>
  <x:si>
    <x:t xml:space="preserve">Проверка оформления Михаилом: достаточно данных — Да. Исходный вариант Михаила до последующего переноса: Атаманчук, Г. В. Теория государственного управления. Курс лекций. — М. : Юридическая литература, 1997. — 263 с.</x:t>
  </x:si>
  <x:si>
    <x:t xml:space="preserve">R424</x:t>
  </x:si>
  <x:si>
    <x:t xml:space="preserve">Конституция Российской Федерации: принята всенародным голосова-
нием 12.12.1993 // Собрание законодательства РФ. – 2014. − № 31. – Ст. 4398.</x:t>
  </x:si>
  <x:si>
    <x:t xml:space="preserve">Конституция Российской Федерации : принята всенародным голосованием 12.12.1993 // Собрание законодательства РФ. — 2014. — № 31. — Ст. 4398.</x:t>
  </x:si>
  <x:si>
    <x:t xml:space="preserve">Нормативный акт</x:t>
  </x:si>
  <x:si>
    <x:t xml:space="preserve">Конституция Российской Федерации: принята всенародным голосованием 12.12.1993</x:t>
  </x:si>
  <x:si>
    <x:t xml:space="preserve">Собрание законодательства РФ</x:t>
  </x:si>
  <x:si>
    <x:t xml:space="preserve">4398</x:t>
  </x:si>
  <x:si>
    <x:t xml:space="preserve">Номер статьи нормативного издания</x:t>
  </x:si>
  <x:si>
    <x:t xml:space="preserve">Исходная строка из PDF; сохранены переносы и опечатки. Номер списка вынесен отдельно. Число после «Ст.» — номер статьи нормативного издания, не страница.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x:t>
  </x:si>
  <x:si>
    <x:t xml:space="preserve">Сверено с PDF: страница 89, пункт 25</x:t>
  </x:si>
  <x:si>
    <x:t xml:space="preserve">Проверка оформления Михаилом: достаточно данных — Да. Исходный вариант Михаила до последующего переноса: Конституция Российской Федерации : принята всенародным голосованием 12 декабря 1993 г. // Собрание законодательства Российской Федерации. — 2014. — № 31. — Ст. 4398.</x:t>
  </x:si>
  <x:si>
    <x:t xml:space="preserve">R425</x:t>
  </x:si>
  <x:si>
    <x:t xml:space="preserve">Федеральный закон «О государственной гражданской службе Россий-
ской Федерации»: федеральный закон от 27.07.2004 №79-ФЗ// Собрание зако-
нодательства РФ. – 2004. − № 31. – Ст. 3215.</x:t>
  </x:si>
  <x:si>
    <x:t xml:space="preserve">Федеральный закон «О государственной гражданской службе Российской Федерации» : федеральный закон от 27.07.2004 №79-ФЗ // Собрание законодательства РФ. — 2004. — № 31. — Ст. 3215.</x:t>
  </x:si>
  <x:si>
    <x:t xml:space="preserve">Федеральный закон «О государственной гражданской службе Российской Федерации»: федеральный закон от 27.07.2004 №79-ФЗ</x:t>
  </x:si>
  <x:si>
    <x:t xml:space="preserve">3215</x:t>
  </x:si>
  <x:si>
    <x:t xml:space="preserve">Исходная строка из PDF; сохранены переносы и опечатки. Номер списка вынесен отдельно. Число после «Ст.» — номер статьи нормативного издания, не страница.</x:t>
  </x:si>
  <x:si>
    <x:t xml:space="preserve">Сверено с PDF: страница 89, пункт 26</x:t>
  </x:si>
  <x:si>
    <x:t xml:space="preserve">R426</x:t>
  </x:si>
  <x:si>
    <x:t xml:space="preserve">Федеральный закон «О системе государственной службы РФ»: Феде-
ральный закон от 27.05.2003 № 58-ФЗ // Российская газета . – 2003. −№ 103.</x:t>
  </x:si>
  <x:si>
    <x:t xml:space="preserve">Федеральный закон «О системе государственной службы РФ» : Федеральный закон от 27.05.2003 № 58-ФЗ // Российская газета. — 2003. — № 103.</x:t>
  </x:si>
  <x:si>
    <x:t xml:space="preserve">Федеральный закон «О системе государственной службы РФ»: Федеральный закон от 27.05.2003 № 58-ФЗ</x:t>
  </x:si>
  <x:si>
    <x:t xml:space="preserve">Российская газета</x:t>
  </x:si>
  <x:si>
    <x:t xml:space="preserve">103</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</x:si>
  <x:si>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Согласованные решения от 28.10.2026: Значение страниц: [пусто]. Предложение подтверждено без дополнительного пояснения.</x:t>
  </x:si>
  <x:si>
    <x:t xml:space="preserve">Сверено с PDF: страница 89, пункт 27</x:t>
  </x:si>
  <x:si>
    <x:t xml:space="preserve">Проверка оформления Михаилом: достаточно данных — Да. Исходный вариант Михаила до последующего переноса: О системе государственной службы Российской Федерации : федеральный закон от 27.05.2003 № 58-ФЗ // Российская газета. — 2003. — № 103.</x:t>
  </x:si>
  <x:si>
    <x:t xml:space="preserve">R428</x:t>
  </x:si>
  <x:si>
    <x:t xml:space="preserve">Указ Президента Российской Федерации от 31 декабря 2005 г. N 1574
«О Реестре должностей федеральной государственной гражданской службы» //
Российская газета – Федеральный выпуск. – 2006. – № 3968.</x:t>
  </x:si>
  <x:si>
    <x:t xml:space="preserve">Указ Президента Российской Федерации от 31 декабря 2005 г. N 1574 «О Реестре должностей федеральной государственной гражданской службы» // Российская газета – Федеральный выпуск. — 2006. — № 3968.</x:t>
  </x:si>
  <x:si>
    <x:t xml:space="preserve">Указ Президента Российской Федерации от 31 декабря 2005 г. N 1574 «О Реестре должностей федеральной государственной гражданской службы»</x:t>
  </x:si>
  <x:si>
    <x:t xml:space="preserve">3968</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</x:si>
  <x:si>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Согласованные решения от 28.10.2026: Заглавие: Указ Президента Российской Федерации от 31 декабря 2005 г. N 1574 «О Реестре должностей федеральной государственной гражданской службы». Согласен для буквального извлечения сохранить латинскую N. Замена на № относится к отдельному нормализованному оформлению. | Значение страниц: [пусто]. Предложение подтверждено без дополнительного пояснения.</x:t>
  </x:si>
  <x:si>
    <x:t xml:space="preserve">Сверено с PDF: страница 89, пункт 29</x:t>
  </x:si>
  <x:si>
    <x:t xml:space="preserve">Проверка оформления Михаилом: достаточно данных — Да. Исходный вариант Михаила до последующего переноса: Указ Президента Российской Федерации от 31 декабря 2005 г. № 1574 «О Реестре должностей федеральной государственной гражданской службы» // Российская газета. Федеральный выпуск. — 2006. — № 3968.</x:t>
  </x:si>
  <x:si>
    <x:t xml:space="preserve">R429</x:t>
  </x:si>
  <x:si>
    <x:t xml:space="preserve">Закон Красноярского края «О Реестре должностей государственной
гражданской службы Красноярского края». // Законодательное собрание Крас-
ноярского края. – 2005. – № 14-3514.</x:t>
  </x:si>
  <x:si>
    <x:t xml:space="preserve">Закон Красноярского края «О Реестре должностей государственной гражданской службы Красноярского края» // Законодательное собрание Красноярского края. — 2005. — № 14-3514.</x:t>
  </x:si>
  <x:si>
    <x:t xml:space="preserve">Закон Красноярского края «О Реестре должностей государственной гражданской службы Красноярского края»</x:t>
  </x:si>
  <x:si>
    <x:t xml:space="preserve">Законодательное собрание Красноярского края</x:t>
  </x:si>
  <x:si>
    <x:t xml:space="preserve">14-3514</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</x:si>
  <x:si>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Номер или выпуск. Согласие до обсуждения по всей выборке: 855/880 = 97,16%; совместно пустые и неопределённые пары исключены. Первичный комментарий проверяющего: Нет даты и номера закона; «№ 14-3514» — вероятно номер выпуска издания, но это не подтверждено строкой. Согласованные решения от 28.10.2026: Значение страниц: [пусто]. Предложение подтверждено без дополнительного пояснения. | Номер или выпуск: 14-3514. Согласен сохранить 14-3514 как в строке. Роль числа не установлена; неоднозначность номера сохраняется.</x:t>
  </x:si>
  <x:si>
    <x:t xml:space="preserve">Сверено с PDF: страница 89, пункт 30</x:t>
  </x:si>
  <x:si>
    <x:t xml:space="preserve">Проверка оформления Михаилом: достаточно данных — Нет. В строке нет даты принятия и номера закона; «№ 14-3514» — вероятно номер выпуска издания. Исходный вариант Михаила до последующего переноса: Закон Красноярского края «О Реестре должностей государственной гражданской службы Красноярского края» // Законодательное собрание Красноярского края. — 2005. — № 14-3514.</x:t>
  </x:si>
  <x:si>
    <x:t xml:space="preserve">R431</x:t>
  </x:si>
  <x:si>
    <x:t xml:space="preserve">Федеральный закон «О муниципальной службе Российской Федера-
ции»: федеральный закон от 02.03.2007 №25-ФЗ// Российская газета – Феде-
ральный выпуск. – 2007. − № 4310.</x:t>
  </x:si>
  <x:si>
    <x:t xml:space="preserve">Федеральный закон «О муниципальной службе Российской Федерации» : федеральный закон от 02.03.2007 №25-ФЗ // Российская газета – Федеральный выпуск. — 2007. — № 4310.</x:t>
  </x:si>
  <x:si>
    <x:t xml:space="preserve">Федеральный закон «О муниципальной службе Российской Федерации»: федеральный закон от 02.03.2007 №25-ФЗ</x:t>
  </x:si>
  <x:si>
    <x:t xml:space="preserve">4310</x:t>
  </x:si>
  <x:si>
    <x:t xml:space="preserve">https://elib.sfu-kras.ru/bitstream/handle/2311/68013/puzevich_a.v._pe13-07.pdf?isAllowed=y&amp;sequence=1#page=90</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</x:si>
  <x:si>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Название закона как в строке (в официальном названии «…службе в Российской Федерации»). Согласованные решения от 28.10.2026: Значение страниц: [пусто]. Предложение подтверждено без дополнительного пояснения.</x:t>
  </x:si>
  <x:si>
    <x:t xml:space="preserve">90</x:t>
  </x:si>
  <x:si>
    <x:t xml:space="preserve">Сверено с PDF: страница 90, пункт 32</x:t>
  </x:si>
  <x:si>
    <x:t xml:space="preserve">Проверка оформления Михаилом: достаточно данных — Да. Исходный вариант Михаила до последующего переноса: О муниципальной службе Российской Федерации : федеральный закон от 02.03.2007 № 25-ФЗ // Российская газета. Федеральный выпуск. — 2007. — № 4310.</x:t>
  </x:si>
  <x:si>
    <x:t xml:space="preserve">R432</x:t>
  </x:si>
  <x:si>
    <x:t xml:space="preserve">Федеральный закон «Об общих принципах организации местного са-
моуправления в Российской Федерации»: федеральный закон от 06.10.2003 №
131-ФЗ // Российская газета – Дополнительный выпуск № 3316. – 2003.</x:t>
  </x:si>
  <x:si>
    <x:t xml:space="preserve">Федеральный закон «Об общих принципах организации местного самоуправления в Российской Федерации» : федеральный закон от 06.10.2003 № 131-ФЗ // Российская газета – Дополнительный выпуск. — 2003. — № 3316.</x:t>
  </x:si>
  <x:si>
    <x:t xml:space="preserve">Федеральный закон «Об общих принципах организации местного самоуправления в Российской Федерации»: федеральный закон от 06.10.2003 № 131-ФЗ</x:t>
  </x:si>
  <x:si>
    <x:t xml:space="preserve">Российская газета – Дополнительный выпуск</x:t>
  </x:si>
  <x:si>
    <x:t xml:space="preserve">3316</x:t>
  </x:si>
  <x:si>
    <x:t xml:space="preserve">Сверено с PDF: страница 90, пункт 33</x:t>
  </x:si>
  <x:si>
    <x:t xml:space="preserve">Проверка оформления Михаилом: достаточно данных — Да. Исходный вариант Михаила до последующего переноса: Об общих принципах организации местного самоуправления в Российской Федерации : федеральный закон от 06.10.2003 № 131-ФЗ // Российская газета. Дополнительный выпуск. — 2003. — № 3316.</x:t>
  </x:si>
  <x:si>
    <x:t xml:space="preserve">R433</x:t>
  </x:si>
  <x:si>
    <x:t xml:space="preserve">Файоль А. Общее и промышленное управление. М.: Контроллинг,
1991. С. 24–25.</x:t>
  </x:si>
  <x:si>
    <x:t xml:space="preserve">Файоль А. Общее и промышленное управление. — Москва : Контроллинг, 1991. — С. 24–25.</x:t>
  </x:si>
  <x:si>
    <x:t xml:space="preserve">Файоль А.</x:t>
  </x:si>
  <x:si>
    <x:t xml:space="preserve">Общее и промышленное управление</x:t>
  </x:si>
  <x:si>
    <x:t xml:space="preserve">24–25</x:t>
  </x:si>
  <x:si>
    <x:t xml:space="preserve">Контроллинг</x:t>
  </x:si>
  <x:si>
    <x:t xml:space="preserve">Сверено с PDF: страница 90, пункт 34</x:t>
  </x:si>
  <x:si>
    <x:t xml:space="preserve">Проверка оформления Михаилом: достаточно данных — Да. Исходный вариант Михаила до последующего переноса: Файоль, А. Общее и промышленное управление. — М. : Контроллинг, 1991. — С. 24–25.</x:t>
  </x:si>
  <x:si>
    <x:t xml:space="preserve">R434</x:t>
  </x:si>
  <x:si>
    <x:t xml:space="preserve">Арутюнова С.Э. Основные направления развития государственного
управления в системе государственной службы РФ, Вестник Саратовской госу-
дарственной юридической академии · № 6 (101), 2014. – С. 102-107.</x:t>
  </x:si>
  <x:si>
    <x:t xml:space="preserve">Арутюнова С. Э. Основные направления развития государственного управления в системе государственной службы РФ // Вестник Саратовской государственной юридической академии. — 2014. — № 6 (101). — С. 102–107.</x:t>
  </x:si>
  <x:si>
    <x:t xml:space="preserve">Арутюнова С. Э.</x:t>
  </x:si>
  <x:si>
    <x:t xml:space="preserve">Основные направления развития государственного управления в системе государственной службы РФ</x:t>
  </x:si>
  <x:si>
    <x:t xml:space="preserve">6 (101)</x:t>
  </x:si>
  <x:si>
    <x:t xml:space="preserve">102–107</x:t>
  </x:si>
  <x:si>
    <x:t xml:space="preserve">Сверено с PDF: страница 90, пункт 35</x:t>
  </x:si>
  <x:si>
    <x:t xml:space="preserve">Проверка оформления Михаилом: достаточно данных — Да. Исходный вариант Михаила до последующего переноса: Арутюнова, С. Э. Основные направления развития государственного управления в системе государственной службы РФ // Вестник Саратовской государственной юридической академии. — 2014. — № 6 (101). — С. 102–107.</x:t>
  </x:si>
  <x:si>
    <x:t xml:space="preserve">R435</x:t>
  </x:si>
  <x:si>
    <x:t xml:space="preserve">Путин, В.В. Демократия и качество государства. О ротации федераль-
ных государственных гражданских служащих (фрагменты статьи) // Государст-
венная служба. 2012. № 1, С. 4–9.</x:t>
  </x:si>
  <x:si>
    <x:t xml:space="preserve">Путин В. В. Демократия и качество государства. О ротации федеральных государственных гражданских служащих (фрагменты статьи) // Государственная служба. — 2012. — № 1. — С. 4–9.</x:t>
  </x:si>
  <x:si>
    <x:t xml:space="preserve">Путин В. В.</x:t>
  </x:si>
  <x:si>
    <x:t xml:space="preserve">Демократия и качество государства. О ротации федеральных государственных гражданских служащих (фрагменты статьи)</x:t>
  </x:si>
  <x:si>
    <x:t xml:space="preserve">Государственная служба</x:t>
  </x:si>
  <x:si>
    <x:t xml:space="preserve">4–9</x:t>
  </x:si>
  <x:si>
    <x:t xml:space="preserve">Сверено с PDF: страница 90, пункт 36</x:t>
  </x:si>
  <x:si>
    <x:t xml:space="preserve">Проверка оформления Михаилом: достаточно данных — Да. Исходный вариант Михаила до последующего переноса: Путин, В. В. Демократия и качество государства. О ротации федеральных государственных гражданских служащих (фрагменты статьи) // Государственная служба. — 2012. — № 1. — С. 4–9.</x:t>
  </x:si>
  <x:si>
    <x:t xml:space="preserve">R436</x:t>
  </x:si>
  <x:si>
    <x:t xml:space="preserve">Алехин, А. П. Административное право РФ: Учебник. А.П. Алехин, А.
А. Кармолицкий, Ю.М. Козлов – М.: ИКД «Зерцало-М». 2009. – 608 с.</x:t>
  </x:si>
  <x:si>
    <x:t xml:space="preserve">Алехин А. П., Кармолицкий А. А., Козлов Ю. М. Административное право РФ : Учебник. — Москва : ИКД «Зерцало-М», 2009. — 608 с.</x:t>
  </x:si>
  <x:si>
    <x:t xml:space="preserve">Алехин А. П. | Кармолицкий А. А. | Козлов Ю. М.</x:t>
  </x:si>
  <x:si>
    <x:t xml:space="preserve">Административное право РФ: Учебник</x:t>
  </x:si>
  <x:si>
    <x:t xml:space="preserve">608</x:t>
  </x:si>
  <x:si>
    <x:t xml:space="preserve">ИКД «Зерцало-М»</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</x:si>
  <x:si>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«Учебник» — общее обозначение материала, в заглавие не включено.</x:t>
  </x:si>
  <x:si>
    <x:t xml:space="preserve">Сверено с PDF: страница 90, пункт 37</x:t>
  </x:si>
  <x:si>
    <x:t xml:space="preserve">Проверка оформления Михаилом: достаточно данных — Да. Исходный вариант Михаила до последующего переноса: Алехин, А. П. Административное право РФ : учебник / А. П. Алехин, А. А. Кармолицкий, Ю. М. Козлов. — М. : ИКД «Зерцало-М», 2009. — 608 с.</x:t>
  </x:si>
  <x:si>
    <x:t xml:space="preserve">R437</x:t>
  </x:si>
  <x:si>
    <x:t xml:space="preserve">Козбаненко В.А. Правоведение: Учебник / Под общей ред. В. А. Коз-
баненко. − 3-е изд. − М.: Издательско-торговая корпорация «Дашков и К°»,
2006. − 1072 с.</x:t>
  </x:si>
  <x:si>
    <x:t xml:space="preserve">Правоведение : Учебник / под общей ред. В. А. Козбаненко. — 3-е изд. — Москва : Издательско-торговая корпорация «Дашков и К°», 2006. — 1072 с.</x:t>
  </x:si>
  <x:si>
    <x:t xml:space="preserve">Правоведение: Учебник</x:t>
  </x:si>
  <x:si>
    <x:t xml:space="preserve">1072</x:t>
  </x:si>
  <x:si>
    <x:t xml:space="preserve">Издательско-торговая корпорация «Дашков и К°»</x:t>
  </x:si>
  <x:si>
    <x:t xml:space="preserve">Исходная строка из PDF; сохранены переносы и опечатки. Номер списка вынесен отдельно. В. А. Козбаненко — редактор; первый элемент содержит его фамилию, роль не смешивается с автором.
Человеческая проверка: Михаил Саяпин, 28.10.2026. Неоднозначные поля: Авторы. Согласие до обсуждения по всей выборке: 855/880 = 97,16%; совместно пустые и неопределённые пары исключены. Первичный комментарий проверяющего: Козбаненко В.А. указан в начале записи и одновременно как общий редактор («Под общей ред.»); роль неясна, поле оставлено пустым.
Внешняя проверка 28.10.2026 (по отчёту подтверждений, не мной): по тексту скана книги на титуле — общая редакция В. А. Козбаненко, и он же значится в разделе «Авторский коллектив» (предисловие, разд. III и VI, гл. 16); 3-е изд., Москва, «Дашков и К°», 2006, 1072 с. Формулировка «только редактор» неверна. Поле «Авторы» оставлено пустым по правилу строки (роль в самой строке неясна), остальных неназванных авторов не восстанавливали. Источник: https://ru.djvu.online/file/2jKdIwHhA35TE Согласованные решения от 28.10.2026: Авторы: [пусто]. Согласен оставить авторов пустыми с неоднозначностью роли. Участие редактора в авторском коллективе по внешним сведениям не подставляется в разметку строки.</x:t>
  </x:si>
  <x:si>
    <x:t xml:space="preserve">под общей ред. В. А. Козбаненко</x:t>
  </x:si>
  <x:si>
    <x:t xml:space="preserve">Сверено с PDF: страница 90, пункт 38</x:t>
  </x:si>
  <x:si>
    <x:t xml:space="preserve">Проверка оформления Михаилом: достаточно данных — Да. Неясно, является ли Козбаненко В.А. автором; указан как заголовок и общий редактор.
Внешняя проверка 28.10.2026 (по отчёту подтверждений, не мной): по тексту скана книги на титуле — общая редакция В. А. Козбаненко, и он же значится в разделе «Авторский коллектив» (предисловие, разд. III и VI, гл. 16); 3-е изд., Москва, «Дашков и К°», 2006, 1072 с. Формулировка «только редактор» неверна. Поле «Авторы» оставлено пустым по правилу строки (роль в самой строке неясна), остальных неназванных авторов не восстанавливали. Источник: https://ru.djvu.online/file/2jKdIwHhA35TE Исходный вариант Михаила до последующего переноса: Правоведение : учебник / под общ. ред. В. А. Козбаненко. — 3-е изд. — М. : Издательско-торговая корпорация «Дашков и К°», 2006. — 1072 с.</x:t>
  </x:si>
  <x:si>
    <x:t xml:space="preserve">R438</x:t>
  </x:si>
  <x:si>
    <x:t xml:space="preserve">Матвеев С.П. Социальная защита государственных служащих: теоре-
тические основы построения системы, практика осуществления и проблемы
правового регулирования: монография. – Воронеж: Воронежский институт
МВД России, 2011. – 213 с.</x:t>
  </x:si>
  <x:si>
    <x:t xml:space="preserve">Матвеев С. П. Социальная защита государственных служащих : теоретические основы построения системы, практика осуществления и проблемы правового регулирования : монография. — Воронеж : Воронежский институт МВД России, 2011. — 213 с.</x:t>
  </x:si>
  <x:si>
    <x:t xml:space="preserve">Матвеев С. П.</x:t>
  </x:si>
  <x:si>
    <x:t xml:space="preserve">Социальная защита государственных служащих: теоретические основы построения системы, практика осуществления и проблемы правового регулирования: монография</x:t>
  </x:si>
  <x:si>
    <x:t xml:space="preserve">213</x:t>
  </x:si>
  <x:si>
    <x:t xml:space="preserve">Воронежский институт МВД России</x:t>
  </x:si>
  <x:si>
    <x:t xml:space="preserve">Воронеж</x:t>
  </x:si>
  <x:si>
    <x:t xml:space="preserve">Сверено с PDF: страница 90, пункт 39</x:t>
  </x:si>
  <x:si>
    <x:t xml:space="preserve">R439</x:t>
  </x:si>
  <x:si>
    <x:t xml:space="preserve">Послание Президента РФ В.В. Путина Федеральному Собранию РФ
от 12 декабря 2013 года // Российская газета. 2013. 13 дек.</x:t>
  </x:si>
  <x:si>
    <x:t xml:space="preserve">Послание Президента РФ В.В. Путина Федеральному Собранию РФ от 12 декабря 2013 года // Российская газета. — 2013.</x:t>
  </x:si>
  <x:si>
    <x:t xml:space="preserve">Послание Президента РФ В.В. Путина Федеральному Собранию РФ от 12 декабря 2013 года</x:t>
  </x:si>
  <x:si>
    <x:t xml:space="preserve">Сверено с PDF: страница 90, пункт 40</x:t>
  </x:si>
  <x:si>
    <x:t xml:space="preserve">R440</x:t>
  </x:si>
  <x:si>
    <x:t xml:space="preserve">Тихомиров Ю.А., Шахрай С.М. Риск – ориентированное публичное
управление// Риск и право. М., 2015. – №3 (68). – С. 81–86.</x:t>
  </x:si>
  <x:si>
    <x:t xml:space="preserve">Тихомиров Ю. А., Шахрай С. М. Риск – ориентированное публичное управление // Риск и право. — Москва, 2015. — № 3 (68). — С. 81–86.</x:t>
  </x:si>
  <x:si>
    <x:t xml:space="preserve">Тихомиров Ю. А. | Шахрай С. М.</x:t>
  </x:si>
  <x:si>
    <x:t xml:space="preserve">Риск – ориентированное публичное управление</x:t>
  </x:si>
  <x:si>
    <x:t xml:space="preserve">Риск и право</x:t>
  </x:si>
  <x:si>
    <x:t xml:space="preserve">Сверено с PDF: страница 90, пункт 42</x:t>
  </x:si>
  <x:si>
    <x:t xml:space="preserve">R441</x:t>
  </x:si>
  <x:si>
    <x:t xml:space="preserve">Булгакова И.Г. Некоторые аспекты профилактики коррупции в орга-
нах государственной власти // Журнал российского права. 2012. – № 8. – С. 75–
80.</x:t>
  </x:si>
  <x:si>
    <x:t xml:space="preserve">Булгакова И. Г. Некоторые аспекты профилактики коррупции в органах государственной власти // Журнал российского права. — 2012. — № 8. — С. 75–80.</x:t>
  </x:si>
  <x:si>
    <x:t xml:space="preserve">Булгакова И. Г.</x:t>
  </x:si>
  <x:si>
    <x:t xml:space="preserve">Некоторые аспекты профилактики коррупции в органах государственной власти</x:t>
  </x:si>
  <x:si>
    <x:t xml:space="preserve">75–80</x:t>
  </x:si>
  <x:si>
    <x:t xml:space="preserve">Сверено с PDF: страница 90, пункт 43</x:t>
  </x:si>
  <x:si>
    <x:t xml:space="preserve">Проверка оформления Михаилом: достаточно данных — Да. Исходный вариант Михаила до последующего переноса: Булгакова, И. Г. Некоторые аспекты профилактики коррупции в органах государственной власти // Журнал российского права. — 2012. — № 8. — С. 75–80.</x:t>
  </x:si>
  <x:si>
    <x:t xml:space="preserve">R442</x:t>
  </x:si>
  <x:si>
    <x:t xml:space="preserve">Волкова В.В. О механизме применения мер поощрения к государст-
венным служащим// Бизнес в законе. Экономико-юридический журнал. 2012. –
№6 – С. 62–65.</x:t>
  </x:si>
  <x:si>
    <x:t xml:space="preserve">Волкова В. В. О механизме применения мер поощрения к государственным служащим // Бизнес в законе. Экономико-юридический журнал. — 2012. — № 6. — С. 62–65.</x:t>
  </x:si>
  <x:si>
    <x:t xml:space="preserve">Волкова В. В.</x:t>
  </x:si>
  <x:si>
    <x:t xml:space="preserve">О механизме применения мер поощрения к государственным служащим</x:t>
  </x:si>
  <x:si>
    <x:t xml:space="preserve">Бизнес в законе. Экономико-юридический журнал</x:t>
  </x:si>
  <x:si>
    <x:t xml:space="preserve">62–65</x:t>
  </x:si>
  <x:si>
    <x:t xml:space="preserve">Сверено с PDF: страница 90, пункт 44</x:t>
  </x:si>
  <x:si>
    <x:t xml:space="preserve">Проверка оформления Михаилом: достаточно данных — Да. Исходный вариант Михаила до последующего переноса: Волкова, В. В. О механизме применения мер поощрения к государственным служащим // Бизнес в законе. Экономико-юридический журнал. — 2012. — № 6. — С. 62–65.</x:t>
  </x:si>
  <x:si>
    <x:t xml:space="preserve">R444</x:t>
  </x:si>
  <x:si>
    <x:t xml:space="preserve">Баландин Д., Кочеткова М. Создание и ведение школьного сайта
с помощью программы "Конструктор школьных сайтов". – М: 2001. – 210 с.</x:t>
  </x:si>
  <x:si>
    <x:t xml:space="preserve">Баландин Д., Кочеткова М. Создание и ведение школьного сайта с помощью программы "Конструктор школьных сайтов". — Москва, 2001. — 210 с.</x:t>
  </x:si>
  <x:si>
    <x:t xml:space="preserve">Баландин Д. | Кочеткова М.</x:t>
  </x:si>
  <x:si>
    <x:t xml:space="preserve">Создание и ведение школьного сайта с помощью программы "Конструктор школьных сайтов"</x:t>
  </x:si>
  <x:si>
    <x:t xml:space="preserve">https://elib.sfu-kras.ru/bitstream/handle/2311/112202/vkr_zuyan.pdf?sequence=1&amp;isAllowed=y#page=40</x:t>
  </x:si>
  <x:si>
    <x:t xml:space="preserve">Зуян И. О. Разработка информационного ресурса для сайта МБОУ «Большеулуйская СОШ». ВКР</x:t>
  </x:si>
  <x:si>
    <x:t xml:space="preserve">https://elib.sfu-kras.ru/bitstream/handle/2311/112202/vkr_zuyan.pdf</x:t>
  </x:si>
  <x:si>
    <x:t xml:space="preserve">Сверено с PDF: страница 40, пункт 2</x:t>
  </x:si>
  <x:si>
    <x:t xml:space="preserve">R445</x:t>
  </x:si>
  <x:si>
    <x:t xml:space="preserve">Бородовский Г.А., Извозчиков В.А. Новые технологии обучения:
Вопросы терминологии// Педагогика. – Москва, 1993. - №5. – с.12-15</x:t>
  </x:si>
  <x:si>
    <x:t xml:space="preserve">Бородовский Г. А., Извозчиков В. А. Новые технологии обучения : Вопросы терминологии // Педагогика. — Москва, 1993. — № 5. — С. 12–15.</x:t>
  </x:si>
  <x:si>
    <x:t xml:space="preserve">Бородовский Г. А. | Извозчиков В. А.</x:t>
  </x:si>
  <x:si>
    <x:t xml:space="preserve">Новые технологии обучения: Вопросы терминологии</x:t>
  </x:si>
  <x:si>
    <x:t xml:space="preserve">Педагогика</x:t>
  </x:si>
  <x:si>
    <x:t xml:space="preserve">Сверено с PDF: страница 40, пункт 3</x:t>
  </x:si>
  <x:si>
    <x:t xml:space="preserve">R446</x:t>
  </x:si>
  <x:si>
    <x:t xml:space="preserve">Гениатулина, Е. В. CMS – системы управления контентом:
учебное пособие / Е. В. Гениатулина. – Новосибирск: НГТУ, 2015. – 63 с.</x:t>
  </x:si>
  <x:si>
    <x:t xml:space="preserve">Гениатулина Е. В. CMS – системы управления контентом : учебное пособие. — Новосибирск : НГТУ, 2015. — 63 с.</x:t>
  </x:si>
  <x:si>
    <x:t xml:space="preserve">Гениатулина Е. В.</x:t>
  </x:si>
  <x:si>
    <x:t xml:space="preserve">CMS – системы управления контентом: учебное пособие</x:t>
  </x:si>
  <x:si>
    <x:t xml:space="preserve">НГТУ</x:t>
  </x:si>
  <x:si>
    <x:t xml:space="preserve">Новосибирск</x:t>
  </x:si>
  <x:si>
    <x:t xml:space="preserve">Сверено с PDF: страница 40, пункт 4</x:t>
  </x:si>
  <x:si>
    <x:t xml:space="preserve">R448</x:t>
  </x:si>
  <x:si>
    <x:t xml:space="preserve">Довек, Ж. Введение в теорию языков программирования / Ж.
Довек, Ж.-Ж. Леви. – Москва: ДМК, 2016. – 134 c.</x:t>
  </x:si>
  <x:si>
    <x:t xml:space="preserve">Довек Ж., Леви Ж.-Ж. Введение в теорию языков программирования. — Москва : ДМК, 2016. — 134 с.</x:t>
  </x:si>
  <x:si>
    <x:t xml:space="preserve">Довек Ж. | Леви Ж.-Ж.</x:t>
  </x:si>
  <x:si>
    <x:t xml:space="preserve">Введение в теорию языков программирования</x:t>
  </x:si>
  <x:si>
    <x:t xml:space="preserve">134</x:t>
  </x:si>
  <x:si>
    <x:t xml:space="preserve">ДМК</x:t>
  </x:si>
  <x:si>
    <x:t xml:space="preserve">Сверено с PDF: страница 40, пункт 6</x:t>
  </x:si>
  <x:si>
    <x:t xml:space="preserve">Проверка оформления Михаилом: достаточно данных — Да. Исходный вариант Михаила до последующего переноса: Довек, Ж. Введение в теорию языков программирования / Ж. Довек, Ж.-Ж. Леви. — Москва : ДМК, 2016. — 134 с.</x:t>
  </x:si>
  <x:si>
    <x:t xml:space="preserve">R449</x:t>
  </x:si>
  <x:si>
    <x:t xml:space="preserve">Игнатова, Н.Г. Интернет-технологии в системе образования/ Н.Г.
Игнатова. М.: Пресс, 2009.</x:t>
  </x:si>
  <x:si>
    <x:t xml:space="preserve">Игнатова Н. Г. Интернет-технологии в системе образования. — Москва : Пресс, 2009.</x:t>
  </x:si>
  <x:si>
    <x:t xml:space="preserve">Игнатова Н. Г.</x:t>
  </x:si>
  <x:si>
    <x:t xml:space="preserve">Интернет-технологии в системе образования</x:t>
  </x:si>
  <x:si>
    <x:t xml:space="preserve">Пресс</x:t>
  </x:si>
  <x:si>
    <x:t xml:space="preserve">Сверено с PDF: страница 40, пункт 7</x:t>
  </x:si>
  <x:si>
    <x:t xml:space="preserve">Проверка оформления Михаилом: достаточно данных — Да. Исходный вариант Михаила до последующего переноса: Игнатова, Н. Г. Интернет-технологии в системе образования. — М. : Пресс, 2009.</x:t>
  </x:si>
  <x:si>
    <x:t xml:space="preserve">R450</x:t>
  </x:si>
  <x:si>
    <x:t xml:space="preserve">Информатика и информационные технологии в
профессиональной деятельности: учебник / А. В. Душкин [и др.] ; под ред. В.
П. Корячко, М. И. Купцова. – Рязань: Академия ФСИН России, 2016. – 354 с.</x:t>
  </x:si>
  <x:si>
    <x:t xml:space="preserve">Информатика и информационные технологии в профессиональной деятельности : учебник / А. В. Душкин [и др.] ; под ред. В. П. Корячко, М. И. Купцова. — Рязань : Академия ФСИН России, 2016. — 354 с.</x:t>
  </x:si>
  <x:si>
    <x:t xml:space="preserve">Душкин А. В. | [и др.]</x:t>
  </x:si>
  <x:si>
    <x:t xml:space="preserve">Информатика и информационные технологии в профессиональной деятельности: учебник</x:t>
  </x:si>
  <x:si>
    <x:t xml:space="preserve">354</x:t>
  </x:si>
  <x:si>
    <x:t xml:space="preserve">Академия ФСИН России</x:t>
  </x:si>
  <x:si>
    <x:t xml:space="preserve">Рязань</x:t>
  </x:si>
  <x:si>
    <x:t xml:space="preserve">Исходная строка из PDF; сохранены переносы и опечатки. Номер списка вынесен отдельно. В. П. Корячко и М. И. Купцов — редакторы, А. В. Душкин — названный автор; [и др.] сохранено.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Редакторы: Корячко В.П., Купцов М.И. (не авторы). Список авторов явно сокращён.</x:t>
  </x:si>
  <x:si>
    <x:t xml:space="preserve">под ред. В. П. Корячко, М. И. Купцова</x:t>
  </x:si>
  <x:si>
    <x:t xml:space="preserve">Сверено с PDF: страница 40, пункт 8</x:t>
  </x:si>
  <x:si>
    <x:t xml:space="preserve">Проверка оформления Михаилом: достаточно данных — Да. Исходный вариант Михаила до последующего переноса: Информатика и информационные технологии в профессиональной деятельности : учебник / А. В. Душкин [и др.] ; под ред. В. П. Корячко, М. И. Купцова. — Рязань : Академия ФСИН России, 2016. — 354 с.</x:t>
  </x:si>
  <x:si>
    <x:t xml:space="preserve">R451</x:t>
  </x:si>
  <x:si>
    <x:t xml:space="preserve">Мэтью, Д. HTML5. Разработка веб-приложений / Д. Мэтью. –
Москва: Рид Групп, 2012 – 320 c.</x:t>
  </x:si>
  <x:si>
    <x:t xml:space="preserve">Мэтью Д. HTML5. Разработка веб-приложений. — Москва : Рид Групп, 2012. — 320 с.</x:t>
  </x:si>
  <x:si>
    <x:t xml:space="preserve">Мэтью Д.</x:t>
  </x:si>
  <x:si>
    <x:t xml:space="preserve">HTML5. Разработка веб-приложений</x:t>
  </x:si>
  <x:si>
    <x:t xml:space="preserve">Рид Групп</x:t>
  </x:si>
  <x:si>
    <x:t xml:space="preserve">Сверено с PDF: страница 40, пункт 10</x:t>
  </x:si>
  <x:si>
    <x:t xml:space="preserve">R452</x:t>
  </x:si>
  <x:si>
    <x:t xml:space="preserve">Рогачева, Г.И. Современные информационные образовательные
ресурсы / Г.И. Рогачева. – М., 2006. – 61 с.</x:t>
  </x:si>
  <x:si>
    <x:t xml:space="preserve">Рогачева Г. И. Современные информационные образовательные ресурсы. — Москва, 2006. — 61 с.</x:t>
  </x:si>
  <x:si>
    <x:t xml:space="preserve">Рогачева Г. И.</x:t>
  </x:si>
  <x:si>
    <x:t xml:space="preserve">Современные информационные образовательные ресурсы</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</x:si>
  <x:si>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Издатель не указан.</x:t>
  </x:si>
  <x:si>
    <x:t xml:space="preserve">Сверено с PDF: страница 40, пункт 11</x:t>
  </x:si>
  <x:si>
    <x:t xml:space="preserve">Проверка оформления Михаилом: достаточно данных — Да. Исходный вариант Михаила до последующего переноса: Рогачева, Г. И. Современные информационные образовательные ресурсы. — М., 2006. — 61 с.</x:t>
  </x:si>
  <x:si>
    <x:t xml:space="preserve">R455</x:t>
  </x:si>
  <x:si>
    <x:t xml:space="preserve">Федеральный закон от 29.12.2012 № 273-ФЗ «Об образовании в
Российской Федерации» в редакции от 06.03.2019 года.</x:t>
  </x:si>
  <x:si>
    <x:t xml:space="preserve">Федеральный закон от 29.12.2012 № 273-ФЗ «Об образовании в Российской Федерации» в редакции от 06.03.2019 года.</x:t>
  </x:si>
  <x:si>
    <x:t xml:space="preserve">Федеральный закон от 29.12.2012 № 273-ФЗ «Об образовании в Российской Федерации»</x:t>
  </x:si>
  <x:si>
    <x:t xml:space="preserve">в редакции от 06.03.2019 года</x:t>
  </x:si>
  <x:si>
    <x:t xml:space="preserve">https://elib.sfu-kras.ru/bitstream/handle/2311/112202/vkr_zuyan.pdf?sequence=1&amp;isAllowed=y#page=41</x:t>
  </x:si>
  <x:si>
    <x:t xml:space="preserve">Исходная строка из PDF; сохранены переносы и опечатки. Номер списка вынесен отдельно. 2012 — дата принятия закона, 2019 — дата редакции; год публикации в источнике не указан.  Даты принятия и редакции закона уже присутствуют в заглавии и однозначно идентифицируют акт. Отдельный выдуманный год публикации не добавляется; используется краткая ссылка на акт по реквизитам.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Год публикации и источник опубликования в строке отсутствуют; год закона (2012) не принят за год публикации; дата редакции записана в N. Согласованные решения от 28.10.2026: Заглавие: Федеральный закон от 29.12.2012 № 273-ФЗ «Об образовании в Российской Федерации». Согласен с отделением редакции от заглавия. Для этой разметки поле «Сведения об издании» используется также для редакции правового документа, как в предыдущем файле. | Значение страниц: [пусто]. Предложение подтверждено без дополнительного пояснения. | Сведения об издании: в редакции от 06.03.2019 года. Согласен хранить «в редакции от 06.03.2019 года» в сведениях об издании как редакцию правового документа; это не переиздание книги.</x:t>
  </x:si>
  <x:si>
    <x:t xml:space="preserve">41</x:t>
  </x:si>
  <x:si>
    <x:t xml:space="preserve">Сверено с PDF: страница 41, пункт 15</x:t>
  </x:si>
  <x:si>
    <x:t xml:space="preserve">Проверка оформления Михаилом: достаточно данных — Неоднозначно. Нет сведений об официальном источнике опубликования закона. Нет сведений об официальном источнике опубликования. Исходный вариант Михаила до последующего переноса: Об образовании в Российской Федерации : федеральный закон от 29.12.2012 № 273-ФЗ : [в ред. от 06.03.2019].</x:t>
  </x:si>
  <x:si>
    <x:t xml:space="preserve">R456</x:t>
  </x:si>
  <x:si>
    <x:t xml:space="preserve">Wix.com – Конструктор сайтов – Режим доступа:
https://ru.wix.com/</x:t>
  </x:si>
  <x:si>
    <x:t xml:space="preserve">Wix.com – Конструктор сайтов. — URL: https://ru.wix.com/ (дата обращения: 27.10.2026).</x:t>
  </x:si>
  <x:si>
    <x:t xml:space="preserve">Сайт</x:t>
  </x:si>
  <x:si>
    <x:t xml:space="preserve">Wix.com – Конструктор сайтов</x:t>
  </x:si>
  <x:si>
    <x:t xml:space="preserve">https://ru.wix.com/</x:t>
  </x:si>
  <x:si>
    <x:t xml:space="preserve">Сверено с PDF: страница 41, пункт 16</x:t>
  </x:si>
  <x:si>
    <x:t xml:space="preserve">Конструктор сайтов | Создать сайт бесплатно | Wix.com | Конструктор сайтов | Создать сайт бесплатно | Wix.com</x:t>
  </x:si>
  <x:si>
    <x:t xml:space="preserve">HTTP 200; проверка объекта 27.10.2026; https://ru.wix.com/</x:t>
  </x:si>
  <x:si>
    <x:t xml:space="preserve">R458</x:t>
  </x:si>
  <x:si>
    <x:t xml:space="preserve">Joomla.ru – система управления сайтом – Режим доступа:
http://joomla.ru/</x:t>
  </x:si>
  <x:si>
    <x:t xml:space="preserve">Joomla.ru – система управления сайтом. — URL: http://joomla.ru/ (дата обращения: 27.10.2026).</x:t>
  </x:si>
  <x:si>
    <x:t xml:space="preserve">Joomla.ru – система управления сайтом</x:t>
  </x:si>
  <x:si>
    <x:t xml:space="preserve">http://joomla.ru/</x:t>
  </x:si>
  <x:si>
    <x:t xml:space="preserve">Сверено с PDF: страница 41, пункт 18</x:t>
  </x:si>
  <x:si>
    <x:t xml:space="preserve">Joomla.ru - Все о Joomla! на русском - просто и понятно - Joomla.ru</x:t>
  </x:si>
  <x:si>
    <x:t xml:space="preserve">HTTP 200; проверка объекта 27.10.2026; http://joomla.ru/</x:t>
  </x:si>
  <x:si>
    <x:t xml:space="preserve">R459</x:t>
  </x:si>
  <x:si>
    <x:t xml:space="preserve">WordPress – Легендарная платформа – Режим доступа:
https://ru.wordpress.org/</x:t>
  </x:si>
  <x:si>
    <x:t xml:space="preserve">WordPress – Легендарная платформа. — URL: https://ru.wordpress.org/ (дата обращения: 27.10.2026).</x:t>
  </x:si>
  <x:si>
    <x:t xml:space="preserve">WordPress – Легендарная платформа</x:t>
  </x:si>
  <x:si>
    <x:t xml:space="preserve">https://ru.wordpress.org/</x:t>
  </x:si>
  <x:si>
    <x:t xml:space="preserve">Исходная строка из PDF; сохранены переносы и опечатки. Номер списка вынесен отдельно. Пробелы переноса URL удалены только в нормализованном поле; дата обращения отсутствует и не выдумана.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Дата обращения в строке отсутствует. Согласованные решения от 28.10.2026: Значение страниц: [пусто]. Предложение подтверждено без дополнительного пояснения.</x:t>
  </x:si>
  <x:si>
    <x:t xml:space="preserve">Сверено с PDF: страница 41, пункт 19</x:t>
  </x:si>
  <x:si>
    <x:t xml:space="preserve">Инструмент создания блогов, платформа для публикаций и CMS - WordPress.org Русский | Инструмент создания блогов, платформа для публикаций и CMS — WordPress.org Русский WordPress.org WordPress.org</x:t>
  </x:si>
  <x:si>
    <x:t xml:space="preserve">HTTP 200; проверка объекта 27.10.2026; https://ru.wordpress.org/</x:t>
  </x:si>
  <x:si>
    <x:t xml:space="preserve">Проверка оформления Михаилом: достаточно данных — Да. Открылся сайт целиком (цитируется сайт, а не отдельный документ). Источник: Подтверждения_28_10_2026.html. Объект — корень сайта; цитируется сайт целиком. Даты обращения в строке нет, использована дата E. Исходный вариант Михаила до последующего переноса: WordPress — Легендарная платформа : [сайт]. — URL: https://ru.wordpress.org/ (дата обращения: 27.10.2026).</x:t>
  </x:si>
  <x:si>
    <x:t xml:space="preserve">R460</x:t>
  </x:si>
  <x:si>
    <x:t xml:space="preserve">Drupal.ru – Режим доступа: https://drupal.ru/</x:t>
  </x:si>
  <x:si>
    <x:t xml:space="preserve">Drupal.ru. — URL: https://drupal.ru/ (дата обращения: 27.10.2026).</x:t>
  </x:si>
  <x:si>
    <x:t xml:space="preserve">Drupal.ru</x:t>
  </x:si>
  <x:si>
    <x:t xml:space="preserve">https://drupal.ru/</x:t>
  </x:si>
  <x:si>
    <x:t xml:space="preserve">Сверено с PDF: страница 41, пункт 20</x:t>
  </x:si>
  <x:si>
    <x:t xml:space="preserve">Drupal на русском | Drupal.ru</x:t>
  </x:si>
  <x:si>
    <x:t xml:space="preserve">HTTP 200; проверка объекта 27.10.2026; https://drupal.ru/</x:t>
  </x:si>
  <x:si>
    <x:t xml:space="preserve">Проверка оформления Михаилом: достаточно данных — Да. Открылся сайт целиком (цитируется сайт, а не отдельный документ). Источник: Подтверждения_28_10_2026.html. Объект — корень сайта; цитируется сайт целиком. Даты обращения в строке нет, использована дата E. Исходный вариант Михаила до последующего переноса: Drupal.ru : [сайт]. — URL: https://drupal.ru/ (дата обращения: 27.10.2026).</x:t>
  </x:si>
  <x:si>
    <x:t xml:space="preserve">R461</x:t>
  </x:si>
  <x:si>
    <x:t xml:space="preserve">Логунов П.Л., Шаманин М.В., Кнеллер Д.В., Сетин С.П., Шундерюк М.М.
Усовершенствованное управление ТП: от контура регулирования до
общезаводской оптимизации // Автоматизация в промышленности. – 2015. –
№4. – C. 4-14.</x:t>
  </x:si>
  <x:si>
    <x:t xml:space="preserve">Усовершенствованное управление ТП : от контура регулирования до общезаводской оптимизации / П. Л. Логунов, М. В. Шаманин, Д. В. Кнеллер, С. П. Сетин, М. М. Шундерюк // Автоматизация в промышленности. — 2015. — № 4. — С. 4–14.</x:t>
  </x:si>
  <x:si>
    <x:t xml:space="preserve">Логунов П. Л. | Шаманин М. В. | Кнеллер Д. В. | Сетин С. П. | Шундерюк М. М.</x:t>
  </x:si>
  <x:si>
    <x:t xml:space="preserve">Усовершенствованное управление ТП: от контура регулирования до общезаводской оптимизации</x:t>
  </x:si>
  <x:si>
    <x:t xml:space="preserve">Автоматизация в промышленности</x:t>
  </x:si>
  <x:si>
    <x:t xml:space="preserve">https://www.iacp.dvo.ru/resources/fileman/Uploads/dissertations/Snegirev/Snegerev_dissertation-final.pdf#page=109</x:t>
  </x:si>
  <x:si>
    <x:t xml:space="preserve">Снегирев О. Ю. Методы и алгоритмы построения адаптивных виртуальных анализаторов для систем усовершенствованного управления ректификационными колоннами. Диссертация</x:t>
  </x:si>
  <x:si>
    <x:t xml:space="preserve">https://www.iacp.dvo.ru/resources/fileman/Uploads/dissertations/Snegirev/Snegerev_dissertation-final.pdf</x:t>
  </x:si>
  <x:si>
    <x:t xml:space="preserve">Диссертация</x:t>
  </x:si>
  <x:si>
    <x:t xml:space="preserve">ДВФУ; ИАПУ ДВО РАН</x:t>
  </x:si>
  <x:si>
    <x:t xml:space="preserve">109</x:t>
  </x:si>
  <x:si>
    <x:t xml:space="preserve">Сверено с PDF: страница 109, пункт 1</x:t>
  </x:si>
  <x:si>
    <x:t xml:space="preserve">R462</x:t>
  </x:si>
  <x:si>
    <x:t xml:space="preserve">Файрузов Д.Х., Бельков Ю.Н., Кнеллер Д.В., Торгашов А.Ю. Система
усовершенствованного управления установкой первичной переработки нефти:
создание, внедрение, сопровождение // Автоматизация в промышленности. –
2013. – №8. – С. 3-10.</x:t>
  </x:si>
  <x:si>
    <x:t xml:space="preserve">Система усовершенствованного управления установкой первичной переработки нефти : создание, внедрение, сопровождение / Д. Х. Файрузов, Ю. Н. Бельков, Д. В. Кнеллер, А. Ю. Торгашов // Автоматизация в промышленности. — 2013. — № 8. — С. 3–10.</x:t>
  </x:si>
  <x:si>
    <x:t xml:space="preserve">Файрузов Д. Х. | Бельков Ю. Н. | Кнеллер Д. В. | Торгашов А. Ю.</x:t>
  </x:si>
  <x:si>
    <x:t xml:space="preserve">Система усовершенствованного управления установкой первичной переработки нефти: создание, внедрение, сопровождение</x:t>
  </x:si>
  <x:si>
    <x:t xml:space="preserve">3–10</x:t>
  </x:si>
  <x:si>
    <x:t xml:space="preserve">Сверено с PDF: страница 109, пункт 2</x:t>
  </x:si>
  <x:si>
    <x:t xml:space="preserve">Проверка оформления Михаилом: достаточно данных — Да. Исходный вариант Михаила до последующего переноса: Система усовершенствованного управления установкой первичной переработки нефти: создание, внедрение, сопровождение / Д. Х. Файрузов, Ю. Н. Бельков, Д. В. Кнеллер [и др.] // Автоматизация в промышленности. — 2013. — № 8. — С. 3–10.</x:t>
  </x:si>
  <x:si>
    <x:t xml:space="preserve">R463</x:t>
  </x:si>
  <x:si>
    <x:t xml:space="preserve">Голованов Ю.В., Храпов Д.В. Система управления качеством //
Нефтепереработка и нефтехимия. Научно-технические достижения и
передовой опыт. – 2015. – №8. – C. 10-12.</x:t>
  </x:si>
  <x:si>
    <x:t xml:space="preserve">Голованов Ю. В., Храпов Д. В. Система управления качеством // Нефтепереработка и нефтехимия. Научно-технические достижения и передовой опыт. — 2015. — № 8. — С. 10–12.</x:t>
  </x:si>
  <x:si>
    <x:t xml:space="preserve">Голованов Ю. В. | Храпов Д. В.</x:t>
  </x:si>
  <x:si>
    <x:t xml:space="preserve">Система управления качеством</x:t>
  </x:si>
  <x:si>
    <x:t xml:space="preserve">Нефтепереработка и нефтехимия. Научно-технические достижения и передовой опыт</x:t>
  </x:si>
  <x:si>
    <x:t xml:space="preserve">10–12</x:t>
  </x:si>
  <x:si>
    <x:t xml:space="preserve">Сверено с PDF: страница 109, пункт 3</x:t>
  </x:si>
  <x:si>
    <x:t xml:space="preserve">R464</x:t>
  </x:si>
  <x:si>
    <x:t xml:space="preserve">Веревкин А.П., Кирюшин О.В. Автоматизация технологических процессов и
производств в нефтепереработке и нефтехими. – Уфа: изд-во УГНТУ, 2005. –
71 с.</x:t>
  </x:si>
  <x:si>
    <x:t xml:space="preserve">Веревкин А. П., Кирюшин О. В. Автоматизация технологических процессов и производств в нефтепереработке и нефтехими. — Уфа : изд-во УГНТУ, 2005. — 71 с.</x:t>
  </x:si>
  <x:si>
    <x:t xml:space="preserve">Веревкин А. П. | Кирюшин О. В.</x:t>
  </x:si>
  <x:si>
    <x:t xml:space="preserve">Автоматизация технологических процессов и производств в нефтепереработке и нефтехими</x:t>
  </x:si>
  <x:si>
    <x:t xml:space="preserve">71</x:t>
  </x:si>
  <x:si>
    <x:t xml:space="preserve">изд-во УГНТУ</x:t>
  </x:si>
  <x:si>
    <x:t xml:space="preserve">Уфа</x:t>
  </x:si>
  <x:si>
    <x:t xml:space="preserve">https://www.iacp.dvo.ru/resources/fileman/Uploads/dissertations/Snegirev/Snegerev_dissertation-final.pdf#page=110</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</x:si>
  <x:si>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Заглавие в строке оборвано («…в нефтепереработке и нефтехими»); записано как есть, полное название не подставлено.
Внешняя проверка 28.10.2026 (по отчёту подтверждений, не мной): в методическом документе ТИУ та же книга приведена с полным словом «нефтехимии» и объёмом 171 с. (печатная с. 27); во входе «нефтехими» и 71 с., значения оставлены как напечатаны. Титульный лист книги не получен, подтверждение ограничено библиографическим упоминанием. Источник: https://www.tyuiu.ru/sveden/files/ziq/MU_po_VKR_ATPb%281%29.pdf Согласованные решения от 28.10.2026: Заглавие: Автоматизация технологических процессов и производств в нефтепереработке и нефтехими. Согласен снять флаг только с буквального извлечения заглавия. Достоверность полного названия и объёма не подтверждена; «нефтехими» и 71 с. сохраняются как в строке.</x:t>
  </x:si>
  <x:si>
    <x:t xml:space="preserve">110</x:t>
  </x:si>
  <x:si>
    <x:t xml:space="preserve">Сверено с PDF: страница 110, пункт 10</x:t>
  </x:si>
  <x:si>
    <x:t xml:space="preserve">Проверка оформления Михаилом: достаточно данных — Неоднозначно. Заглавие в строке оборвано.
В методическом документе ТИУ та же книга приведена с полным словом «нефтехимии» и объёмом 171 с. (печатная с. 27); во входе «нефтехими» и 71 с., значения оставлены как напечатаны. Титульный лист книги не получен, подтверждение ограничено библиографическим упоминанием. Источник: https://www.tyuiu.ru/sveden/files/ziq/MU_po_VKR_ATPb%281%29.pdf Исходный вариант Михаила до последующего переноса: Веревкин, А. П. Автоматизация технологических процессов и производств в нефтепереработке и нефтехими / А. П. Веревкин, О. В. Кирюшин. — Уфа : изд-во УГНТУ, 2005. — 71 с.</x:t>
  </x:si>
  <x:si>
    <x:t xml:space="preserve">R465</x:t>
  </x:si>
  <x:si>
    <x:t xml:space="preserve">Веревкин А.П., Тигулева Д.В. Получение формальных моделей с
использованием бутстраповского подхода // Концепции развития и
эффективного использования научного потенциала общества. – 2021. – С. 44-
46.</x:t>
  </x:si>
  <x:si>
    <x:t xml:space="preserve">Веревкин А. П., Тигулева Д. В. Получение формальных моделей с использованием бутстраповского подхода // Концепции развития и эффективного использования научного потенциала общества. — 2021. — С. 44–46.</x:t>
  </x:si>
  <x:si>
    <x:t xml:space="preserve">Веревкин А. П. | Тигулева Д. В.</x:t>
  </x:si>
  <x:si>
    <x:t xml:space="preserve">Получение формальных моделей с использованием бутстраповского подхода</x:t>
  </x:si>
  <x:si>
    <x:t xml:space="preserve">Концепции развития и эффективного использования научного потенциала общества</x:t>
  </x:si>
  <x:si>
    <x:t xml:space="preserve">44–46</x:t>
  </x:si>
  <x:si>
    <x:t xml:space="preserve">Сверено с PDF: страница 110, пункт 11</x:t>
  </x:si>
  <x:si>
    <x:t xml:space="preserve">R466</x:t>
  </x:si>
  <x:si>
    <x:t xml:space="preserve">Шумихин А.Г., Зорин М.П., Немтин А.М., Плехов В.Г. Опыт разработки
системы виртуального анализа показателей качества продуктов установок
каталитического риформинга бензиновых фракций и системы их подстройки в
режиме реального времени // Вестник Пермского национального
исследовательского политехнического университета. Химическая технология и
биотехнология. – 2017. – № 2. – С. 45-62.</x:t>
  </x:si>
  <x:si>
    <x:t xml:space="preserve">Опыт разработки системы виртуального анализа показателей качества продуктов установок каталитического риформинга бензиновых фракций и системы их подстройки в режиме реального времени / А. Г. Шумихин, М. П. Зорин, А. М. Немтин, В. Г. Плехов // Вестник Пермского национального исследовательского политехнического университета. Химическая технология и биотехнология. — 2017. — № 2. — С. 45–62.</x:t>
  </x:si>
  <x:si>
    <x:t xml:space="preserve">Шумихин А. Г. | Зорин М. П. | Немтин А. М. | Плехов В. Г.</x:t>
  </x:si>
  <x:si>
    <x:t xml:space="preserve">Опыт разработки системы виртуального анализа показателей качества продуктов установок каталитического риформинга бензиновых фракций и системы их подстройки в режиме реального времени</x:t>
  </x:si>
  <x:si>
    <x:t xml:space="preserve">Вестник Пермского национального исследовательского политехнического университета. Химическая технология и биотехнология</x:t>
  </x:si>
  <x:si>
    <x:t xml:space="preserve">45–62</x:t>
  </x:si>
  <x:si>
    <x:t xml:space="preserve">https://www.iacp.dvo.ru/resources/fileman/Uploads/dissertations/Snegirev/Snegerev_dissertation-final.pdf#page=111</x:t>
  </x:si>
  <x:si>
    <x:t xml:space="preserve">111, 112</x:t>
  </x:si>
  <x:si>
    <x:t xml:space="preserve">Сверено с PDF: страница 111, 112, пункт 28</x:t>
  </x:si>
  <x:si>
    <x:t xml:space="preserve">R467</x:t>
  </x:si>
  <x:si>
    <x:t xml:space="preserve">Гончаров А.А., Богомолов А.С., Чумаков М.Д. Использование метода ансамбля
при разработке адаптивного виртуального анализатора // Автоматизация,
телемеханизация и связь в нефтяной промышленности. – 2020. – № 7(564). – С.
34-37.</x:t>
  </x:si>
  <x:si>
    <x:t xml:space="preserve">Гончаров А. А., Богомолов А. С., Чумаков М. Д. Использование метода ансамбля при разработке адаптивного виртуального анализатора // Автоматизация, телемеханизация и связь в нефтяной промышленности. — 2020. — № 7(564). — С. 34–37.</x:t>
  </x:si>
  <x:si>
    <x:t xml:space="preserve">Гончаров А. А. | Богомолов А. С. | Чумаков М. Д.</x:t>
  </x:si>
  <x:si>
    <x:t xml:space="preserve">Использование метода ансамбля при разработке адаптивного виртуального анализатора</x:t>
  </x:si>
  <x:si>
    <x:t xml:space="preserve">Автоматизация, телемеханизация и связь в нефтяной промышленности</x:t>
  </x:si>
  <x:si>
    <x:t xml:space="preserve">7(564)</x:t>
  </x:si>
  <x:si>
    <x:t xml:space="preserve">34–37</x:t>
  </x:si>
  <x:si>
    <x:t xml:space="preserve">https://www.iacp.dvo.ru/resources/fileman/Uploads/dissertations/Snegirev/Snegerev_dissertation-final.pdf#page=112</x:t>
  </x:si>
  <x:si>
    <x:t xml:space="preserve">112</x:t>
  </x:si>
  <x:si>
    <x:t xml:space="preserve">Сверено с PDF: страница 112, пункт 29</x:t>
  </x:si>
  <x:si>
    <x:t xml:space="preserve">Проверка оформления Михаилом: достаточно данных — Да. Исходный вариант Михаила до последующего переноса: Гончаров, А. А. Использование метода ансамбля при разработке адаптивного виртуального анализатора / А. А. Гончаров, А. С. Богомолов, М. Д. Чумаков // Автоматизация, телемеханизация и связь в нефтяной промышленности. — 2020. — № 7(564). — С. 34–37.</x:t>
  </x:si>
  <x:si>
    <x:t xml:space="preserve">R468</x:t>
  </x:si>
  <x:si>
    <x:t xml:space="preserve">Снегирев О.Ю., Торгашов А.Ю. Разработка адаптивных виртуальных
анализаторов для промышленных ректификационных колонн с применением
кластеризации // Автоматизация в промышленности. – 2020. – № 8. – С. 44-50
(Eng. ed.: Snegirev O.Yu., Torgashov A.Yu. Development of Clustering-Based
Adaptive Soft Sensors for Industrial Distillation Columns // Automation and Remote
Control. – 2021. – № 82. – P. 1763-1773)</x:t>
  </x:si>
  <x:si>
    <x:t xml:space="preserve">Снегирев О. Ю., Торгашов А. Ю. Разработка адаптивных виртуальных анализаторов для промышленных ректификационных колонн с применением кластеризации // Автоматизация в промышленности. — 2020. — № 8. — С. 44–50.</x:t>
  </x:si>
  <x:si>
    <x:t xml:space="preserve">Снегирев О. Ю. | Торгашов А. Ю.</x:t>
  </x:si>
  <x:si>
    <x:t xml:space="preserve">Разработка адаптивных виртуальных анализаторов для промышленных ректификационных колонн с применением кластеризации</x:t>
  </x:si>
  <x:si>
    <x:t xml:space="preserve">Исходная строка из PDF; сохранены переносы и опечатки. Номер списка вынесен отдельно. В скобках дан перевод публикации. Размечена основная русская ссылка; перевод сохранён во входе и исключён из оценки основных полей.</x:t>
  </x:si>
  <x:si>
    <x:t xml:space="preserve">Сверено с PDF: страница 112, пункт 31</x:t>
  </x:si>
  <x:si>
    <x:t xml:space="preserve">R469</x:t>
  </x:si>
  <x:si>
    <x:t xml:space="preserve">Снегирев О.Ю., Торгашов А.Ю. Адаптация структуры и параметров
нелинейных виртуальных анализаторов на примере промышленного
реакционно-ректификационного технологического процесса // Автоматизация
в промышленности. – 2021. – № 3. – С. 3-11 (Eng. ed.: Snegirev O.Yu.,
Torgashov A.Yu. Adaptation of the Structure and Parameters of Nonlinear Soft
Sensors by the Example of an Industrial Reactive Distillation Process // Automation
and Remote Control. – 2021. – № 82. – P. 1774-1786)</x:t>
  </x:si>
  <x:si>
    <x:t xml:space="preserve">Снегирев О. Ю., Торгашов А. Ю. Адаптация структуры и параметров нелинейных виртуальных анализаторов на примере промышленного реакционно-ректификационного технологического процесса // Автоматизация в промышленности. — 2021. — № 3. — С. 3–11.</x:t>
  </x:si>
  <x:si>
    <x:t xml:space="preserve">Адаптация структуры и параметров нелинейных виртуальных анализаторов на примере промышленного реакционно-ректификационного технологического процесса</x:t>
  </x:si>
  <x:si>
    <x:t xml:space="preserve">3–11</x:t>
  </x:si>
  <x:si>
    <x:t xml:space="preserve">Исходная строка из PDF; сохранены переносы и опечатки. Номер списка вынесен отдельно. В скобках дан перевод публикации. Размечена основная русская ссылка; перевод сохранён во входе и исключён из оценки основных полей.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Англоязычная версия (Automation and Remote Control, 2021, № 82, P. 1774-1786) в поля не внесена.</x:t>
  </x:si>
  <x:si>
    <x:t xml:space="preserve">Сверено с PDF: страница 112, пункт 32</x:t>
  </x:si>
  <x:si>
    <x:t xml:space="preserve">Проверка оформления Михаилом: достаточно данных — Да. Исходный вариант Михаила до последующего переноса: Снегирев, О. Ю. Адаптация структуры и параметров нелинейных виртуальных анализаторов на примере промышленного реакционно-ректификационного технологического процесса / О. Ю. Снегирев, А. Ю. Торгашов // Автоматизация в промышленности. — 2021. — № 3. — С. 3–11.</x:t>
  </x:si>
  <x:si>
    <x:t xml:space="preserve">R470</x:t>
  </x:si>
  <x:si>
    <x:t xml:space="preserve">Снегирев О.Ю., Торгашов А.Ю. Аппроксимация оптимальных преобразований
при построении нелинейных виртуальных анализаторов // Математические
методы в технике и технологиях – ММТТ. – 2020. – № 12-1. – С. 17-21.</x:t>
  </x:si>
  <x:si>
    <x:t xml:space="preserve">Снегирев О. Ю., Торгашов А. Ю. Аппроксимация оптимальных преобразований при построении нелинейных виртуальных анализаторов // Математические методы в технике и технологиях – ММТТ. — 2020. — № 12-1. — С. 17–21.</x:t>
  </x:si>
  <x:si>
    <x:t xml:space="preserve">Аппроксимация оптимальных преобразований при построении нелинейных виртуальных анализаторов</x:t>
  </x:si>
  <x:si>
    <x:t xml:space="preserve">Математические методы в технике и технологиях – ММТТ</x:t>
  </x:si>
  <x:si>
    <x:t xml:space="preserve">12-1</x:t>
  </x:si>
  <x:si>
    <x:t xml:space="preserve">17–21</x:t>
  </x:si>
  <x:si>
    <x:t xml:space="preserve">Сверено с PDF: страница 112, пункт 33</x:t>
  </x:si>
  <x:si>
    <x:t xml:space="preserve">R471</x:t>
  </x:si>
  <x:si>
    <x:t xml:space="preserve">Снегирев О.Ю., Козенко И.Ж., Попов В.В. Применение методов кластеризации
в разработке адаптивных виртуальных анализаторов для установки первичной
переработки нефти // Научно-технический вестник Поволжья. – 2021. – № 2. –
С. 37-41.</x:t>
  </x:si>
  <x:si>
    <x:t xml:space="preserve">Снегирев О. Ю., Козенко И. Ж., Попов В. В. Применение методов кластеризации в разработке адаптивных виртуальных анализаторов для установки первичной переработки нефти // Научно-технический вестник Поволжья. — 2021. — № 2. — С. 37–41.</x:t>
  </x:si>
  <x:si>
    <x:t xml:space="preserve">Снегирев О. Ю. | Козенко И. Ж. | Попов В. В.</x:t>
  </x:si>
  <x:si>
    <x:t xml:space="preserve">Применение методов кластеризации в разработке адаптивных виртуальных анализаторов для установки первичной переработки нефти</x:t>
  </x:si>
  <x:si>
    <x:t xml:space="preserve">Научно-технический вестник Поволжья</x:t>
  </x:si>
  <x:si>
    <x:t xml:space="preserve">37–41</x:t>
  </x:si>
  <x:si>
    <x:t xml:space="preserve">112, 113</x:t>
  </x:si>
  <x:si>
    <x:t xml:space="preserve">Сверено с PDF: страница 112, 113, пункт 34</x:t>
  </x:si>
  <x:si>
    <x:t xml:space="preserve">R472</x:t>
  </x:si>
  <x:si>
    <x:t xml:space="preserve">Снегирев О.Ю., Козенко И.Ж., Попов В.В. Разработка адаптивного
виртуального анализатора для массообменного технологического процесса //
Научно-технический вестник Поволжья. – 2021. – № 2. – С. 33-36.</x:t>
  </x:si>
  <x:si>
    <x:t xml:space="preserve">Снегирев О. Ю., Козенко И. Ж., Попов В. В. Разработка адаптивного виртуального анализатора для массообменного технологического процесса // Научно-технический вестник Поволжья. — 2021. — № 2. — С. 33–36.</x:t>
  </x:si>
  <x:si>
    <x:t xml:space="preserve">Разработка адаптивного виртуального анализатора для массообменного технологического процесса</x:t>
  </x:si>
  <x:si>
    <x:t xml:space="preserve">33–36</x:t>
  </x:si>
  <x:si>
    <x:t xml:space="preserve">https://www.iacp.dvo.ru/resources/fileman/Uploads/dissertations/Snegirev/Snegerev_dissertation-final.pdf#page=113</x:t>
  </x:si>
  <x:si>
    <x:t xml:space="preserve">113</x:t>
  </x:si>
  <x:si>
    <x:t xml:space="preserve">Сверено с PDF: страница 113, пункт 35</x:t>
  </x:si>
  <x:si>
    <x:t xml:space="preserve">R473</x:t>
  </x:si>
  <x:si>
    <x:t xml:space="preserve">Снегирев О.Ю., Торгашов А.Ю. Разработка адаптивного виртуального
анализатора показателя качества выходного продукта процесса ректификации
// Математические методы в технике и технологиях – ММТТ. – 2019. – № 4. –
С. 49-52.</x:t>
  </x:si>
  <x:si>
    <x:t xml:space="preserve">Снегирев О. Ю., Торгашов А. Ю. Разработка адаптивного виртуального анализатора показателя качества выходного продукта процесса ректификации // Математические методы в технике и технологиях – ММТТ. — 2019. — № 4. — С. 49–52.</x:t>
  </x:si>
  <x:si>
    <x:t xml:space="preserve">Разработка адаптивного виртуального анализатора показателя качества выходного продукта процесса ректификации</x:t>
  </x:si>
  <x:si>
    <x:t xml:space="preserve">49–52</x:t>
  </x:si>
  <x:si>
    <x:t xml:space="preserve">Сверено с PDF: страница 113, пункт 37</x:t>
  </x:si>
  <x:si>
    <x:t xml:space="preserve">R474</x:t>
  </x:si>
  <x:si>
    <x:t xml:space="preserve">Снегирев О.Ю., Торгашов А.Ю. Определение оптимальных параметров
адаптивного виртуального анализатора для массообменного технологического
процесса // Сборник трудов XIII Всероссийского совещания по проблемам
управления ВСПУ-2019. Институт проблем управления им. В.А. Трапезникова
РАН. – 2019. – С. 2655-2659.</x:t>
  </x:si>
  <x:si>
    <x:t xml:space="preserve">Снегирев О. Ю., Торгашов А. Ю. Определение оптимальных параметров адаптивного виртуального анализатора для массообменного технологического процесса // Сборник трудов XIII Всероссийского совещания по проблемам управления ВСПУ-2019. — Институт проблем управления им. В.А. Трапезникова РАН, 2019. — С. 2655–2659.</x:t>
  </x:si>
  <x:si>
    <x:t xml:space="preserve">Определение оптимальных параметров адаптивного виртуального анализатора для массообменного технологического процесса</x:t>
  </x:si>
  <x:si>
    <x:t xml:space="preserve">Сборник трудов XIII Всероссийского совещания по проблемам управления ВСПУ-2019</x:t>
  </x:si>
  <x:si>
    <x:t xml:space="preserve">2655–2659</x:t>
  </x:si>
  <x:si>
    <x:t xml:space="preserve">Институт проблем управления им. В.А. Трапезникова РАН</x:t>
  </x:si>
  <x:si>
    <x:t xml:space="preserve">Исходная строка из PDF; сохранены переносы и опечатки. Номер списка вынесен отдельно.  Повторная сверка: наименование выпускающей организации отделено от заглавия сборника.</x:t>
  </x:si>
  <x:si>
    <x:t xml:space="preserve">Сверено с PDF: страница 113, пункт 38</x:t>
  </x:si>
  <x:si>
    <x:t xml:space="preserve">R475</x:t>
  </x:si>
  <x:si>
    <x:t xml:space="preserve">Климченко В.В., Снегирев О.Ю., Шевлягина С.А., Торгашов А.Ю. Разработка
адаптивного виртуального анализатора с использованием прогнозирующего
фильтра для нестационарного технологического процесса // Автоматика и
телемеханика. – 2022. – № 12. – С. 141-155. (Eng. ed.: Klimchenko V.V.,
Snegirev O.Yu., Shevlyagina, S.A., Torgashov A.Yu. Developing an adaptive soft
sensor using a predictive filter for a nonstationary process // Automation and Remote
Control. – 2022. – Vol.83. – № 12. – P. 1984-1994.)</x:t>
  </x:si>
  <x:si>
    <x:t xml:space="preserve">Разработка адаптивного виртуального анализатора с использованием прогнозирующего фильтра для нестационарного технологического процесса / В. В. Климченко, О. Ю. Снегирев, С. А. Шевлягина, А. Ю. Торгашов // Автоматика и телемеханика. — 2022. — № 12. — С. 141–155.</x:t>
  </x:si>
  <x:si>
    <x:t xml:space="preserve">Климченко В. В. | Снегирев О. Ю. | Шевлягина С. А. | Торгашов А. Ю.</x:t>
  </x:si>
  <x:si>
    <x:t xml:space="preserve">Разработка адаптивного виртуального анализатора с использованием прогнозирующего фильтра для нестационарного технологического процесса</x:t>
  </x:si>
  <x:si>
    <x:t xml:space="preserve">141–155</x:t>
  </x:si>
  <x:si>
    <x:t xml:space="preserve">Исходная строка из PDF; сохранены переносы и опечатки. Номер списка вынесен отдельно. В скобках дан перевод публикации. Размечена основная русская ссылка; перевод сохранён во входе и исключён из оценки основных полей.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Англоязычная версия (Automation and Remote Control, 2022, Vol. 83, № 12, P. 1984-1994) в поля не внесена.</x:t>
  </x:si>
  <x:si>
    <x:t xml:space="preserve">Сверено с PDF: страница 113, пункт 39</x:t>
  </x:si>
  <x:si>
    <x:t xml:space="preserve">Проверка оформления Михаилом: достаточно данных — Да. Исходный вариант Михаила до последующего переноса: Разработка адаптивного виртуального анализатора с использованием прогнозирующего фильтра для нестационарного технологического процесса / В. В. Климченко, О. Ю. Снегирев, С. А. Шевлягина [и др.] // Автоматика и телемеханика. — 2022. — № 12. — С. 141–155.</x:t>
  </x:si>
  <x:si>
    <x:t xml:space="preserve">R476</x:t>
  </x:si>
  <x:si>
    <x:t xml:space="preserve">Снегирев О.Ю. Разработка адаптивных виртуальных анализаторов для систем
усовершенствованного управления ректификационными колоннами //
Математические методы в технологиях и технике – ММТТ. – 2022. – № 7. – С.
80-84.</x:t>
  </x:si>
  <x:si>
    <x:t xml:space="preserve">Снегирев О. Ю. Разработка адаптивных виртуальных анализаторов для систем усовершенствованного управления ректификационными колоннами // Математические методы в технологиях и технике – ММТТ. — 2022. — № 7. — С. 80–84.</x:t>
  </x:si>
  <x:si>
    <x:t xml:space="preserve">Снегирев О. Ю.</x:t>
  </x:si>
  <x:si>
    <x:t xml:space="preserve">Разработка адаптивных виртуальных анализаторов для систем усовершенствованного управления ректификационными колоннами</x:t>
  </x:si>
  <x:si>
    <x:t xml:space="preserve">Математические методы в технологиях и технике – ММТТ</x:t>
  </x:si>
  <x:si>
    <x:t xml:space="preserve">80–84</x:t>
  </x:si>
  <x:si>
    <x:t xml:space="preserve">Сверено с PDF: страница 113, пункт 40</x:t>
  </x:si>
  <x:si>
    <x:t xml:space="preserve">Проверка оформления Михаилом: достаточно данных — Да. Исходный вариант Михаила до последующего переноса: Снегирев, О. Ю. Разработка адаптивных виртуальных анализаторов для систем усовершенствованного управления ректификационными колоннами // Математические методы в технологиях и технике – ММТТ. — 2022. — № 7. — С. 80–84.</x:t>
  </x:si>
  <x:si>
    <x:t xml:space="preserve">R477</x:t>
  </x:si>
  <x:si>
    <x:t xml:space="preserve">Снегирев О.Ю., Климченко В.В., Торгашов А.Ю. Построение адаптивного
виртуального анализатора в условиях неравноотстоящих измерений выхода //
Математические методы в технологиях и технике – ММТТ. – 2022. – № 2. – С.
15-18.</x:t>
  </x:si>
  <x:si>
    <x:t xml:space="preserve">Снегирев О. Ю., Климченко В. В., Торгашов А. Ю. Построение адаптивного виртуального анализатора в условиях неравноотстоящих измерений выхода // Математические методы в технологиях и технике – ММТТ. — 2022. — № 2. — С. 15–18.</x:t>
  </x:si>
  <x:si>
    <x:t xml:space="preserve">Снегирев О. Ю. | Климченко В. В. | Торгашов А. Ю.</x:t>
  </x:si>
  <x:si>
    <x:t xml:space="preserve">Построение адаптивного виртуального анализатора в условиях неравноотстоящих измерений выхода</x:t>
  </x:si>
  <x:si>
    <x:t xml:space="preserve">15–18</x:t>
  </x:si>
  <x:si>
    <x:t xml:space="preserve">https://www.iacp.dvo.ru/resources/fileman/Uploads/dissertations/Snegirev/Snegerev_dissertation-final.pdf#page=114</x:t>
  </x:si>
  <x:si>
    <x:t xml:space="preserve">114</x:t>
  </x:si>
  <x:si>
    <x:t xml:space="preserve">Сверено с PDF: страница 114, пункт 41</x:t>
  </x:si>
  <x:si>
    <x:t xml:space="preserve">R478</x:t>
  </x:si>
  <x:si>
    <x:t xml:space="preserve">Шинкевич А.И., Барсегян Н.В. Пути повышения эффективности организации
производственных процессов на нефтехимических предприятиях за счёт
применения систем автоматизации // Русский инженер. – 2019. – №4 (65). – C.
48-51.</x:t>
  </x:si>
  <x:si>
    <x:t xml:space="preserve">Шинкевич А. И., Барсегян Н. В. Пути повышения эффективности организации производственных процессов на нефтехимических предприятиях за счёт применения систем автоматизации // Русский инженер. — 2019. — № 4 (65). — С. 48–51.</x:t>
  </x:si>
  <x:si>
    <x:t xml:space="preserve">Шинкевич А. И. | Барсегян Н. В.</x:t>
  </x:si>
  <x:si>
    <x:t xml:space="preserve">Пути повышения эффективности организации производственных процессов на нефтехимических предприятиях за счёт применения систем автоматизации</x:t>
  </x:si>
  <x:si>
    <x:t xml:space="preserve">Русский инженер</x:t>
  </x:si>
  <x:si>
    <x:t xml:space="preserve">4 (65)</x:t>
  </x:si>
  <x:si>
    <x:t xml:space="preserve">48–51</x:t>
  </x:si>
  <x:si>
    <x:t xml:space="preserve">Сверено с PDF: страница 114, пункт 42</x:t>
  </x:si>
  <x:si>
    <x:t xml:space="preserve">R479</x:t>
  </x:si>
  <x:si>
    <x:t xml:space="preserve">Константинов А.Е., Лыжина Н.В. СУУТП как инструмент повышения
эффективности производства // Cборник научных трудов VIII Международной
научно-практической конференции «Экономическое Развитие в XXI Веке:
Тенденции, Вызовы и Перспективы». – 2020. – Т. 1. – C. 95-99.</x:t>
  </x:si>
  <x:si>
    <x:t xml:space="preserve">Константинов А. Е., Лыжина Н. В. СУУТП как инструмент повышения эффективности производства // Cборник научных трудов VIII Международной научно-практической конференции «Экономическое Развитие в XXI Веке: Тенденции, Вызовы и Перспективы». — 2020. — Т. 1. — С. 95–99.</x:t>
  </x:si>
  <x:si>
    <x:t xml:space="preserve">Константинов А. Е. | Лыжина Н. В.</x:t>
  </x:si>
  <x:si>
    <x:t xml:space="preserve">СУУТП как инструмент повышения эффективности производства</x:t>
  </x:si>
  <x:si>
    <x:t xml:space="preserve">Cборник научных трудов VIII Международной научно-практической конференции «Экономическое Развитие в XXI Веке: Тенденции, Вызовы и Перспективы»</x:t>
  </x:si>
  <x:si>
    <x:t xml:space="preserve">95–99</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</x:si>
  <x:si>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Нет места и издателя сборника. Согласованные решения от 28.10.2026: Содержащее издание: Cборник научных трудов VIII Международной научно-практической конференции «Экономическое Развитие в XXI Веке: Тенденции, Вызовы и Перспективы». Согласен для буквального извлечения сохранить латинскую C в «Cборник». Кириллическая С из предыдущего файла относится к нормализованному представлению.</x:t>
  </x:si>
  <x:si>
    <x:t xml:space="preserve">Сверено с PDF: страница 114, пункт 43</x:t>
  </x:si>
  <x:si>
    <x:t xml:space="preserve">Проверка оформления Михаилом: достаточно данных — Да. Исходный вариант Михаила до последующего переноса: Константинов, А. Е. СУУТП как инструмент повышения эффективности производства / А. Е. Константинов, Н. В. Лыжина // Сборник научных трудов VIII Международной научно-практической конференции «Экономическое развитие в XXI веке: тенденции, вызовы и перспективы». — 2020. — Т. 1. — С. 95–99.</x:t>
  </x:si>
  <x:si>
    <x:t xml:space="preserve">R480</x:t>
  </x:si>
  <x:si>
    <x:t xml:space="preserve">Веревкин А.П. Системотехника «продвинутого» управления в
нефтепереработке // Проблемы автоматизации технологических процессов
добычи, транспорта и переработки нефти и газа: сборник трудов II
Всероссийской научно-практической интернет-конференции. – 2014. – С. 5-19.</x:t>
  </x:si>
  <x:si>
    <x:t xml:space="preserve">Веревкин А. П. Системотехника «продвинутого» управления в нефтепереработке // Проблемы автоматизации технологических процессов добычи, транспорта и переработки нефти и газа: сборник трудов II Всероссийской научно-практической интернет-конференции. — 2014. — С. 5–19.</x:t>
  </x:si>
  <x:si>
    <x:t xml:space="preserve">Веревкин А. П.</x:t>
  </x:si>
  <x:si>
    <x:t xml:space="preserve">Системотехника «продвинутого» управления в нефтепереработке</x:t>
  </x:si>
  <x:si>
    <x:t xml:space="preserve">Проблемы автоматизации технологических процессов добычи, транспорта и переработки нефти и газа: сборник трудов II Всероссийской научно-практической интернет-конференции</x:t>
  </x:si>
  <x:si>
    <x:t xml:space="preserve">5–19</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</x:si>
  <x:si>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Нет места и издателя сборника.</x:t>
  </x:si>
  <x:si>
    <x:t xml:space="preserve">Сверено с PDF: страница 114, пункт 44</x:t>
  </x:si>
  <x:si>
    <x:t xml:space="preserve">Проверка оформления Михаилом: достаточно данных — Да. Исходный вариант Михаила до последующего переноса: Веревкин, А. П. Системотехника «продвинутого» управления в нефтепереработке // Проблемы автоматизации технологических процессов добычи, транспорта и переработки нефти и газа : сборник трудов II Всероссийской научно-практической интернет-конференции. — 2014. — С. 5–19.</x:t>
  </x:si>
  <x:si>
    <x:t xml:space="preserve">R481</x:t>
  </x:si>
  <x:si>
    <x:t xml:space="preserve">Тугашова Л.Г. Виртуальные анализаторы показателей качества процесса
ректификации // Электротехнические и информационные комплексы и
системы. – 2013. – №3. – C. 97-103.</x:t>
  </x:si>
  <x:si>
    <x:t xml:space="preserve">Тугашова Л. Г. Виртуальные анализаторы показателей качества процесса ректификации // Электротехнические и информационные комплексы и системы. — 2013. — № 3. — С. 97–103.</x:t>
  </x:si>
  <x:si>
    <x:t xml:space="preserve">Тугашова Л. Г.</x:t>
  </x:si>
  <x:si>
    <x:t xml:space="preserve">Виртуальные анализаторы показателей качества процесса ректификации</x:t>
  </x:si>
  <x:si>
    <x:t xml:space="preserve">Электротехнические и информационные комплексы и системы</x:t>
  </x:si>
  <x:si>
    <x:t xml:space="preserve">97–103</x:t>
  </x:si>
  <x:si>
    <x:t xml:space="preserve">Сверено с PDF: страница 114, пункт 45</x:t>
  </x:si>
  <x:si>
    <x:t xml:space="preserve">R482</x:t>
  </x:si>
  <x:si>
    <x:t xml:space="preserve">Улазевич В.Ю. Идентификация виртуального анализатора с применением EM-
алгоритма на обучающих выборках различной частоты // Известия Тульского
государственного университета. Технические науки. – 2021. – № 3. – С. 348-
353.</x:t>
  </x:si>
  <x:si>
    <x:t xml:space="preserve">Улазевич В. Ю. Идентификация виртуального анализатора с применением EM- алгоритма на обучающих выборках различной частоты // Известия Тульского государственного университета. Технические науки. — 2021. — № 3. — С. 348–353.</x:t>
  </x:si>
  <x:si>
    <x:t xml:space="preserve">Улазевич В. Ю.</x:t>
  </x:si>
  <x:si>
    <x:t xml:space="preserve">Идентификация виртуального анализатора с применением EM- алгоритма на обучающих выборках различной частоты</x:t>
  </x:si>
  <x:si>
    <x:t xml:space="preserve">Известия Тульского государственного университета. Технические науки</x:t>
  </x:si>
  <x:si>
    <x:t xml:space="preserve">348–353</x:t>
  </x:si>
  <x:si>
    <x:t xml:space="preserve">Сверено с PDF: страница 114, пункт 47</x:t>
  </x:si>
  <x:si>
    <x:t xml:space="preserve">R483</x:t>
  </x:si>
  <x:si>
    <x:t xml:space="preserve">Гурьева Е.М., Кольцов А.Г. Применение виртуальных анализаторов для
определения качества нефтепродуктов // Динамика систем, механизмов и
машин. – 2016. – Vol. 1. – № 1. – С. 296-301.</x:t>
  </x:si>
  <x:si>
    <x:t xml:space="preserve">Гурьева Е. М., Кольцов А. Г. Применение виртуальных анализаторов для определения качества нефтепродуктов // Динамика систем, механизмов и машин. — 2016. — Т. 1. — № 1. — С. 296–301.</x:t>
  </x:si>
  <x:si>
    <x:t xml:space="preserve">Гурьева Е. М. | Кольцов А. Г.</x:t>
  </x:si>
  <x:si>
    <x:t xml:space="preserve">Применение виртуальных анализаторов для определения качества нефтепродуктов</x:t>
  </x:si>
  <x:si>
    <x:t xml:space="preserve">Динамика систем, механизмов и машин</x:t>
  </x:si>
  <x:si>
    <x:t xml:space="preserve">296–301</x:t>
  </x:si>
  <x:si>
    <x:t xml:space="preserve">Сверено с PDF: страница 114, пункт 48</x:t>
  </x:si>
  <x:si>
    <x:t xml:space="preserve">R484</x:t>
  </x:si>
  <x:si>
    <x:t xml:space="preserve">Торгашов А.Ю., Гончаров А.А., Самотылова С.А. Современные методы
построения систем усовершенствованного управления технологическими
процессами // Вестник Дальневосточного отделения Российской академии
наук. – 2018. – № 4 (188). – С. 102-107.</x:t>
  </x:si>
  <x:si>
    <x:t xml:space="preserve">Торгашов А. Ю., Гончаров А. А., Самотылова С. А. Современные методы построения систем усовершенствованного управления технологическими процессами // Вестник Дальневосточного отделения Российской академии наук. — 2018. — № 4 (188). — С. 102–107.</x:t>
  </x:si>
  <x:si>
    <x:t xml:space="preserve">Торгашов А. Ю. | Гончаров А. А. | Самотылова С. А.</x:t>
  </x:si>
  <x:si>
    <x:t xml:space="preserve">Современные методы построения систем усовершенствованного управления технологическими процессами</x:t>
  </x:si>
  <x:si>
    <x:t xml:space="preserve">Вестник Дальневосточного отделения Российской академии наук</x:t>
  </x:si>
  <x:si>
    <x:t xml:space="preserve">4 (188)</x:t>
  </x:si>
  <x:si>
    <x:t xml:space="preserve">https://www.iacp.dvo.ru/resources/fileman/Uploads/dissertations/Snegirev/Snegerev_dissertation-final.pdf#page=115</x:t>
  </x:si>
  <x:si>
    <x:t xml:space="preserve">115</x:t>
  </x:si>
  <x:si>
    <x:t xml:space="preserve">Сверено с PDF: страница 115, пункт 52</x:t>
  </x:si>
  <x:si>
    <x:t xml:space="preserve">R485</x:t>
  </x:si>
  <x:si>
    <x:t xml:space="preserve">Самотылова С.А., Торгашов А.Ю. Алгоритм построения виртуального
анализатора показателя качества выходного продукта ректификационной
колонны в условиях малой обучающей выборки // Известия Санкт-
Петербургского государственного технологического института (технического
университета). – 2019. – № 48 (74). – С. 36-41.</x:t>
  </x:si>
  <x:si>
    <x:t xml:space="preserve">Самотылова С. А., Торгашов А. Ю. Алгоритм построения виртуального анализатора показателя качества выходного продукта ректификационной колонны в условиях малой обучающей выборки // Известия Санкт-Петербургского государственного технологического института (технического университета). — 2019. — № 48 (74). — С. 36–41.</x:t>
  </x:si>
  <x:si>
    <x:t xml:space="preserve">Самотылова С. А. | Торгашов А. Ю.</x:t>
  </x:si>
  <x:si>
    <x:t xml:space="preserve">Алгоритм построения виртуального анализатора показателя качества выходного продукта ректификационной колонны в условиях малой обучающей выборки</x:t>
  </x:si>
  <x:si>
    <x:t xml:space="preserve">Известия Санкт-Петербургского государственного технологического института (технического университета)</x:t>
  </x:si>
  <x:si>
    <x:t xml:space="preserve">48 (74)</x:t>
  </x:si>
  <x:si>
    <x:t xml:space="preserve">36–41</x:t>
  </x:si>
  <x:si>
    <x:t xml:space="preserve">https://www.iacp.dvo.ru/resources/fileman/Uploads/dissertations/Snegirev/Snegerev_dissertation-final.pdf#page=116</x:t>
  </x:si>
  <x:si>
    <x:t xml:space="preserve">116</x:t>
  </x:si>
  <x:si>
    <x:t xml:space="preserve">Сверено с PDF: страница 116, пункт 59</x:t>
  </x:si>
  <x:si>
    <x:t xml:space="preserve">R486</x:t>
  </x:si>
  <x:si>
    <x:t xml:space="preserve">Агафонов Е.Д., Медведев А.В., Орловская Н.Ф., Синюта В.Р., Ярещенко Д.И.
Прогнозная модель процесса каталитической гидродепарафинизации в
условиях недостатка априорных сведений // Известия Тульского
государственного университета. Технические науки. – 2018. – № 9. – С. 456-
468.</x:t>
  </x:si>
  <x:si>
    <x:t xml:space="preserve">Прогнозная модель процесса каталитической гидродепарафинизации в условиях недостатка априорных сведений / Е. Д. Агафонов, А. В. Медведев, Н. Ф. Орловская, В. Р. Синюта, Д. И. Ярещенко // Известия Тульского государственного университета. Технические науки. — 2018. — № 9. — С. 456–468.</x:t>
  </x:si>
  <x:si>
    <x:t xml:space="preserve">Агафонов Е. Д. | Медведев А. В. | Орловская Н. Ф. | Синюта В. Р. | Ярещенко Д. И.</x:t>
  </x:si>
  <x:si>
    <x:t xml:space="preserve">Прогнозная модель процесса каталитической гидродепарафинизации в условиях недостатка априорных сведений</x:t>
  </x:si>
  <x:si>
    <x:t xml:space="preserve">456–468</x:t>
  </x:si>
  <x:si>
    <x:t xml:space="preserve">Сверено с PDF: страница 116, пункт 60</x:t>
  </x:si>
  <x:si>
    <x:t xml:space="preserve">R487</x:t>
  </x:si>
  <x:si>
    <x:t xml:space="preserve">Медведев А.В. Основы теории адаптивных систем: монография. // Красноярск,
Сиб. гос. аэрокосмич. ун-т – 2015. – 526 с</x:t>
  </x:si>
  <x:si>
    <x:t xml:space="preserve">Медведев А. В. Основы теории адаптивных систем : монография. — Красноярск : Сиб. гос. аэрокосмич. ун-т, 2015. — 526 с.</x:t>
  </x:si>
  <x:si>
    <x:t xml:space="preserve">Медведев А. В.</x:t>
  </x:si>
  <x:si>
    <x:t xml:space="preserve">Основы теории адаптивных систем: монография</x:t>
  </x:si>
  <x:si>
    <x:t xml:space="preserve">526</x:t>
  </x:si>
  <x:si>
    <x:t xml:space="preserve">Сиб. гос. аэрокосмич. ун-т</x:t>
  </x:si>
  <x:si>
    <x:t xml:space="preserve">Сверено с PDF: страница 116, пункт 61</x:t>
  </x:si>
  <x:si>
    <x:t xml:space="preserve">R488</x:t>
  </x:si>
  <x:si>
    <x:t xml:space="preserve">Диго Г.Б., Диго Н.Б., Торгашов А.Ю., Козлов А.В., Самотылова С.А.
Структурно-параметрическая идентификация моделей виртуальных
анализаторов технологических объектов управления на основе робастной
регрессии и информационных критериев // Автоматизация в промышленности.
– 2015. – №10. – C. 58-62.</x:t>
  </x:si>
  <x:si>
    <x:t xml:space="preserve">Структурно-параметрическая идентификация моделей виртуальных анализаторов технологических объектов управления на основе робастной регрессии и информационных критериев / Г. Б. Диго, Н. Б. Диго, А. Ю. Торгашов, А. В. Козлов, С. А. Самотылова // Автоматизация в промышленности. — 2015. — № 10. — С. 58–62.</x:t>
  </x:si>
  <x:si>
    <x:t xml:space="preserve">Диго Г. Б. | Диго Н. Б. | Торгашов А. Ю. | Козлов А. В. | Самотылова С. А.</x:t>
  </x:si>
  <x:si>
    <x:t xml:space="preserve">Структурно-параметрическая идентификация моделей виртуальных анализаторов технологических объектов управления на основе робастной регрессии и информационных критериев</x:t>
  </x:si>
  <x:si>
    <x:t xml:space="preserve">58–62</x:t>
  </x:si>
  <x:si>
    <x:t xml:space="preserve">Сверено с PDF: страница 116, пункт 63</x:t>
  </x:si>
  <x:si>
    <x:t xml:space="preserve">R489</x:t>
  </x:si>
  <x:si>
    <x:t xml:space="preserve">Дубров A.M. Компонентный анализ и эффективность в экономике: Учебное
пособие. – М.: Финансы и статистика – 2002 - 352 с.</x:t>
  </x:si>
  <x:si>
    <x:t xml:space="preserve">Дубров A. M. Компонентный анализ и эффективность в экономике : Учебное пособие. — Москва : Финансы и статистика, 2002. — 352 с.</x:t>
  </x:si>
  <x:si>
    <x:t xml:space="preserve">Дубров A. M.</x:t>
  </x:si>
  <x:si>
    <x:t xml:space="preserve">Компонентный анализ и эффективность в экономике: Учебное пособие</x:t>
  </x:si>
  <x:si>
    <x:t xml:space="preserve">Финансы и статистика</x:t>
  </x:si>
  <x:si>
    <x:t xml:space="preserve">Сверено с PDF: страница 116, пункт 64</x:t>
  </x:si>
  <x:si>
    <x:t xml:space="preserve">R490</x:t>
  </x:si>
  <x:si>
    <x:t xml:space="preserve">Можаровский И.С., Самотылова С.А., Торгашов А.Ю. Предсказательное
моделирование массообменного технологического объекта с использованием
алгоритма чередующихся условных математических ожиданий //
Математическое Моделирование. – 2020. – № 3. – C. 127-142.</x:t>
  </x:si>
  <x:si>
    <x:t xml:space="preserve">Можаровский И. С., Самотылова С. А., Торгашов А. Ю. Предсказательное моделирование массообменного технологического объекта с использованием алгоритма чередующихся условных математических ожиданий // Математическое Моделирование. — 2020. — № 3. — С. 127–142.</x:t>
  </x:si>
  <x:si>
    <x:t xml:space="preserve">Можаровский И. С. | Самотылова С. А. | Торгашов А. Ю.</x:t>
  </x:si>
  <x:si>
    <x:t xml:space="preserve">Предсказательное моделирование массообменного технологического объекта с использованием алгоритма чередующихся условных математических ожиданий</x:t>
  </x:si>
  <x:si>
    <x:t xml:space="preserve">Математическое Моделирование</x:t>
  </x:si>
  <x:si>
    <x:t xml:space="preserve">127–142</x:t>
  </x:si>
  <x:si>
    <x:t xml:space="preserve">https://www.iacp.dvo.ru/resources/fileman/Uploads/dissertations/Snegirev/Snegerev_dissertation-final.pdf#page=118</x:t>
  </x:si>
  <x:si>
    <x:t xml:space="preserve">118</x:t>
  </x:si>
  <x:si>
    <x:t xml:space="preserve">Сверено с PDF: страница 118, пункт 76</x:t>
  </x:si>
  <x:si>
    <x:t xml:space="preserve">R491</x:t>
  </x:si>
  <x:si>
    <x:t xml:space="preserve">Зейналов Э.Б., Аббасов В.М., Алиева Л.И. Нефтяные кислоты и коррозия
(обзор) // Нефтехимия. – 2009. – № 49. – C. 203-210.</x:t>
  </x:si>
  <x:si>
    <x:t xml:space="preserve">Зейналов Э. Б., Аббасов В. М., Алиева Л. И. Нефтяные кислоты и коррозия (обзор) // Нефтехимия. — 2009. — № 49. — С. 203–210.</x:t>
  </x:si>
  <x:si>
    <x:t xml:space="preserve">Зейналов Э. Б. | Аббасов В. М. | Алиева Л. И.</x:t>
  </x:si>
  <x:si>
    <x:t xml:space="preserve">Нефтяные кислоты и коррозия (обзор)</x:t>
  </x:si>
  <x:si>
    <x:t xml:space="preserve">Нефтехимия</x:t>
  </x:si>
  <x:si>
    <x:t xml:space="preserve">49</x:t>
  </x:si>
  <x:si>
    <x:t xml:space="preserve">203–210</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</x:si>
  <x:si>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 49» записан в I как в строке.
Подтверждение 28.10.2026 (внешнее, значения строки не заменены): в официальном оглавлении «Нефтехимии» (просмотрено) указано «Том 49, номер 3, 2009», статья «Нефтяные кислоты и коррозия (обзор)», Зейналов Э.Б., Аббасов В.М., Алиева Л.И., начало на с. 203 (следующая статья с. 211, т.е. 203–210 согласуется со строкой). Во входе напечатано «№ 49», то есть обозначение не совпадает с выходными данными; том 49 и номер 3 получены извне и внесены только в комментарий. Источник: https://neftekhimiya.ips.ac.ru/images/content/2009/tom_49-3-2009.pdf</x:t>
  </x:si>
  <x:si>
    <x:t xml:space="preserve">Сверено с PDF: страница 118, пункт 84</x:t>
  </x:si>
  <x:si>
    <x:t xml:space="preserve">Проверка оформления Михаилом: достаточно данных — Да. В официальном оглавлении «Нефтехимии» (просмотрено) указано «Том 49, номер 3, 2009», статья «Нефтяные кислоты и коррозия (обзор)», Зейналов Э.Б., Аббасов В.М., Алиева Л.И., начало на с. 203 (следующая статья с. 211, т.е. 203–210 согласуется со строкой). Во входе напечатано «№ 49», то есть обозначение не совпадает с выходными данными; том 49 и номер 3 получены извне и внесены только в комментарий. Источник: https://neftekhimiya.ips.ac.ru/images/content/2009/tom_49-3-2009.pdf Исходный вариант Михаила до последующего переноса: Зейналов, Э. Б. Нефтяные кислоты и коррозия (обзор) / Э. Б. Зейналов, В. М. Аббасов, Л. И. Алиева // Нефтехимия. — 2009. — № 49. — С. 203–210.</x:t>
  </x:si>
  <x:si>
    <x:t xml:space="preserve">R492</x:t>
  </x:si>
  <x:si>
    <x:t xml:space="preserve">Афанасьев В.Н., Юзбашев М.М. Анализ временных рядов и
прогнозирование // М.: Финансы и статистика, Инфра-М. – 2010. – 320 c.</x:t>
  </x:si>
  <x:si>
    <x:t xml:space="preserve">Афанасьев В. Н., Юзбашев М. М. Анализ временных рядов и прогнозирование. — Москва : Финансы и статистика, Инфра-М, 2010. — 320 с.</x:t>
  </x:si>
  <x:si>
    <x:t xml:space="preserve">Афанасьев В. Н. | Юзбашев М. М.</x:t>
  </x:si>
  <x:si>
    <x:t xml:space="preserve">Анализ временных рядов и прогнозирование</x:t>
  </x:si>
  <x:si>
    <x:t xml:space="preserve">Финансы и статистика, Инфра-М</x:t>
  </x:si>
  <x:si>
    <x:t xml:space="preserve">https://www.iacp.dvo.ru/resources/fileman/Uploads/dissertations/Snegirev/Snegerev_dissertation-final.pdf#page=121</x:t>
  </x:si>
  <x:si>
    <x:t xml:space="preserve">121</x:t>
  </x:si>
  <x:si>
    <x:t xml:space="preserve">Сверено с PDF: страница 121, пункт 107</x:t>
  </x:si>
  <x:si>
    <x:t xml:space="preserve">R493</x:t>
  </x:si>
  <x:si>
    <x:t xml:space="preserve">Лоскутов А.Ю., Котляров О.Л., Истомин И.А., Журавлев Д.И. Проблемы
нелинейной динамики. III. Локальные методы прогнозирования временных
рядов // Вестн. Моск. ун-та, сеp. Физ.-астр. – 2002. – № 6. – C. 3–21.</x:t>
  </x:si>
  <x:si>
    <x:t xml:space="preserve">Проблемы нелинейной динамики. III. Локальные методы прогнозирования временных рядов / А. Ю. Лоскутов, О. Л. Котляров, И. А. Истомин, Д. И. Журавлев // Вестн. Моск. ун-та, сеp. Физ.-астр. — 2002. — № 6. — С. 3–21.</x:t>
  </x:si>
  <x:si>
    <x:t xml:space="preserve">Лоскутов А. Ю. | Котляров О. Л. | Истомин И. А. | Журавлев Д. И.</x:t>
  </x:si>
  <x:si>
    <x:t xml:space="preserve">Проблемы нелинейной динамики. III. Локальные методы прогнозирования временных рядов</x:t>
  </x:si>
  <x:si>
    <x:t xml:space="preserve">Вестн. Моск. ун-та, сеp. Физ.-астр</x:t>
  </x:si>
  <x:si>
    <x:t xml:space="preserve">3–21</x:t>
  </x:si>
  <x:si>
    <x:t xml:space="preserve">Сверено с PDF: страница 121, пункт 108</x:t>
  </x:si>
  <x:si>
    <x:t xml:space="preserve">R494</x:t>
  </x:si>
  <x:si>
    <x:t xml:space="preserve">Бокс Дж., Дженкинс Г.М. Анализ временных рядов, прогноз и управление /
// М.: Мир. – 1974. – C. 157-160</x:t>
  </x:si>
  <x:si>
    <x:t xml:space="preserve">Бокс Дж., Дженкинс Г. М. Анализ временных рядов, прогноз и управление. — Москва : Мир, 1974. — С. 157–160.</x:t>
  </x:si>
  <x:si>
    <x:t xml:space="preserve">Бокс Дж. | Дженкинс Г. М.</x:t>
  </x:si>
  <x:si>
    <x:t xml:space="preserve">Анализ временных рядов, прогноз и управление</x:t>
  </x:si>
  <x:si>
    <x:t xml:space="preserve">157–160</x:t>
  </x:si>
  <x:si>
    <x:t xml:space="preserve">Сверено с PDF: страница 121, пункт 109</x:t>
  </x:si>
  <x:si>
    <x:t xml:space="preserve">Проверка оформления Михаилом: достаточно данных — Да. Исходный вариант Михаила до последующего переноса: Бокс, Дж. Анализ временных рядов, прогноз и управление / Дж. Бокс, Г. М. Дженкинс. — М. : Мир, 1974. — С. 157–160.</x:t>
  </x:si>
  <x:si>
    <x:t xml:space="preserve">R495</x:t>
  </x:si>
  <x:si>
    <x:t xml:space="preserve">Гончаров А.А., Диго Г.Б., Диго Н.Б., Торгашов А.Ю. Идентификация
параметров моделей динамических виртуальных анализаторов
технологических объектов управления // Автоматизация в промышленности. –
2014. - № 7. – С. 31-33.</x:t>
  </x:si>
  <x:si>
    <x:t xml:space="preserve">Идентификация параметров моделей динамических виртуальных анализаторов технологических объектов управления / А. А. Гончаров, Г. Б. Диго, Н. Б. Диго, А. Ю. Торгашов // Автоматизация в промышленности. — 2014. — № 7. — С. 31–33.</x:t>
  </x:si>
  <x:si>
    <x:t xml:space="preserve">Гончаров А. А. | Диго Г. Б. | Диго Н. Б. | Торгашов А. Ю.</x:t>
  </x:si>
  <x:si>
    <x:t xml:space="preserve">Идентификация параметров моделей динамических виртуальных анализаторов технологических объектов управления</x:t>
  </x:si>
  <x:si>
    <x:t xml:space="preserve">31–33</x:t>
  </x:si>
  <x:si>
    <x:t xml:space="preserve">https://www.iacp.dvo.ru/resources/fileman/Uploads/dissertations/Snegirev/Snegerev_dissertation-final.pdf#page=122</x:t>
  </x:si>
  <x:si>
    <x:t xml:space="preserve">122</x:t>
  </x:si>
  <x:si>
    <x:t xml:space="preserve">Сверено с PDF: страница 122, пункт 114</x:t>
  </x:si>
  <x:si>
    <x:t xml:space="preserve">Проверка оформления Михаилом: достаточно данных — Да. Исходный вариант Михаила до последующего переноса: Идентификация параметров моделей динамических виртуальных анализаторов технологических объектов управления / А. А. Гончаров, Г. Б. Диго, Н. Б. Диго [и др.] // Автоматизация в промышленности. — 2014. — № 7. — С. 31–33.</x:t>
  </x:si>
  <x:si>
    <x:t xml:space="preserve">R496</x:t>
  </x:si>
  <x:si>
    <x:t xml:space="preserve">Музыкин С.Н., Родионова Ю.М. Моделирование динамических систем.
Ярославль: Верх. Волж. кн. изд. – 1984.</x:t>
  </x:si>
  <x:si>
    <x:t xml:space="preserve">Музыкин С. Н., Родионова Ю. М. Моделирование динамических систем. — Ярославль : Верх. Волж. кн. изд., 1984.</x:t>
  </x:si>
  <x:si>
    <x:t xml:space="preserve">Музыкин С. Н. | Родионова Ю. М.</x:t>
  </x:si>
  <x:si>
    <x:t xml:space="preserve">Моделирование динамических систем</x:t>
  </x:si>
  <x:si>
    <x:t xml:space="preserve">Верх. Волж. кн. изд.</x:t>
  </x:si>
  <x:si>
    <x:t xml:space="preserve">Ярославль</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</x:si>
  <x:si>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Объём не указан. Согласованные решения от 28.10.2026: Значение страниц: [пусто]. Предложение подтверждено без дополнительного пояснения.</x:t>
  </x:si>
  <x:si>
    <x:t xml:space="preserve">Сверено с PDF: страница 122, пункт 115</x:t>
  </x:si>
  <x:si>
    <x:t xml:space="preserve">Проверка оформления Михаилом: достаточно данных — Да. Исходный вариант Михаила до последующего переноса: Музыкин, С. Н. Моделирование динамических систем / С. Н. Музыкин, Ю. М. Родионова. — Ярославль : Верх. Волж. кн. изд., 1984.</x:t>
  </x:si>
  <x:si>
    <x:t xml:space="preserve">R497</x:t>
  </x:si>
  <x:si>
    <x:t xml:space="preserve">Кривоносов В.А., Бабенков В.А. Непрерывно-дискретный наблюдатель
состояния химико-технологического процесса // Фундаментальные и
прикладные проблемы техники и технологии. – 2014. – Т. 136. – С. 128.</x:t>
  </x:si>
  <x:si>
    <x:t xml:space="preserve">Кривоносов В. А., Бабенков В. А. Непрерывно-дискретный наблюдатель состояния химико-технологического процесса // Фундаментальные и прикладные проблемы техники и технологии. — 2014. — Т. 136. — С. 128.</x:t>
  </x:si>
  <x:si>
    <x:t xml:space="preserve">Кривоносов В. А. | Бабенков В. А.</x:t>
  </x:si>
  <x:si>
    <x:t xml:space="preserve">Непрерывно-дискретный наблюдатель состояния химико-технологического процесса</x:t>
  </x:si>
  <x:si>
    <x:t xml:space="preserve">Фундаментальные и прикладные проблемы техники и технологии</x:t>
  </x:si>
  <x:si>
    <x:t xml:space="preserve">136</x:t>
  </x:si>
  <x:si>
    <x:t xml:space="preserve">Сверено с PDF: страница 122, пункт 117</x:t>
  </x:si>
  <x:si>
    <x:t xml:space="preserve">R498</x:t>
  </x:si>
  <x:si>
    <x:t xml:space="preserve">Самборская М.А., Кравцов А.В., Митянина О.Е. Формирование
математической модели и исследование множественности стационарных
состояний реакционно-ректификационного процесса // Известия Томского
политехнического университета. Инжиниринг георесурсов. – 2011. – Vol. 319.
– № 3. – C. 90-95.</x:t>
  </x:si>
  <x:si>
    <x:t xml:space="preserve">Самборская М. А., Кравцов А. В., Митянина О. Е. Формирование математической модели и исследование множественности стационарных состояний реакционно-ректификационного процесса // Известия Томского политехнического университета. Инжиниринг георесурсов. — 2011. — Т. 319. — № 3. — С. 90–95.</x:t>
  </x:si>
  <x:si>
    <x:t xml:space="preserve">Самборская М. А. | Кравцов А. В. | Митянина О. Е.</x:t>
  </x:si>
  <x:si>
    <x:t xml:space="preserve">Формирование математической модели и исследование множественности стационарных состояний реакционно-ректификационного процесса</x:t>
  </x:si>
  <x:si>
    <x:t xml:space="preserve">Известия Томского политехнического университета. Инжиниринг георесурсов</x:t>
  </x:si>
  <x:si>
    <x:t xml:space="preserve">319</x:t>
  </x:si>
  <x:si>
    <x:t xml:space="preserve">90–95</x:t>
  </x:si>
  <x:si>
    <x:t xml:space="preserve">Сверено с PDF: страница 122, пункт 118</x:t>
  </x:si>
  <x:si>
    <x:t xml:space="preserve">R499</x:t>
  </x:si>
  <x:si>
    <x:t xml:space="preserve">Ушева Н.В., Мойзес О.Е., Митянина О.Е., Кузьменко Е.А. Математическое
моделирование химико-технологических процессов: учебное пособие //
Томский политехнический университет. − Томск: Изд-во Томского
политехнического университета. – 2014 – C. 40-42.</x:t>
  </x:si>
  <x:si>
    <x:t xml:space="preserve">Математическое моделирование химико-технологических процессов : учебное пособие / Н. В. Ушева, О. Е. Мойзес, О. Е. Митянина, Е. А. Кузьменко. — Томск : Изд-во Томского политехнического университета, 2014. — С. 40–42.</x:t>
  </x:si>
  <x:si>
    <x:t xml:space="preserve">Ушева Н. В. | Мойзес О. Е. | Митянина О. Е. | Кузьменко Е. А.</x:t>
  </x:si>
  <x:si>
    <x:t xml:space="preserve">Математическое моделирование химико-технологических процессов: учебное пособие</x:t>
  </x:si>
  <x:si>
    <x:t xml:space="preserve">40–42</x:t>
  </x:si>
  <x:si>
    <x:t xml:space="preserve">Изд-во Томского политехнического университета</x:t>
  </x:si>
  <x:si>
    <x:t xml:space="preserve">Томск</x:t>
  </x:si>
  <x:si>
    <x:t xml:space="preserve">https://www.iacp.dvo.ru/resources/fileman/Uploads/dissertations/Snegirev/Snegerev_dissertation-final.pdf#page=123</x:t>
  </x:si>
  <x:si>
    <x:t xml:space="preserve">123</x:t>
  </x:si>
  <x:si>
    <x:t xml:space="preserve">Сверено с PDF: страница 123, пункт 123</x:t>
  </x:si>
  <x:si>
    <x:t xml:space="preserve">R500</x:t>
  </x:si>
  <x:si>
    <x:t xml:space="preserve">Поляк Б.Т., Щербаков П.С. Робастная устойчивость и управление // М.:
Наука – 2002.</x:t>
  </x:si>
  <x:si>
    <x:t xml:space="preserve">Поляк Б. Т., Щербаков П. С. Робастная устойчивость и управление. — Москва : Наука, 2002.</x:t>
  </x:si>
  <x:si>
    <x:t xml:space="preserve">Поляк Б. Т. | Щербаков П. С.</x:t>
  </x:si>
  <x:si>
    <x:t xml:space="preserve">Робастная устойчивость и управление</x:t>
  </x:si>
  <x:si>
    <x:t xml:space="preserve">Исходная строка из PDF; сохранены переносы и опечатки. Номер списка вынесен отдельно.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лишнее «//» перед местом издания; объём не указан. Согласованные решения от 28.10.2026: Значение страниц: [пусто]. Предложение подтверждено без дополнительного пояснения.</x:t>
  </x:si>
  <x:si>
    <x:t xml:space="preserve">Сверено с PDF: страница 123, пункт 125</x:t>
  </x:si>
  <x:si>
    <x:t xml:space="preserve">Проверка оформления Михаилом: достаточно данных — Да. Исходный вариант Михаила до последующего переноса: Поляк, Б. Т. Робастная устойчивость и управление / Б. Т. Поляк, П. С. Щербаков. — М. : Наука, 2002.</x:t>
  </x:si>
  <x:si>
    <x:t xml:space="preserve">R501</x:t>
  </x:si>
  <x:si>
    <x:t xml:space="preserve">Т.С. Мангушева. Вопросы децентрализации в сфере охраны общест-
венного порядка. Вестник Саратовской государственной юридической акаде-
мии. 2014. – № 6 (101) – С. 96-101.</x:t>
  </x:si>
  <x:si>
    <x:t xml:space="preserve">Мангушева Т. С. Вопросы децентрализации в сфере охраны общественного порядка // Вестник Саратовской государственной юридической академии. — 2014. — № 6 (101). — С. 96–101.</x:t>
  </x:si>
  <x:si>
    <x:t xml:space="preserve">Мангушева Т. С.</x:t>
  </x:si>
  <x:si>
    <x:t xml:space="preserve">Вопросы децентрализации в сфере охраны общественного порядка</x:t>
  </x:si>
  <x:si>
    <x:t xml:space="preserve">96–101</x:t>
  </x:si>
  <x:si>
    <x:t xml:space="preserve">https://elib.sfu-kras.ru/bitstream/handle/2311/68013/puzevich_a.v._pe13-07.pdf?isAllowed=y&amp;sequence=1#page=91</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</x:si>
  <x:si>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инициалы стоят перед фамилией; в поле приведены к виду «Фамилия И.О.».</x:t>
  </x:si>
  <x:si>
    <x:t xml:space="preserve">Сверено с PDF: страница 91, пункт 46</x:t>
  </x:si>
  <x:si>
    <x:t xml:space="preserve">Входного URL нет</x:t>
  </x:si>
  <x:si>
    <x:t xml:space="preserve">Проверка оформления Михаилом: достаточно данных — Да. Исходный вариант Михаила до последующего переноса: Мангушева, Т. С. Вопросы децентрализации в сфере охраны общественного порядка // Вестник Саратовской государственной юридической академии. — 2014. — № 6 (101). — С. 96–101.</x:t>
  </x:si>
  <x:si>
    <x:t xml:space="preserve">R502</x:t>
  </x:si>
  <x:si>
    <x:t xml:space="preserve">Приказ Министерства связи и массовых коммуникаций РФ от 24 де-
кабря 2015 года № 584 «Об утверждении временного порядка работы пилотной
версии единой информационной системы управления кадровым составом госу-
дарственной гражданской службы РФ на период ее опытной эксплуатации»//
Собрание законодательства Российской Федерации. – 2015. – № 26. ст. 3896.</x:t>
  </x:si>
  <x:si>
    <x:t xml:space="preserve">Приказ Министерства связи и массовых коммуникаций РФ от 24 декабря 2015 года № 584 «Об утверждении временного порядка работы пилотной версии единой информационной системы управления кадровым составом государственной гражданской службы РФ на период ее опытной эксплуатации» // Собрание законодательства Российской Федерации. — 2015. — № 26. — Ст. 3896.</x:t>
  </x:si>
  <x:si>
    <x:t xml:space="preserve">Приказ Министерства связи и массовых коммуникаций РФ от 24 декабря 2015 года № 584 «Об утверждении временного порядка работы пилотной версии единой информационной системы управления кадровым составом государственной гражданской службы РФ на период ее опытной эксплуатации»</x:t>
  </x:si>
  <x:si>
    <x:t xml:space="preserve">Собрание законодательства Российской Федерации</x:t>
  </x:si>
  <x:si>
    <x:t xml:space="preserve">3896</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</x:si>
  <x:si>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3896 — номер статьи нормативного издания, не страница; дата приказа сохранена в заглавии.</x:t>
  </x:si>
  <x:si>
    <x:t xml:space="preserve">Сверено с PDF: страница 91, пункт 51</x:t>
  </x:si>
  <x:si>
    <x:t xml:space="preserve">R503</x:t>
  </x:si>
  <x:si>
    <x:t xml:space="preserve">Макаров, А.А. Административно-правовое регулирование противо-
действия коррупции в полиции зарубежных стран / А.А. Макаров, В.М. Чупров
// Административное и муниципальное право. – 2010. – № 3. – С. 79–85.</x:t>
  </x:si>
  <x:si>
    <x:t xml:space="preserve">Макаров А. А., Чупров В. М. Административно-правовое регулирование противодействия коррупции в полиции зарубежных стран // Административное и муниципальное право. — 2010. — № 3. — С. 79–85.</x:t>
  </x:si>
  <x:si>
    <x:t xml:space="preserve">Макаров А. А. | Чупров В. М.</x:t>
  </x:si>
  <x:si>
    <x:t xml:space="preserve">Административно-правовое регулирование противодействия коррупции в полиции зарубежных стран</x:t>
  </x:si>
  <x:si>
    <x:t xml:space="preserve">Административное и муниципальное право</x:t>
  </x:si>
  <x:si>
    <x:t xml:space="preserve">79–85</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</x:si>
  <x:si>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x:t>
  </x:si>
  <x:si>
    <x:t xml:space="preserve">Сверено с PDF: страница 91, пункт 56</x:t>
  </x:si>
  <x:si>
    <x:t xml:space="preserve">Проверка оформления Михаилом: достаточно данных — Да. Исходный вариант Михаила до последующего переноса: Макаров, А. А. Административно-правовое регулирование противодействия коррупции в полиции зарубежных стран / А. А. Макаров, В. М. Чупров // Административное и муниципальное право. — 2010. — № 3. — С. 79–85.</x:t>
  </x:si>
  <x:si>
    <x:t xml:space="preserve">R504</x:t>
  </x:si>
  <x:si>
    <x:t xml:space="preserve">Сарксян, Л.Д. Методы и механизмы борьбы с коррупцией на примере
РФ и Грузии. Сравнительный анализ// Экономика, управление и право в совре-
менных условиях: межвузовский сборник статей / Под общ. ред. В.Б. Тасеева.
Выпуск 4 (25). – Самара: Институт анализа экономики города и региона, 2014. –
С. 94-102.</x:t>
  </x:si>
  <x:si>
    <x:t xml:space="preserve">Сарксян Л. Д. Методы и механизмы борьбы с коррупцией на примере РФ и Грузии. Сравнительный анализ // Экономика, управление и право в современных условиях: межвузовский сборник статей / под общ. ред. В. Б. Тасеева. — Самара : Институт анализа экономики города и региона, 2014. — Вып. 4 (25). — С. 94–102.</x:t>
  </x:si>
  <x:si>
    <x:t xml:space="preserve">Сарксян Л. Д.</x:t>
  </x:si>
  <x:si>
    <x:t xml:space="preserve">Методы и механизмы борьбы с коррупцией на примере РФ и Грузии. Сравнительный анализ</x:t>
  </x:si>
  <x:si>
    <x:t xml:space="preserve">Экономика, управление и право в современных условиях: межвузовский сборник статей</x:t>
  </x:si>
  <x:si>
    <x:t xml:space="preserve">4 (25)</x:t>
  </x:si>
  <x:si>
    <x:t xml:space="preserve">94–102</x:t>
  </x:si>
  <x:si>
    <x:t xml:space="preserve">Институт анализа экономики города и региона</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</x:si>
  <x:si>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Под общ. ред. В.Б. Тасеева — редактор, не автор.</x:t>
  </x:si>
  <x:si>
    <x:t xml:space="preserve">91, 92</x:t>
  </x:si>
  <x:si>
    <x:t xml:space="preserve">Сверено с PDF: страница 91, 92, пункт 58</x:t>
  </x:si>
  <x:si>
    <x:t xml:space="preserve">Проверка оформления Михаилом: достаточно данных — Да. Исходный вариант Михаила до последующего переноса: Сарксян, Л. Д. Методы и механизмы борьбы с коррупцией на примере РФ и Грузии. Сравнительный анализ // Экономика, управление и право в современных условиях : межвузовский сборник статей / под общ. ред. В. Б. Тасеева. — Самара : Институт анализа экономики города и региона, 2014. — Вып. 4 (25). — С. 94–102.</x:t>
  </x:si>
  <x:si>
    <x:t xml:space="preserve">R505</x:t>
  </x:si>
  <x:si>
    <x:t xml:space="preserve">Япиева Д.Ф. Программа подготовки кадров для государственной
службы. // Научно-политический журнал «Государственная служба». – 2011. –
№1. – С. 48–49.</x:t>
  </x:si>
  <x:si>
    <x:t xml:space="preserve">Япиева Д. Ф. Программа подготовки кадров для государственной службы // Научно-политический журнал «Государственная служба». — 2011. — № 1. — С. 48–49.</x:t>
  </x:si>
  <x:si>
    <x:t xml:space="preserve">Япиева Д. Ф.</x:t>
  </x:si>
  <x:si>
    <x:t xml:space="preserve">Программа подготовки кадров для государственной службы</x:t>
  </x:si>
  <x:si>
    <x:t xml:space="preserve">Научно-политический журнал «Государственная служба»</x:t>
  </x:si>
  <x:si>
    <x:t xml:space="preserve">48–49</x:t>
  </x:si>
  <x:si>
    <x:t xml:space="preserve">https://elib.sfu-kras.ru/bitstream/handle/2311/68013/puzevich_a.v._pe13-07.pdf?isAllowed=y&amp;sequence=1#page=92</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</x:si>
  <x:si>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Пункт 65 в PDF начинается внутри абзаца после пункта 64; граница восстановлена по печатной нумерации, отдельная ссылка не выдумана.</x:t>
  </x:si>
  <x:si>
    <x:t xml:space="preserve">92</x:t>
  </x:si>
  <x:si>
    <x:t xml:space="preserve">Сверено с PDF: страница 92, пункт 65</x:t>
  </x:si>
  <x:si>
    <x:t xml:space="preserve">R506</x:t>
  </x:si>
  <x:si>
    <x:t xml:space="preserve">Правдин, А.А. Зарубежный опыт профессиональной подготовки
государственных и муниципальных служащих// Вестник экспертного совета. –
2016. – №2 (5). – С. 91–94.</x:t>
  </x:si>
  <x:si>
    <x:t xml:space="preserve">Правдин А. А. Зарубежный опыт профессиональной подготовки государственных и муниципальных служащих // Вестник экспертного совета. — 2016. — № 2 (5). — С. 91–94.</x:t>
  </x:si>
  <x:si>
    <x:t xml:space="preserve">Правдин А. А.</x:t>
  </x:si>
  <x:si>
    <x:t xml:space="preserve">Зарубежный опыт профессиональной подготовки государственных и муниципальных служащих</x:t>
  </x:si>
  <x:si>
    <x:t xml:space="preserve">Вестник экспертного совета</x:t>
  </x:si>
  <x:si>
    <x:t xml:space="preserve">2 (5)</x:t>
  </x:si>
  <x:si>
    <x:t xml:space="preserve">91–94</x:t>
  </x:si>
  <x:si>
    <x:t xml:space="preserve">Сверено с PDF: страница 92, пункт 68</x:t>
  </x:si>
  <x:si>
    <x:t xml:space="preserve">Проверка оформления Михаилом: достаточно данных — Да. Исходный вариант Михаила до последующего переноса: Правдин, А. А. Зарубежный опыт профессиональной подготовки государственных и муниципальных служащих // Вестник экспертного совета. — 2016. — № 2 (5). — С. 91–94.</x:t>
  </x:si>
  <x:si>
    <x:t xml:space="preserve">R507</x:t>
  </x:si>
  <x:si>
    <x:t xml:space="preserve">Журавлев, Д.М. Эффективное электронное правительство в системе
управления крупного города// Теория и практика общественного развития. –
2015. – № 20. – С. 174–176.</x:t>
  </x:si>
  <x:si>
    <x:t xml:space="preserve">Журавлев Д. М. Эффективное электронное правительство в системе управления крупного города // Теория и практика общественного развития. — 2015. — № 20. — С. 174–176.</x:t>
  </x:si>
  <x:si>
    <x:t xml:space="preserve">Журавлев Д. М.</x:t>
  </x:si>
  <x:si>
    <x:t xml:space="preserve">Эффективное электронное правительство в системе управления крупного города</x:t>
  </x:si>
  <x:si>
    <x:t xml:space="preserve">Теория и практика общественного развития</x:t>
  </x:si>
  <x:si>
    <x:t xml:space="preserve">174–176</x:t>
  </x:si>
  <x:si>
    <x:t xml:space="preserve">https://elib.sfu-kras.ru/bitstream/handle/2311/68013/puzevich_a.v._pe13-07.pdf?isAllowed=y&amp;sequence=1#page=93</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</x:si>
  <x:si>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Страницы 174–176 в № 20 совпадают с R509 (другая статья): возможна ошибка в источнике.</x:t>
  </x:si>
  <x:si>
    <x:t xml:space="preserve">93</x:t>
  </x:si>
  <x:si>
    <x:t xml:space="preserve">Сверено с PDF: страница 93, пункт 72</x:t>
  </x:si>
  <x:si>
    <x:t xml:space="preserve">Проверка оформления Михаилом: достаточно данных — Да. Страницы 174–176 в № 20 совпадают с другим пунктом (возможна ошибка в источнике). Исходный вариант Михаила до последующего переноса: Журавлев, Д. М. Эффективное электронное правительство в системе управления крупного города // Теория и практика общественного развития. — 2015. — № 20. — С. 174–176.</x:t>
  </x:si>
  <x:si>
    <x:t xml:space="preserve">R508</x:t>
  </x:si>
  <x:si>
    <x:t xml:space="preserve">Лявданский, К.Э. Электронное правительство как новая форма пуб-
личной коммуникации // Научно-технические вдомости Санкт-Петербургского
государственного политехнического университета. Гуманитарные и общест-
венные науки. – 2012. – № 3 (155). – С. 21–25.</x:t>
  </x:si>
  <x:si>
    <x:t xml:space="preserve">Лявданский К. Э. Электронное правительство как новая форма публичной коммуникации // Научно-технические вдомости Санкт-Петербургского государственного политехнического университета. Гуманитарные и общественные науки. — 2012. — № 3 (155). — С. 21–25.</x:t>
  </x:si>
  <x:si>
    <x:t xml:space="preserve">Лявданский К. Э.</x:t>
  </x:si>
  <x:si>
    <x:t xml:space="preserve">Электронное правительство как новая форма публичной коммуникации</x:t>
  </x:si>
  <x:si>
    <x:t xml:space="preserve">Научно-технические вдомости Санкт-Петербургского государственного политехнического университета. Гуманитарные и общественные науки</x:t>
  </x:si>
  <x:si>
    <x:t xml:space="preserve">3 (155)</x:t>
  </x:si>
  <x:si>
    <x:t xml:space="preserve">21–25</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</x:si>
  <x:si>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В названии журнала в источнике опечатка «вдомости»; она не подменена во входном эталоне словом «ведомости».</x:t>
  </x:si>
  <x:si>
    <x:t xml:space="preserve">Сверено с PDF: страница 93, пункт 73</x:t>
  </x:si>
  <x:si>
    <x:t xml:space="preserve">R509</x:t>
  </x:si>
  <x:si>
    <x:t xml:space="preserve">Афанасьева, А. С. Возможности электронного правительства в Синга-
пуре// Теория и практика общественного развития. – 2015. – № 20. – С. 174–176.</x:t>
  </x:si>
  <x:si>
    <x:t xml:space="preserve">Афанасьева А. С. Возможности электронного правительства в Сингапуре // Теория и практика общественного развития. — 2015. — № 20. — С. 174–176.</x:t>
  </x:si>
  <x:si>
    <x:t xml:space="preserve">Афанасьева А. С.</x:t>
  </x:si>
  <x:si>
    <x:t xml:space="preserve">Возможности электронного правительства в Сингапуре</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</x:si>
  <x:si>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Страницы 174–176 в № 20 совпадают с R507 (другая статья): возможна ошибка в источнике.</x:t>
  </x:si>
  <x:si>
    <x:t xml:space="preserve">Сверено с PDF: страница 93, пункт 74</x:t>
  </x:si>
  <x:si>
    <x:t xml:space="preserve">Проверка оформления Михаилом: достаточно данных — Да. Страницы 174–176 в № 20 совпадают с другим пунктом (возможна ошибка в источнике). Исходный вариант Михаила до последующего переноса: Афанасьева, А. С. Возможности электронного правительства в Сингапуре // Теория и практика общественного развития. — 2015. — № 20. — С. 174–176.</x:t>
  </x:si>
  <x:si>
    <x:t xml:space="preserve">R510</x:t>
  </x:si>
  <x:si>
    <x:t xml:space="preserve">Сединкин, М.А. Возможности применения зарубежного опыта
формирования электронного правительства в России// Вестник Адыгейского
государственного университета. – 2013. – №3. С. 349–360.</x:t>
  </x:si>
  <x:si>
    <x:t xml:space="preserve">Сединкин М. А. Возможности применения зарубежного опыта формирования электронного правительства в России // Вестник Адыгейского государственного университета. — 2013. — № 3. — С. 349–360.</x:t>
  </x:si>
  <x:si>
    <x:t xml:space="preserve">Сединкин М. А.</x:t>
  </x:si>
  <x:si>
    <x:t xml:space="preserve">Возможности применения зарубежного опыта формирования электронного правительства в России</x:t>
  </x:si>
  <x:si>
    <x:t xml:space="preserve">Вестник Адыгейского государственного университета</x:t>
  </x:si>
  <x:si>
    <x:t xml:space="preserve">349–360</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</x:si>
  <x:si>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x:t>
  </x:si>
  <x:si>
    <x:t xml:space="preserve">Сверено с PDF: страница 93, пункт 76</x:t>
  </x:si>
  <x:si>
    <x:t xml:space="preserve">R511</x:t>
  </x:si>
  <x:si>
    <x:t xml:space="preserve">Новокрещёнов, А. В. Государственная кадровая политика: учеб.
пособие / А. В. Новокрещёнов// СибАГС.– Новосибирск: изд-во СИУ
РАНХиГС, 2014. – 226 с.</x:t>
  </x:si>
  <x:si>
    <x:t xml:space="preserve">Новокрещёнов А. В. Государственная кадровая политика : учеб. пособие / СибАГС. — Новосибирск : изд-во СИУ РАНХиГС, 2014. — 226 с.</x:t>
  </x:si>
  <x:si>
    <x:t xml:space="preserve">Новокрещёнов А. В.</x:t>
  </x:si>
  <x:si>
    <x:t xml:space="preserve">Государственная кадровая политика: учеб. пособие</x:t>
  </x:si>
  <x:si>
    <x:t xml:space="preserve">226</x:t>
  </x:si>
  <x:si>
    <x:t xml:space="preserve">изд-во СИУ РАНХиГС</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</x:si>
  <x:si>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Перед местом издания стоит «СибАГС» с неясной ролью; издателем назначено только «изд-во СИУ РАНХиГС».</x:t>
  </x:si>
  <x:si>
    <x:t xml:space="preserve">СибАГС</x:t>
  </x:si>
  <x:si>
    <x:t xml:space="preserve">Сверено с PDF: страница 93, пункт 79</x:t>
  </x:si>
  <x:si>
    <x:t xml:space="preserve">Проверка оформления Михаилом: достаточно данных — Да. Исходный вариант Михаила до последующего переноса: Новокрещёнов, А. В. Государственная кадровая политика : учеб. пособие. — Новосибирск : изд-во СИУ РАНХиГС, 2014. — 226 с.</x:t>
  </x:si>
  <x:si>
    <x:t xml:space="preserve">R512</x:t>
  </x:si>
  <x:si>
    <x:t xml:space="preserve">Рой, О. М. Трансформация системы подготовки кадров
государственного и муниципального управления в условиях административной
реформы [Текст] /О. М. Рой. //Вопросы государственного и муниципального
управления. − 2009. − № 1. С. 151–156.</x:t>
  </x:si>
  <x:si>
    <x:t xml:space="preserve">Рой О. М. Трансформация системы подготовки кадров государственного и муниципального управления в условиях административной реформы // Вопросы государственного и муниципального управления. — 2009. — № 1. — С. 151–156.</x:t>
  </x:si>
  <x:si>
    <x:t xml:space="preserve">Трансформация системы подготовки кадров государственного и муниципального управления в условиях административной реформы</x:t>
  </x:si>
  <x:si>
    <x:t xml:space="preserve">Вопросы государственного и муниципального управления</x:t>
  </x:si>
  <x:si>
    <x:t xml:space="preserve">151–156</x:t>
  </x:si>
  <x:si>
    <x:t xml:space="preserve">Сверено с PDF: страница 93, пункт 80</x:t>
  </x:si>
  <x:si>
    <x:t xml:space="preserve">Проверка оформления Михаилом: достаточно данных — Да. Исходный вариант Михаила до последующего переноса: Рой, О. М. Трансформация системы подготовки кадров государственного и муниципального управления в условиях административной реформы // Вопросы государственного и муниципального управления. — 2009. — № 1. — С. 151–156.</x:t>
  </x:si>
  <x:si>
    <x:t xml:space="preserve">R513</x:t>
  </x:si>
  <x:si>
    <x:t xml:space="preserve">Программирование в Delphi: процедурное, объектно-
ориентированное, визуальное: Учебное пособие для вузов / В.В. Белов, В.И.
Чистякова. - 2-e изд., стер. - М.: Гор. линия-Телеком. – 2015. – 240 с.</x:t>
  </x:si>
  <x:si>
    <x:t xml:space="preserve">Белов В. В., Чистякова В. И. Программирование в Delphi : процедурное, объектно-ориентированное, визуальное : Учебное пособие для вузов. — 2-е изд., стер. — Москва : Гор. линия-Телеком, 2015. — 240 с.</x:t>
  </x:si>
  <x:si>
    <x:t xml:space="preserve">Белов В. В. | Чистякова В. И.</x:t>
  </x:si>
  <x:si>
    <x:t xml:space="preserve">Программирование в Delphi: процедурное, объектно-ориентированное, визуальное: Учебное пособие для вузов</x:t>
  </x:si>
  <x:si>
    <x:t xml:space="preserve">240</x:t>
  </x:si>
  <x:si>
    <x:t xml:space="preserve">Гор. линия-Телеком</x:t>
  </x:si>
  <x:si>
    <x:t xml:space="preserve">2-e изд., стер.</x:t>
  </x:si>
  <x:si>
    <x:t xml:space="preserve">https://elib.sfu-kras.ru/bitstream/handle/2311/68013/puzevich_a.v._pe13-07.pdf?isAllowed=y&amp;sequence=1#page=96</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</x:si>
  <x:si>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«2-e» написано латинской «e»; в N сохранено как в строке. Согласованные решения от 28.10.2026: Сведения об издании: 2-e изд., стер.. Согласен для буквального извлечения: в исходнике латинская e. Нормализованное «2-е изд., стер.» из предыдущего файла является отдельным представлением.</x:t>
  </x:si>
  <x:si>
    <x:t xml:space="preserve">Сверено с PDF: страница 96, пункт 111</x:t>
  </x:si>
  <x:si>
    <x:t xml:space="preserve">Проверка оформления Михаилом: достаточно данных — Да. Исходный вариант Михаила до последующего переноса: Белов, В. В. Программирование в Delphi: процедурное, объектно-ориентированное, визуальное : учебное пособие для вузов / В. В. Белов, В. И. Чистякова. — 2-е изд., стер. — М. : Гор. линия-Телеком, 2015. — 240 с.</x:t>
  </x:si>
  <x:si>
    <x:t xml:space="preserve">R514</x:t>
  </x:si>
  <x:si>
    <x:t xml:space="preserve">Возможные пути ресурсосбережения на производстве/ В.А. Сучилин
[и др.]; Евразийское научное объединение том 1. – № 2 (2) – 2015. – С. 66–69.</x:t>
  </x:si>
  <x:si>
    <x:t xml:space="preserve">Возможные пути ресурсосбережения на производстве / В. А. Сучилин [и др.] // Евразийское научное объединение. — 2015. — Т. 1. — № 2 (2). — С. 66–69.</x:t>
  </x:si>
  <x:si>
    <x:t xml:space="preserve">Сучилин В. А. | [и др.]</x:t>
  </x:si>
  <x:si>
    <x:t xml:space="preserve">Возможные пути ресурсосбережения на производстве</x:t>
  </x:si>
  <x:si>
    <x:t xml:space="preserve">Евразийское научное объединение</x:t>
  </x:si>
  <x:si>
    <x:t xml:space="preserve">66–69</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</x:si>
  <x:si>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Человеческая проверка: Михаил Саяпин, 28.10.2026. Неоднозначные поля: Содержащее издание; Вид документа. Согласие до обсуждения по всей выборке: 855/880 = 97,16%; совместно пустые и неопределённые пары исключены. Первичный комментарий проверяющего: После «;» указано «Евразийское научное объединение том 1»: неясно, название ли это журнала/сборника или организация; вид документа определить нельзя. Том 1 и № 2 (2) записаны как в строке.
Внешняя проверка 28.10.2026 (по отчёту подтверждений, не мной): реестр ISSN подтверждает название «Евразийское научное объединение», ISSN 2411-1899; каталог РУДН указывает тип «Журнал», в реестре ISSN есть вариант заглавия «Сборник научных статей…». Конкретная статья Сучилина и том 1, № 2 (2), 2015 по первичному выпуску не подтверждены; обозначения оставлены как во входе. Вид документа и содержащее издание остаются неоднозначными. Источники: https://portal.issn.org/resource/ISSN/2411-1899 ; https://repository.rudn.ru/ru/record-sources/record-source/2378/ Согласованные решения от 28.10.2026: Вид документа: Неопределено. Согласен сохранить неопределённый вид документа; том 1 и № 2 (2) извлекаются без подтверждения жанра. | Содержащее издание: Евразийское научное объединение. Согласен принять наименование только как предполагаемое содержащее издание. Флаг неоднозначности сохраняется; в предыдущем файле поле было пустым.</x:t>
  </x:si>
  <x:si>
    <x:t xml:space="preserve">Сверено с PDF: страница 96, пункт 117</x:t>
  </x:si>
  <x:si>
    <x:t xml:space="preserve">Проверка оформления Михаилом: достаточно данных — Неоднозначно. Тип издания (журнал/сборник) и обозначение тома/выпуска неоднозначны. Вид и состав издания не определены; ссылка составлена по данным строки.
Внешняя проверка 28.10.2026 (по отчёту подтверждений, не мной): реестр ISSN подтверждает название «Евразийское научное объединение», ISSN 2411-1899; каталог РУДН указывает тип «Журнал», в реестре ISSN есть вариант заглавия «Сборник научных статей…». Конкретная статья Сучилина и том 1, № 2 (2), 2015 по первичному выпуску не подтверждены; обозначения оставлены как во входе. Вид документа и содержащее издание остаются неоднозначными. Источники: https://portal.issn.org/resource/ISSN/2411-1899 ; https://repository.rudn.ru/ru/record-sources/record-source/2378/ Исходный вариант Михаила до последующего переноса: Возможные пути ресурсосбережения на производстве / В. А. Сучилин [и др.]; Евразийское научное объединение, том 1. — 2015. — № 2 (2). — С. 66–69.</x:t>
  </x:si>
  <x:si>
    <x:t xml:space="preserve">R515</x:t>
  </x:si>
  <x:si>
    <x:t xml:space="preserve">Снегирев О.Ю., Торгашов А.Ю. Наблюдаемость непрерывного
технологического процесса многокомпонентной ректификации // Информатика
и системы управления. – 2018. – №2(56). – C. 62-72.</x:t>
  </x:si>
  <x:si>
    <x:t xml:space="preserve">Снегирев О. Ю., Торгашов А. Ю. Наблюдаемость непрерывного технологического процесса многокомпонентной ректификации // Информатика и системы управления. — 2018. — № 2(56). — С. 62–72.</x:t>
  </x:si>
  <x:si>
    <x:t xml:space="preserve">Наблюдаемость непрерывного технологического процесса многокомпонентной ректификации</x:t>
  </x:si>
  <x:si>
    <x:t xml:space="preserve">Информатика и системы управления</x:t>
  </x:si>
  <x:si>
    <x:t xml:space="preserve">2(56)</x:t>
  </x:si>
  <x:si>
    <x:t xml:space="preserve">62–72</x:t>
  </x:si>
  <x:si>
    <x:t xml:space="preserve">Сверено с PDF: страница 123, пункт 126</x:t>
  </x:si>
  <x:si>
    <x:t xml:space="preserve">Проверка оформления Михаилом: достаточно данных — Да. Исходный вариант Михаила до последующего переноса: Снегирев, О. Ю. Наблюдаемость непрерывного технологического процесса многокомпонентной ректификации / О. Ю. Снегирев, А. Ю. Торгашов // Информатика и системы управления. — 2018. — № 2(56). — С. 62–72.</x:t>
  </x:si>
  <x:si>
    <x:t xml:space="preserve">R516</x:t>
  </x:si>
  <x:si>
    <x:t xml:space="preserve">Булыга Ф.С., Курейчик В.М. Кластеризация корпуса текстовых документов
при помощи алгоритма k-means // Известия высших учебных заведений.
Северо-Кавказский регион. Технические науки. – 2022. – № 3 (215). – P. 33-40.</x:t>
  </x:si>
  <x:si>
    <x:t xml:space="preserve">Булыга Ф. С., Курейчик В. М. Кластеризация корпуса текстовых документов при помощи алгоритма k-means // Известия высших учебных заведений. Северо-Кавказский регион. Технические науки. — 2022. — № 3 (215). — С. 33–40.</x:t>
  </x:si>
  <x:si>
    <x:t xml:space="preserve">Булыга Ф. С. | Курейчик В. М.</x:t>
  </x:si>
  <x:si>
    <x:t xml:space="preserve">Кластеризация корпуса текстовых документов при помощи алгоритма k-means</x:t>
  </x:si>
  <x:si>
    <x:t xml:space="preserve">Известия высших учебных заведений. Северо-Кавказский регион. Технические науки</x:t>
  </x:si>
  <x:si>
    <x:t xml:space="preserve">3 (215)</x:t>
  </x:si>
  <x:si>
    <x:t xml:space="preserve">33–40</x:t>
  </x:si>
  <x:si>
    <x:t xml:space="preserve">Реальная строка опубликованного списка; переносы и опечатки сохранены во входе. Поля нормализованы отдельно. Независимой человеческой сверки не было.
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страницы обозначены латинской «P.».</x:t>
  </x:si>
  <x:si>
    <x:t xml:space="preserve">Сверено с PDF: страница 123, пункт 131</x:t>
  </x:si>
  <x:si>
    <x:t xml:space="preserve">Проверка оформления Михаилом: достаточно данных — Да. Исходный вариант Михаила до последующего переноса: Булыга, Ф. С. Кластеризация корпуса текстовых документов при помощи алгоритма k-means / Ф. С. Булыга, В. М. Курейчик // Известия высших учебных заведений. Северо-Кавказский регион. Технические науки. — 2022. — № 3 (215). — С. 33–40.</x:t>
  </x:si>
  <x:si>
    <x:t xml:space="preserve">Тип списка</x:t>
  </x:si>
  <x:si>
    <x:t xml:space="preserve">Источник</x:t>
  </x:si>
  <x:si>
    <x:t xml:space="preserve">Пункт</x:t>
  </x:si>
  <x:si>
    <x:t xml:space="preserve">Проверка исходной строки</x:t>
  </x:si>
  <x:si>
    <x:t xml:space="preserve">Проверка полей</x:t>
  </x:si>
  <x:si>
    <x:t xml:space="preserve">Профиль</x:t>
  </x:si>
  <x:si>
    <x:t xml:space="preserve">Основание профиля</x:t>
  </x:si>
  <x:si>
    <x:t xml:space="preserve">Проверка оформления</x:t>
  </x:si>
  <x:si>
    <x:t xml:space="preserve">Замечания и исправления</x:t>
  </x:si>
  <x:si>
    <x:t xml:space="preserve">Кто / способ проверки</x:t>
  </x:si>
  <x:si>
    <x:t xml:space="preserve">Дата</x:t>
  </x:si>
  <x:si>
    <x:t xml:space="preserve">Ограничение</x:t>
  </x:si>
  <x:si>
    <x:t xml:space="preserve">Проверено Михаилом; решения согласованы. Неоднозначные поля: нет.</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</x:si>
  <x:si>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x:t>
  </x:si>
  <x:si>
    <x:t xml:space="preserve">Михаил Саяпин — второй разметчик; согласование с автором исследования</x:t>
  </x:si>
  <x:si>
    <x:t xml:space="preserve">Проверка 100 строк, не аттестация всех 500; не библиотечная экспертиза ГОСТ.</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</x:si>
  <x:si>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Страницы 174–176 в № 20 совпадают с R507 (другая статья): возможна ошибка в источнике.</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</x:si>
  <x:si>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DOI дан как URL: полный адрес в P, идентификатор в R.</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</x:si>
  <x:si>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Нет места и издателя сборника.</x:t>
  </x:si>
  <x:si>
    <x:t xml:space="preserve">Проверено Михаилом; решения согласованы. Неоднозначные поля: Номер или выпуск.</x:t>
  </x:si>
  <x:si>
    <x:t xml:space="preserve">Человеческая проверка: Михаил Саяпин, 28.10.2026. Неоднозначные поля: Номер или выпуск. Согласие до обсуждения по всей выборке: 855/880 = 97,16%; совместно пустые и неопределённые пары исключены. Первичный комментарий проверяющего: Нет даты и номера закона; «№ 14-3514» — вероятно номер выпуска издания, но это не подтверждено строкой. Согласованные решения от 28.10.2026: Значение страниц: [пусто]. Предложение подтверждено без дополнительного пояснения. | Номер или выпуск: 14-3514. Согласен сохранить 14-3514 как в строке. Роль числа не установлена; неоднозначность номера сохраняется.</x:t>
  </x:si>
  <x:si>
    <x:t xml:space="preserve">Сохраняется неопределённость: Номер или выпуск. Оформление требует уточнения/подтверждения. Проверка 100 строк, не аттестация всех 500; не библиотечная экспертиза ГОСТ.</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</x:si>
  <x:si>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«Учебник» — общее обозначение материала, в заглавие не включено.</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</x:si>
  <x:si>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«Вып. 11. Ч. 3»: часть 3 в поле выпуска не вынесена. Отв. редактор Герасимов В.И. — не автор. Согласованные решения от 28.10.2026: Вид документа: Материал сборника. Согласен классифицировать как материал сборника в рамках принятой схемы. Часть 3 сохраняется отдельно в комментарии, не подменяет том. | Издатель: Институт научной информации по общественным наукам РАН. Предложение подтверждено без дополнительного пояснения. | Место издания: Москва. Предложение подтверждено без дополнительного пояснения. | Содержащее издание: Россия: тенденции и перспективы развития : ежегодник. Предложение подтверждено без дополнительного пояснения. Сохранённая часть из исходной строки: Ч. 3. Ответственный редактор Герасимов В. И. не является автором данной статьи.</x:t>
  </x:si>
  <x:si>
    <x:t xml:space="preserve">Проверено Михаилом; решения согласованы. Неоднозначные поля: Издатель.</x:t>
  </x:si>
  <x:si>
    <x:t xml:space="preserve">Человеческая проверка: Михаил Саяпин, 28.10.2026. Неоднозначные поля: Издатель. Согласие до обсуждения по всей выборке: 855/880 = 97,16%; совместно пустые и неопределённые пары исключены. Первичный комментарий проверяющего: «СИБГАУ, Красноярск» без разделителя: роль СИБГАУ (издатель или иная) неясна, издатель не назначен. «Учебное пособие «Менеджмент»» оставлено в заглавии.
Внешняя проверка 28.10.2026 (по отчёту подтверждений, не мной): титульный лист или надёжная карточка издания 2008 г. (125 с.) не найдены; другие библиографии дают иные объём и год (148 с.; издание 2010 г.), к записи они не отнесены и реквизиты не заполняли. Роль СибГАУ как издателя не подтверждена, поле «Издатель» оставлено пустым и отмечено как неоднозначное. Согласованные решения от 28.10.2026: Издатель: [пусто]. Согласен: издатель не установлен, поле пустое, неоднозначность сохраняется. Автор Аврамчикова Н. Т. должен сохраняться отдельно. Дополнительная правка оформления после сопоставления: в варианте Михаила отсутствовал автор. Аврамчикова Н. Т. сохранена по исходной строке и его пояснению в согласовании. СИБГАУ не назначен издателем; роль организации остаётся неоднозначной. Новый вариант оформления требует финального подтверждения.</x:t>
  </x:si>
  <x:si>
    <x:t xml:space="preserve">Сохраняется неопределённость: Издатель. Оформление требует уточнения/подтверждения. Проверка 100 строк, не аттестация всех 500; не библиотечная экспертиза ГОСТ.</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</x:si>
  <x:si>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Под общ. ред. В.Б. Тасеева — редактор, не автор.</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</x:si>
  <x:si>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Заглавие в строке оборвано («…в нефтепереработке и нефтехими»); записано как есть, полное название не подставлено.
Внешняя проверка 28.10.2026 (по отчёту подтверждений, не мной): в методическом документе ТИУ та же книга приведена с полным словом «нефтехимии» и объёмом 171 с. (печатная с. 27); во входе «нефтехими» и 71 с., значения оставлены как напечатаны. Титульный лист книги не получен, подтверждение ограничено библиографическим упоминанием. Источник: https://www.tyuiu.ru/sveden/files/ziq/MU_po_VKR_ATPb%281%29.pdf Согласованные решения от 28.10.2026: Заглавие: Автоматизация технологических процессов и производств в нефтепереработке и нефтехими. Согласен снять флаг только с буквального извлечения заглавия. Достоверность полного названия и объёма не подтверждена; «нефтехими» и 71 с. сохраняются как в строке.</x:t>
  </x:si>
  <x:si>
    <x:t xml:space="preserve">Оформление требует уточнения/подтверждения. Проверка 100 строк, не аттестация всех 500; не библиотечная экспертиза ГОСТ.</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</x:si>
  <x:si>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Дата обращения в строке отсутствует. Согласованные решения от 28.10.2026: Значение страниц: [пусто]. Предложение подтверждено без дополнительного пояснения.</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</x:si>
  <x:si>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Согласованные решения от 28.10.2026: Значение страниц: [пусто]. Предложение подтверждено без дополнительного пояснения.</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</x:si>
  <x:si>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Согласованные решения от 28.10.2026: Заглавие: Теория массового обслуживания. Предложение подтверждено без дополнительного пояснения. | Место издания: Ленинград - Москва. Предложение подтверждено без дополнительного пояснения.</x:t>
  </x:si>
  <x:si>
    <x:t xml:space="preserve">Проверено Михаилом; решения согласованы. Неоднозначные поля: Содержащее издание; Вид документа.</x:t>
  </x:si>
  <x:si>
    <x:t xml:space="preserve">Человеческая проверка: Михаил Саяпин, 28.10.2026. Неоднозначные поля: Содержащее издание; Вид документа. Согласие до обсуждения по всей выборке: 855/880 = 97,16%; совместно пустые и неопределённые пары исключены. Первичный комментарий проверяющего: После «;» указано «Евразийское научное объединение том 1»: неясно, название ли это журнала/сборника или организация; вид документа определить нельзя. Том 1 и № 2 (2) записаны как в строке.
Внешняя проверка 28.10.2026 (по отчёту подтверждений, не мной): реестр ISSN подтверждает название «Евразийское научное объединение», ISSN 2411-1899; каталог РУДН указывает тип «Журнал», в реестре ISSN есть вариант заглавия «Сборник научных статей…». Конкретная статья Сучилина и том 1, № 2 (2), 2015 по первичному выпуску не подтверждены; обозначения оставлены как во входе. Вид документа и содержащее издание остаются неоднозначными. Источники: https://portal.issn.org/resource/ISSN/2411-1899 ; https://repository.rudn.ru/ru/record-sources/record-source/2378/ Согласованные решения от 28.10.2026: Вид документа: Неопределено. Согласен сохранить неопределённый вид документа; том 1 и № 2 (2) извлекаются без подтверждения жанра. | Содержащее издание: Евразийское научное объединение. Согласен принять наименование только как предполагаемое содержащее издание. Флаг неоднозначности сохраняется; в предыдущем файле поле было пустым.</x:t>
  </x:si>
  <x:si>
    <x:t xml:space="preserve">Сохраняется неопределённость: Содержащее издание; Вид документа. Оформление требует уточнения/подтверждения. Проверка 100 строк, не аттестация всех 500; не библиотечная экспертиза ГОСТ.</x:t>
  </x:si>
  <x:si>
    <x:t xml:space="preserve">Проверено Михаилом; решения согласованы. Неоднозначные поля: Вид документа.</x:t>
  </x:si>
  <x:si>
    <x:t xml:space="preserve">Человеческая проверка: Михаил Саяпин, 28.10.2026. Неоднозначные поля: Вид документа. Согласие до обсуждения по всей выборке: 855/880 = 97,16%; совместно пустые и неопределённые пары исключены. Первичный комментарий проверяющего: В издательском PDF выпуска просмотрены выходные данные (PDF с. 2), содержание (с. 3) и статья (PDF с. 24–27): совпали автор Лю Фан, заглавие и страницы 23–26; издание — «Научные исследования», 2018, № 4 (23), ISSN 2414-5912 (Print), 2541-7878 (Online); на титуле — «научно-практический журнал» и «сборник научных трудов по материалам XXVIII Международной конференции». Во входной строке год 2023, расхождение зафиксировано, год не изменён; вид документа оставлен «Неопределено» (журнал/сборник). Источник: https://scientificresearch.ru/images/PDF/2018/28/scientific-research-8-28.pdf ; handle ТПУ из строки при проверке отвечал HTTP 502. Согласованные решения от 28.10.2026: Вид документа: Неопределено. Согласен оставить вид неопределённым. Год 2023 сохраняется как исходный; расхождение с 2018 фиксируется в комментарии, достоверность года не подтверждается. Дополнительная правка оформления после сопоставления: в варианте Михаила пропущено содержащее издание. В итоговой колонке сохранено «// Научные исследования» из исходной строки и прежнего варианта; год 2023 не заменён внешним 2018. Вид документа остаётся неопределённым.</x:t>
  </x:si>
  <x:si>
    <x:t xml:space="preserve">Сохраняется неопределённость: Вид документа. Оформление требует уточнения/подтверждения. Проверка 100 строк, не аттестация всех 500; не библиотечная экспертиза ГОСТ.</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</x:si>
  <x:si>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Год публикации и источник опубликования в строке отсутствуют; год закона (2012) не принят за год публикации; дата редакции записана в N. Согласованные решения от 28.10.2026: Заглавие: Федеральный закон от 29.12.2012 № 273-ФЗ «Об образовании в Российской Федерации». Согласен с отделением редакции от заглавия. Для этой разметки поле «Сведения об издании» используется также для редакции правового документа, как в предыдущем файле. | Значение страниц: [пусто]. Предложение подтверждено без дополнительного пояснения. | Сведения об издании: в редакции от 06.03.2019 года. Согласен хранить «в редакции от 06.03.2019 года» в сведениях об издании как редакцию правового документа; это не переиздание книги.</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</x:si>
  <x:si>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Объём «14 с.» записан как в строке (необычно мал для учебного пособия).</x:t>
  </x:si>
  <x:si>
    <x:t xml:space="preserve">Проверено Михаилом; решения согласованы. Неоднозначные поля: Значение страниц.</x:t>
  </x:si>
  <x:si>
    <x:t xml:space="preserve">Человеческая проверка: Михаил Саяпин, 28.10.2026. Неоднозначные поля: Значение страниц. Согласие до обсуждения по всей выборке: 855/880 = 97,16%; совместно пустые и неопределённые пары исключены. Первичный комментарий проверяющего: «C. 1» в строке не подтверждено первоисточником. Просмотрены страница статьи https://trudymai.ru/published.php?ID=98753 («Сетевое научное издание», указано только «2018. № 102») и PDF статьи (27 страниц, без печатной нумерации страниц и номера статьи). Вариант «единственная страница» исключается: статья многостраничная. «Начальная страница» и «номер статьи» не подтверждаются и не опровергаются, поэтому в J оставлено «1» как в строке, значение страниц — «Неоднозначно». Согласованные решения от 28.10.2026: Значение страниц: Неоднозначно. Согласен: значение 1 сохраняется в поле страниц, его роль остаётся неоднозначной. Число страниц PDF не подставляется.</x:t>
  </x:si>
  <x:si>
    <x:t xml:space="preserve">Сохраняется неопределённость: Значение страниц. Оформление требует уточнения/подтверждения. Проверка 100 строк, не аттестация всех 500; не библиотечная экспертиза ГОСТ.</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</x:si>
  <x:si>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Перед местом издания стоит «СибАГС» с неясной ролью; издателем назначено только «изд-во СИУ РАНХиГС».</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</x:si>
  <x:si>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 49» записан в I как в строке.
Подтверждение 28.10.2026 (внешнее, значения строки не заменены): в официальном оглавлении «Нефтехимии» (просмотрено) указано «Том 49, номер 3, 2009», статья «Нефтяные кислоты и коррозия (обзор)», Зейналов Э.Б., Аббасов В.М., Алиева Л.И., начало на с. 203 (следующая статья с. 211, т.е. 203–210 согласуется со строкой). Во входе напечатано «№ 49», то есть обозначение не совпадает с выходными данными; том 49 и номер 3 получены извне и внесены только в комментарий. Источник: https://neftekhimiya.ips.ac.ru/images/content/2009/tom_49-3-2009.pdf</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</x:si>
  <x:si>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разрыв слова «Моск овский»; в поле соединено без смыслового исправления. Согласованные решения от 28.10.2026: Заглавие: Теория развития и практика реализации содержания обучения в области информационно-образовательных систем : монография. Согласен для буквального извлечения сохранить пробел перед двоеточием; смысл заглавия совпадает с предыдущим файлом. | Издатель: Моск овский педагогический государственный университет. Согласен для буквального извлечения сохранить «Моск овский». Нормализованное «Московский» из предыдущего файла допустимо отдельно, без изменения исходного значения.</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</x:si>
  <x:si>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Страницы 174–176 в № 20 совпадают с R509 (другая статья): возможна ошибка в источнике.</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</x:si>
  <x:si>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«2-e» написано латинской «e»; в N сохранено как в строке. Согласованные решения от 28.10.2026: Сведения об издании: 2-e изд., стер.. Согласен для буквального извлечения: в исходнике латинская e. Нормализованное «2-е изд., стер.» из предыдущего файла является отдельным представлением.</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</x:si>
  <x:si>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DOI дан как URL: полный адрес в P, идентификатор в R. Согласованные решения от 28.10.2026: Том: 59. Предложение подтверждено без дополнительного пояснения.</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</x:si>
  <x:si>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«Оформлении» URL объекта — https://…, в строке — http://….</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</x:si>
  <x:si>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Согласованные решения от 28.10.2026: Заглавие: Указ Президента Российской Федерации от 31 декабря 2005 г. N 1574 «О Реестре должностей федеральной государственной гражданской службы». Согласен для буквального извлечения сохранить латинскую N. Замена на № относится к отдельному нормализованному оформлению. | Значение страниц: [пусто]. Предложение подтверждено без дополнительного пояснения.</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</x:si>
  <x:si>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Редакторы: Корячко В.П., Купцов М.И. (не авторы). Список авторов явно сокращён.</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</x:si>
  <x:si>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страницы обозначены латинской «P.».</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</x:si>
  <x:si>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Название закона как в строке (в официальном названии «…службе в Российской Федерации»). Согласованные решения от 28.10.2026: Значение страниц: [пусто]. Предложение подтверждено без дополнительного пояснения.</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</x:si>
  <x:si>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Издатель не указан.</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</x:si>
  <x:si>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инициалы стоят перед фамилией; в поле приведены к виду «Фамилия И.О.».</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</x:si>
  <x:si>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Объём не указан. Согласованные решения от 28.10.2026: Значение страниц: [пусто]. Предложение подтверждено без дополнительного пояснения.</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</x:si>
  <x:si>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Автора нет; составитель А.В. Федорова (не автор). Обозначение «[Текст]» в заглавие не включено. Согласованные решения от 28.10.2026: Авторы: [пусто]. Согласен снять неоднозначность: А. В. Федорова прямо обозначена как составитель. Поле авторов пустое; составитель сохраняется в комментарии и оформлении. Составитель А. В. Федорова не включается в авторов; неоднозначность поля авторов снята.</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</x:si>
  <x:si>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Англоязычная версия (Automation and Remote Control, 2022, Vol. 83, № 12, P. 1984-1994) в поля не внесена.</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</x:si>
  <x:si>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Нет места и издателя сборника. Согласованные решения от 28.10.2026: Содержащее издание: Cборник научных трудов VIII Международной научно-практической конференции «Экономическое Развитие в XXI Веке: Тенденции, Вызовы и Перспективы». Согласен для буквального извлечения сохранить латинскую C в «Cборник». Кириллическая С из предыдущего файла относится к нормализованному представлению.</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</x:si>
  <x:si>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Англоязычная версия (Automation and Remote Control, 2021, № 82, P. 1774-1786) в поля не внесена.</x:t>
  </x:si>
  <x:si>
    <x:t xml:space="preserve">Проверено Михаилом; решения согласованы. Неоднозначные поля: Авторы.</x:t>
  </x:si>
  <x:si>
    <x:t xml:space="preserve">Человеческая проверка: Михаил Саяпин, 28.10.2026. Неоднозначные поля: Авторы. Согласие до обсуждения по всей выборке: 855/880 = 97,16%; совместно пустые и неопределённые пары исключены. Первичный комментарий проверяющего: Козбаненко В.А. указан в начале записи и одновременно как общий редактор («Под общей ред.»); роль неясна, поле оставлено пустым.
Внешняя проверка 28.10.2026 (по отчёту подтверждений, не мной): по тексту скана книги на титуле — общая редакция В. А. Козбаненко, и он же значится в разделе «Авторский коллектив» (предисловие, разд. III и VI, гл. 16); 3-е изд., Москва, «Дашков и К°», 2006, 1072 с. Формулировка «только редактор» неверна. Поле «Авторы» оставлено пустым по правилу строки (роль в самой строке неясна), остальных неназванных авторов не восстанавливали. Источник: https://ru.djvu.online/file/2jKdIwHhA35TE Согласованные решения от 28.10.2026: Авторы: [пусто]. Согласен оставить авторов пустыми с неоднозначностью роли. Участие редактора в авторском коллективе по внешним сведениям не подставляется в разметку строки.</x:t>
  </x:si>
  <x:si>
    <x:t xml:space="preserve">Сохраняется неопределённость: Авторы. Проверка 100 строк, не аттестация всех 500; не библиотечная экспертиза ГОСТ.</x:t>
  </x:si>
  <x:si>
    <x:t xml:space="preserve">Человеческая проверка: Михаил Саяпин, 28.10.2026. Неоднозначные поля: нет. Согласие до обсуждения по всей выборке: 855/880 = 97,16%; совместно пустые и неопределённые пары исключены. Первичный комментарий проверяющего: В строке лишнее «//» перед местом издания; объём не указан. Согласованные решения от 28.10.2026: Значение страниц: [пусто]. Предложение подтверждено без дополнительного пояснения.</x:t>
  </x:si>
  <x:si>
    <x:t xml:space="preserve">ID кандидата</x:t>
  </x:si>
  <x:si>
    <x:t xml:space="preserve">Причина исключения</x:t>
  </x:si>
  <x:si>
    <x:t xml:space="preserve">Исходная строка кандидата</x:t>
  </x:si>
  <x:si>
    <x:t xml:space="preserve">Источник списка</x:t>
  </x:si>
  <x:si>
    <x:t xml:space="preserve">Подтверждение</x:t>
  </x:si>
  <x:si>
    <x:t xml:space="preserve">R404</x:t>
  </x:si>
  <x:si>
    <x:t xml:space="preserve">Студопедия – лекционный материал для студентов [Электронный ре-
сурс] : Общее понятие управления. Управление как социальное явление». – Ре-
жим доступа: http://Studopedia.su/16_111746_obshchee-ponyatie-upravleniya-
upravlenie-kak-sotsialnoe-yavlenie.html.</x:t>
  </x:si>
  <x:si>
    <x:t xml:space="preserve">R405</x:t>
  </x:si>
  <x:si>
    <x:t xml:space="preserve">Fictionbook – бесплатная библиотека электронных книг [Электронный
ресурс] : К. Сибикеев. Государственное и муниципальное управление. – Режим
доступа: http://fictionbook.ru/author/konstantin_sibikeev/gosudarstvennoe_i_
municipalnoe_upravlenie/read_online.html.</x:t>
  </x:si>
  <x:si>
    <x:t xml:space="preserve">R410</x:t>
  </x:si>
  <x:si>
    <x:t xml:space="preserve">Электронная библиотека Knigi.news [Электронный ресурс] : Государ-
ственное и муниципальное управление. – Режим доступа: http://knigi.news/
munitsipalnoe/gosudarstvennoe-munitsipalnoe-upravlenie-54274.html.</x:t>
  </x:si>
  <x:si>
    <x:t xml:space="preserve">R415</x:t>
  </x:si>
  <x:si>
    <x:t xml:space="preserve">База работ «Пятифан» [Электронный ресурс] : Система государствен-
ного и муниципального управления в России. – Режим доступа: http://5fan.ru/
wievjob.php?id=35100.</x:t>
  </x:si>
  <x:si>
    <x:t xml:space="preserve">R416</x:t>
  </x:si>
  <x:si>
    <x:t xml:space="preserve">Клиент платформа Pandia [Электронный ресурс] : Государственное
управление как система. Правовое и организационное обеспечение государст-
венного управления в современной России. – Режим доступа: http://pandia.ru/
text/79/109/29521.php.</x:t>
  </x:si>
  <x:si>
    <x:t xml:space="preserve">R418</x:t>
  </x:si>
  <x:si>
    <x:t xml:space="preserve">Кадры Основы государственной службы и кадровой политики [Элек-
тронный ресурс] : Государственное управление как основная функция государ-
ственной гражданской службы. – Режим доступа: http://isfic.info/gossab
/civserv03.htm.</x:t>
  </x:si>
  <x:si>
    <x:t xml:space="preserve">R420</x:t>
  </x:si>
  <x:si>
    <x:t xml:space="preserve">Правовая библиотека [Электронный ресурс] : Правовое и организаци-
онное обеспечение государственной службы. – Режим доступа:
http://www.pravo.vuzlib.su/book_z1133_page_74.html.</x:t>
  </x:si>
  <x:si>
    <x:t xml:space="preserve">R427</x:t>
  </x:si>
  <x:si>
    <x:t xml:space="preserve">Портал 2XH.RU [Электронный ресурс] : Государственная должность.
Понятие, аспекты, признаки. - Административное право. – Режим доступа:
http://2xh.ru/yuridicheskie/administrativnoe/103-gosudarstvennaja-dolzhnost-
ponjatie-aspekty-priznaki.html.</x:t>
  </x:si>
  <x:si>
    <x:t xml:space="preserve">R430</x:t>
  </x:si>
  <x:si>
    <x:t xml:space="preserve">Федеральный портал управленческих кадров [Электронный ресурс]: О
системе государственной службы Российской Федерации. – Режим доступа:
https://gossluzhba.gov.ru/Page/Index/Sistema_gosudarstvennoy_sluzhby.</x:t>
  </x:si>
  <x:si>
    <x:t xml:space="preserve">R443</x:t>
  </x:si>
  <x:si>
    <x:t xml:space="preserve">Недостаточно подтверждённых реквизитов для воспроизводимого эталона оформления: Неполные/неоднозначные реквизиты; требуется предметная сверка</x:t>
  </x:si>
  <x:si>
    <x:t xml:space="preserve">Большая юридическая энциклопедия. – М.: Инфра-М. А. Я.
Сухарев, В. Е. Крутских, А.Я. Сухарева. 2003.</x:t>
  </x:si>
  <x:si>
    <x:t xml:space="preserve">R447</x:t>
  </x:si>
  <x:si>
    <x:t xml:space="preserve">Гендина, Н.И. Лингвистические средства проектирования
контента веб-сайтов / Н.И. Гендина. – Москва, 2008. – №3. – С. 5-14</x:t>
  </x:si>
  <x:si>
    <x:t xml:space="preserve">R453</x:t>
  </x:si>
  <x:si>
    <x:t xml:space="preserve">Российский энциклопедический словарь. – М.: Инфра-М. А. М.
Прохоров. 2007</x:t>
  </x:si>
  <x:si>
    <x:t xml:space="preserve">R454</x:t>
  </x:si>
  <x:si>
    <x:t xml:space="preserve">Старова Т.С., Могилев А.В. Типология образовательных веб-
сайтов. М: Вопросы Интернет-образования, № 2.</x:t>
  </x:si>
  <x:si>
    <x:t xml:space="preserve">R457</x:t>
  </x:si>
  <x:si>
    <x:t xml:space="preserve">Конструктор сайтов на Ваш выбор – uCoz – Режим доступа:
https://www.ucoz.ru/</x:t>
  </x:si>
  <x:si>
    <x:t xml:space="preserve">R366</x:t>
  </x:si>
  <x:si>
    <x:t xml:space="preserve">Исключено по ранее заданному ограничению состава источников: подтверждён сайт украинского издания.</x:t>
  </x:si>
  <x:si>
    <x:t xml:space="preserve">Не включена в итоговый набор по ограничению состава источников. Подробности сохранены в исходной версии файла.</x:t>
  </x:si>
  <x:si>
    <x:t xml:space="preserve">R400</x:t>
  </x:si>
  <x:si>
    <x:t xml:space="preserve">Первичный сайт статьи подтверждает иные страницы (181–190), третьего автора и DOI статьи; в исходнике DOI выпуска, страницы 181–191 и неполный список авторов без маркера сокращения. Оставлено вне основного теста оформления.</x:t>
  </x:si>
  <x:si>
    <x:t xml:space="preserve">Косицын С.Б., Акулич В.Ю. Пространственный расчет тройниковых соединений цилиндрических оболочек с учетом изменения расчетной модели во времени // Строительная механика инженерных конструкций и сооружений. 2025. Т. 21. № 3. С. 181-191. https://doi.org/10.22363/1815-5235-2025-21-3 EDN: SSMRFB</x:t>
  </x:si>
  <x:si>
    <x:t xml:space="preserve">https://journals.rudn.ru/structural-mechanics/article/view/52524?setLocale=ru_RU#articleCitations</x:t>
  </x:si>
  <x:si>
    <x:t xml:space="preserve">https://journals.rudn.ru/structural-mechanics/article/view/46166/ru_RU</x:t>
  </x:si>
  <x:si>
    <x:t xml:space="preserve">Положение</x:t>
  </x:si>
  <x:si>
    <x:t xml:space="preserve">Содержание</x:t>
  </x:si>
  <x:si>
    <x:t xml:space="preserve">Показатель</x:t>
  </x:si>
  <x:si>
    <x:t xml:space="preserve">Значение</x:t>
  </x:si>
  <x:si>
    <x:t xml:space="preserve">Количество записей</x:t>
  </x:si>
  <x:si>
    <x:t xml:space="preserve">500 записей только на листе «Датасет». «Контроль100» повторяет выборку из этих 500 и не добавляет ещё 100 наблюдений. «Исключения» — журнал 16 отклонённых кандидатов, не часть основного набора. ID сохранены и имеют пропуски; последний ID R516 не означает 516 принятых записей.</x:t>
  </x:si>
  <x:si>
    <x:t xml:space="preserve">Записей в основном наборе</x:t>
  </x:si>
  <x:si>
    <x:t xml:space="preserve">Состав</x:t>
  </x:si>
  <x:si>
    <x:t xml:space="preserve">398 строк из опубликованных списков журнальных статей РУДН; 60 из двух ВКР СФУ и 42 из диссертации ДВФУ/ИАПУ ДВО РАН. Итого 102 строки из ВКР и диссертации. Все входы взяты из опубликованных списков, синтетические строки не создавались.</x:t>
  </x:si>
  <x:si>
    <x:t xml:space="preserve">Из ВКР</x:t>
  </x:si>
  <x:si>
    <x:t xml:space="preserve">Текущее содержание по ГОСТ</x:t>
  </x:si>
  <x:si>
    <x:t xml:space="preserve">207 ссылок на выбранные проверенные сетевые версии по ГОСТ Р 7.0.108–2022; 293 краткие ссылки по выходным данным издания/части по ГОСТ Р 7.0.5–2008. Распределение получено после проверки объектов, а не по наличию DOI.</x:t>
  </x:si>
  <x:si>
    <x:t xml:space="preserve">Из диссертаций</x:t>
  </x:si>
  <x:si>
    <x:t xml:space="preserve">Группы dev/test</x:t>
  </x:si>
  <x:si>
    <x:t xml:space="preserve">92 dev, 408 test; 203 исходных документа/списка. Группа задаётся документом, содержащим список. Один документ не включён одновременно в dev и test. Границы прежних групп сохранены; новые строки из одной работы имеют ту же часть набора. Перед экспериментами дополнительно проверять совпадения произведений между группами; уникальность исходных строк не гарантирует уникальность произведений.</x:t>
  </x:si>
  <x:si>
    <x:t xml:space="preserve">Профиль 7.0.108</x:t>
  </x:si>
  <x:si>
    <x:t xml:space="preserve">Правило выбора объекта</x:t>
  </x:si>
  <x:si>
    <x:t xml:space="preserve">7.0.108 применяется к конкретной проверенной сетевой версии: URL и подтверждение объекта указаны отдельно от входного URL. Для изданий/частей без выбранной подтверждённой сетевой версии принят 7.0.5 по выходным данным. Карточка книги в каталоге не считается прочитанной электронной версией книги; каталог и текст различаются. Недоступность URL не доказывает бумажный носитель. DOI сам по себе не доказывает выбранную версию.</x:t>
  </x:si>
  <x:si>
    <x:t xml:space="preserve">Профиль 7.0.5</x:t>
  </x:si>
  <x:si>
    <x:t xml:space="preserve">Два разных задания оценки</x:t>
  </x:si>
  <x:si>
    <x:t xml:space="preserve">Разбор: на вход подаётся только исходная строка, эталон — поля этой строки. Внешние даты, адрес выбранной версии и подтверждения объекта не являются ответами парсера. Оформление: на вход всем сравниваемым методам одинаково передаются структурированные реквизиты, выбранный профиль и контекст форматирования (URL версии и дата). Сквозную обработку сырой строки оценивать отдельно; не приписывать парсеру сведения, доступные только из внешнего контекста.</x:t>
  </x:si>
  <x:si>
    <x:t xml:space="preserve">Принятый вариант оформления</x:t>
  </x:si>
  <x:si>
    <x:t xml:space="preserve">Используется один согласованный вариант краткой затекстовой ссылки. Между областями — «. — »; в диапазонах страниц — «–»; до трёх авторов — перед заглавием, четыре и более / неполный список — после косой черты. Составители и редакторы не смешиваются с авторами. Для нормативного издания «Ст.» означает номер статьи, а не страницы. Необязательные DOI, EDN и ISBN в текстовом варианте краткой ссылки не выводятся, но полностью сохранены как размеченные поля входа.</x:t>
  </x:si>
  <x:si>
    <x:t xml:space="preserve">Не единственное правильное написание</x:t>
  </x:si>
  <x:si>
    <x:t xml:space="preserve">ГОСТ допускает варианты состава и пунктуации. Доля корректных оформлений не должна оцениваться только посимвольным равенством C: нужны проверка реквизитов и требований зафиксированного профиля. Приведён один воспроизводимый вариант, а не утверждение о единственно допустимой строке.</x:t>
  </x:si>
  <x:si>
    <x:t xml:space="preserve">Записей в контрольной выборке</x:t>
  </x:si>
  <x:si>
    <x:t xml:space="preserve">Текст для статьи: происхождение дат</x:t>
  </x:si>
  <x:si>
    <x:t xml:space="preserve">В исходной версии на 400 строк у 221 записи дата обращения 26.10.2026 отсутствовала в опубликованной строке и была добавлена отдельно как контекст оформления. Она не входила в эталон извлечения. В текущей версии для 207 выбранных сетевых объектов после документальной проверки 27.10.2026 передаётся отдельная дата обращения 27.10.2026. Исторические даты и их происхождение сохранены в AV/AW; исходные даты в S остаются данными входа. Нельзя оценивать выдумывание отсутствующей даты как успешное извлечение. Внешние сведения из проверочных материалов используются только в комментариях и контексте оформления; они не заменяют исходные реквизиты.</x:t>
  </x:si>
  <x:si>
    <x:t xml:space="preserve">Сохранение исходного текста</x:t>
  </x:si>
  <x:si>
    <x:t xml:space="preserve">398 сохранившихся журнальных входов совпадают с текстом исходных HTML-пунктов после прежней нормализации пробелов. Все 102 входа из ВКР/диссертации сверены с PDF по страницам и номерам. В PDF сохранены переносы, опечатки и необычный порядок реквизитов; удалены номера пунктов и колонтитулы. В файле Зуян технически исправлено кодирование извлечения шрифта. Для пункта 65 ВКР Пузевич восстановлена видимая граница между соседними нумерованными ссылками.</x:t>
  </x:si>
  <x:si>
    <x:t xml:space="preserve">Совпавших пар до обсуждения</x:t>
  </x:si>
  <x:si>
    <x:t xml:space="preserve">Что проверено повторно</x:t>
  </x:si>
  <x:si>
    <x:t xml:space="preserve">Сравнимых пар до обсуждения</x:t>
  </x:si>
  <x:si>
    <x:t xml:space="preserve">Содержательные исправления</x:t>
  </x:si>
  <x:si>
    <x:t xml:space="preserve">R041: восстановлен том 59 из исходной строки. R107: Ленинград - Москва выделены как место издания. R254: контейнер, место и издатель разделены, материал ежегодника отнесён к сборнику; Ч. 3 сохранена. R455: редакция правового документа хранится в «Сведениях об издании» по согласованному правилу. При отсутствии страниц их роль оставлена пустой. Латинские буквы и разрывы слов для буквального извлечения сохранены. Все исходные строки неизменны.</x:t>
  </x:si>
  <x:si>
    <x:t xml:space="preserve">Согласие до обсуждения</x:t>
  </x:si>
  <x:si>
    <x:t xml:space="preserve">Отбор кандидатов</x:t>
  </x:si>
  <x:si>
    <x:t xml:space="preserve">Рассмотрено 516 кандидатов, в основной набор принято 500. 14 непроверяемых/противоречивых строк ВКР заменены реальными пунктами списков; одна прежняя запись исключена по ограничению состава источников, ещё одна — из-за подтверждённого несовпадения DOI/страниц/авторов с первичной статьёй. Причины указаны в журнале. Исключения не заменялись исправленными вымышленными строками.</x:t>
  </x:si>
  <x:si>
    <x:t xml:space="preserve">Неопределённых пар до обсуждения</x:t>
  </x:si>
  <x:si>
    <x:t xml:space="preserve">Ограничение такого отбора</x:t>
  </x:si>
  <x:si>
    <x:t xml:space="preserve">Набор охватывает идентифицируемые библиографические ссылки с воспроизводимым вариантом оформления. Исключение непроверяемых случаев сужает область применимости и может повышать результаты по сравнению со всеми встречающимися ссылками. Исключённые неполные случаи можно использовать отдельно для исследования отказа/запроса уточнения. При публикации показать показатели отдельно для журналов, ВКР и диссертации, и раскрыть критерии отбора.</x:t>
  </x:si>
  <x:si>
    <x:t xml:space="preserve">Расхождений до обсуждения</x:t>
  </x:si>
  <x:si>
    <x:t xml:space="preserve">Независимость проверки</x:t>
  </x:si>
  <x:si>
    <x:t xml:space="preserve">Полностью совпало строк до обсуждения</x:t>
  </x:si>
  <x:si>
    <x:t xml:space="preserve">Как завершить требование преподавателя</x:t>
  </x:si>
  <x:si>
    <x:t xml:space="preserve">Человеческая проверка и расчёт согласия получены. До обсуждения: 855/880 = 97,16%; 25 различий и 9 неопределённых пар; совместно пустые поля исключены. Полностью совпали 76/100 строк, профиль 100/100. Подтверждены 34 решения; семь пар полей в шести строках намеренно оставлены неопределёнными. Это не показатели точности парсеров и не 100% корректность оформления. Спорные пары нельзя считать уверенными эталонными значениями.</x:t>
  </x:si>
  <x:si>
    <x:t xml:space="preserve">Неопределённых пар после согласования</x:t>
  </x:si>
  <x:si>
    <x:t xml:space="preserve">Ограничения обобщения</x:t>
  </x:si>
  <x:si>
    <x:t xml:space="preserve">102 новые строки происходят из двух ВКР одного университета и одной диссертации. Это расширяет стиль входов, но не представляет все вузы и научные специальности. Набор не является случайной выборкой всей русскоязычной библиографии. Совпадение с опубликованным списком не доказывает фактическую правильность каждого реквизита самого списка; проверка разбора и проверка достоверности метаданных — разные процедуры.</x:t>
  </x:si>
  <x:si>
    <x:t xml:space="preserve">Неопределённость в строках после согласования</x:t>
  </x:si>
  <x:si>
    <x:t xml:space="preserve">Нормативные первоисточники</x:t>
  </x:si>
  <x:si>
    <x:t xml:space="preserve">ГОСТ Р 7.0.108–2022: https://files.stroyinf.ru/Data/778/77813.pdf (пп. 4.2–4.4, 5.1–5.3, 6.1–6.3). ГОСТ Р 7.0.5–2008: https://files.stroyinf.ru/Data/442/44298.pdf . Текст стандартов использован для выбора зафиксированного варианта ссылки; экспертная библиотечная аттестация не заявляется.</x:t>
  </x:si>
  <x:si>
    <x:t xml:space="preserve">Подтверждено решений</x:t>
  </x:si>
  <x:si>
    <x:t xml:space="preserve">Работы с новыми входами</x:t>
  </x:si>
  <x:si>
    <x:t xml:space="preserve">Пузевич А. В., СФУ, 2017: https://elib.sfu-kras.ru/handle/2311/68013 ; Зуян И. О., СФУ, 2019: https://elib.sfu-kras.ru/handle/2311/112202 ; Снегирев О. Ю., ДВФУ/ИАПУ ДВО РАН, 2023: https://www.iacp.dvo.ru/resources/fileman/Uploads/dissertations/Snegirev/Snegerev_dissertation-final.pdf . Прямые PDF, страницы и пункты указаны в строках основного набора.</x:t>
  </x:si>
  <x:si>
    <x:t xml:space="preserve">Правила после согласования</x:t>
  </x:si>
  <x:si>
    <x:t xml:space="preserve">Извлечение сохраняет наблюдаемые латинские буквы, разрывы внутри слов и пунктуацию; нормализованное оформление — отдельное представление. Отсутствующие страницы не получают роли. Поле «Сведения об издании» включает явно указанную редакцию правового документа. Составитель не автор. Неопределённые пары после согласования: R429 номер; R375 роль страниц; R103 вид; R514 контейнер и вид; R409 издатель; R437 авторы. При оценке исключать эти 7 пар из знаменателя, отдельно сообщать их число; предположения не считать истинными ответами.</x:t>
  </x:si>
  <x:si>
    <x:t xml:space="preserve">Перенос оформления</x:t>
  </x:si>
  <x:si>
    <x:t xml:space="preserve">Человеческие варианты сохранены в «Дополнительное подтверждение» и «Контроль100», а не автоматически признаны единственным нормативным эталоном. В основной колонке исправлены R041, R107, R254, R375 и R409. В R409 восстановлен автор, пропущенный во втором варианте; R103 сохранено содержащее издание. Эти дополнительные правки зафиксированы отдельно от 34 подтверждённых решений. Для R429/R375/R455/R514/R464 и дополнительных правок R103/R409 статус оформления остаётся требующим уточнения/подтверждения.</x:t>
  </x:si>
</x:sst>
</file>

<file path=xl/styles.xml><?xml version="1.0" encoding="utf-8"?>
<x:styleSheet xmlns:x="http://schemas.openxmlformats.org/spreadsheetml/2006/main">
  <x:numFmts count="1">
    <x:numFmt numFmtId="164" formatCode="dd\.mm\.yyyy"/>
  </x:numFmts>
  <x:fonts count="6">
    <x:font>
      <x:sz val="11"/>
      <x:name val="Carlito"/>
    </x:font>
    <x:font>
      <x:sz val="10"/>
      <x:color rgb="FF000000"/>
      <x:name val="Arial"/>
    </x:font>
    <x:font>
      <x:b/>
      <x:sz val="10"/>
      <x:color rgb="FF000000"/>
      <x:name val="Arial"/>
    </x:font>
    <x:font>
      <x:b/>
      <x:sz val="10"/>
      <x:name val="Arial"/>
    </x:font>
    <x:font>
      <x:sz val="10"/>
      <x:name val="Arial"/>
    </x:font>
    <x:font>
      <x:sz val="11"/>
      <x:name val="Carlito"/>
    </x:font>
  </x:fonts>
  <x:fills count="3">
    <x:fill>
      <x:patternFill patternType="none"/>
    </x:fill>
    <x:fill>
      <x:patternFill patternType="gray125"/>
    </x:fill>
    <x:fill>
      <x:patternFill patternType="solid">
        <x:fgColor rgb="FFE5E7EB"/>
      </x:patternFill>
    </x:fill>
  </x:fills>
  <x:borders count="7">
    <x:border>
      <x:left/>
      <x:right/>
      <x:top/>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medium">
        <x:color indexed="64"/>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s>
  <x:cellStyleXfs count="2">
    <x:xf numFmtId="0" fontId="0" fillId="0" borderId="0"/>
    <x:xf numFmtId="0" fontId="5" fillId="0" borderId="0"/>
  </x:cellStyleXfs>
  <x:cellXfs count="30">
    <x:xf numFmtId="0" fontId="0" fillId="0" borderId="0" xfId="0"/>
    <x:xf numFmtId="0" fontId="1" fillId="0" borderId="0" xfId="1" applyFont="1" applyAlignment="1">
      <x:alignment vertical="top" wrapText="1"/>
    </x:xf>
    <x:xf numFmtId="0" fontId="2" fillId="2" borderId="0" xfId="1" applyFont="1" applyFill="1" applyAlignment="1">
      <x:alignment horizontal="center" vertical="center" wrapText="1"/>
    </x:xf>
    <x:xf numFmtId="164" fontId="1" fillId="0" borderId="0" xfId="1" applyNumberFormat="1" applyFont="1" applyAlignment="1">
      <x:alignment vertical="top" wrapText="1"/>
    </x:xf>
    <x:xf numFmtId="1" fontId="1" fillId="0" borderId="0" xfId="1" applyNumberFormat="1" applyFont="1" applyAlignment="1">
      <x:alignment vertical="top" wrapText="1"/>
    </x:xf>
    <x:xf numFmtId="0" fontId="3" fillId="2" borderId="0" xfId="1" applyFont="1" applyFill="1" applyAlignment="1">
      <x:alignment wrapText="1"/>
    </x:xf>
    <x:xf numFmtId="10" fontId="0" fillId="0" borderId="0" xfId="1" applyNumberFormat="1" applyFont="1"/>
    <x:xf numFmtId="0" fontId="2" fillId="2" borderId="2" xfId="1" applyFont="1" applyFill="1" applyBorder="1" applyAlignment="1">
      <x:alignment horizontal="center" vertical="center" wrapText="1"/>
    </x:xf>
    <x:xf numFmtId="0" fontId="1" fillId="0" borderId="3" xfId="1" applyFont="1" applyBorder="1" applyAlignment="1">
      <x:alignment vertical="top" wrapText="1"/>
    </x:xf>
    <x:xf numFmtId="0" fontId="1" fillId="0" borderId="4" xfId="1" applyFont="1" applyBorder="1" applyAlignment="1">
      <x:alignment vertical="top" wrapText="1"/>
    </x:xf>
    <x:xf numFmtId="0" fontId="1" fillId="0" borderId="2" xfId="1" applyFont="1" applyBorder="1" applyAlignment="1">
      <x:alignment vertical="top" wrapText="1"/>
    </x:xf>
    <x:xf numFmtId="0" fontId="2" fillId="2" borderId="1" xfId="1" applyFont="1" applyFill="1" applyBorder="1" applyAlignment="1">
      <x:alignment horizontal="center" vertical="center" wrapText="1"/>
    </x:xf>
    <x:xf numFmtId="1" fontId="1" fillId="0" borderId="2" xfId="1" applyNumberFormat="1" applyFont="1" applyBorder="1" applyAlignment="1">
      <x:alignment vertical="top" wrapText="1"/>
    </x:xf>
    <x:xf numFmtId="1" fontId="1" fillId="0" borderId="3" xfId="1" applyNumberFormat="1" applyFont="1" applyBorder="1" applyAlignment="1">
      <x:alignment vertical="top" wrapText="1"/>
    </x:xf>
    <x:xf numFmtId="1" fontId="1" fillId="0" borderId="4" xfId="1" applyNumberFormat="1" applyFont="1" applyBorder="1" applyAlignment="1">
      <x:alignment vertical="top" wrapText="1"/>
    </x:xf>
    <x:xf numFmtId="0" fontId="0" fillId="0" borderId="3" xfId="0" applyBorder="1"/>
    <x:xf numFmtId="164" fontId="1" fillId="0" borderId="2" xfId="1" applyNumberFormat="1" applyFont="1" applyBorder="1" applyAlignment="1">
      <x:alignment vertical="top" wrapText="1"/>
    </x:xf>
    <x:xf numFmtId="164" fontId="1" fillId="0" borderId="3" xfId="1" applyNumberFormat="1" applyFont="1" applyBorder="1" applyAlignment="1">
      <x:alignment vertical="top" wrapText="1"/>
    </x:xf>
    <x:xf numFmtId="164" fontId="1" fillId="0" borderId="4" xfId="1" applyNumberFormat="1" applyFont="1" applyBorder="1" applyAlignment="1">
      <x:alignment vertical="top" wrapText="1"/>
    </x:xf>
    <x:xf numFmtId="0" fontId="2" fillId="2" borderId="5" xfId="1" applyFont="1" applyFill="1" applyBorder="1" applyAlignment="1">
      <x:alignment horizontal="center" vertical="center" wrapText="1"/>
    </x:xf>
    <x:xf numFmtId="0" fontId="2" fillId="2" borderId="6" xfId="1" applyFont="1" applyFill="1" applyBorder="1" applyAlignment="1">
      <x:alignment horizontal="center" vertical="center" wrapText="1"/>
    </x:xf>
    <x:xf numFmtId="0" fontId="2" fillId="2" borderId="0" xfId="1" applyFont="1" applyFill="1" applyBorder="1" applyAlignment="1">
      <x:alignment horizontal="center" vertical="center" wrapText="1"/>
    </x:xf>
    <x:xf numFmtId="0" fontId="0" fillId="0" borderId="0" xfId="0" applyBorder="1"/>
    <x:xf numFmtId="1" fontId="4" fillId="0" borderId="0" xfId="1" applyNumberFormat="1" applyFont="1" applyAlignment="1">
      <x:alignment horizontal="left" vertical="top" wrapText="1"/>
    </x:xf>
    <x:xf numFmtId="0" fontId="4" fillId="0" borderId="0" xfId="1" applyFont="1" applyAlignment="1">
      <x:alignment horizontal="left" vertical="top" wrapText="1"/>
    </x:xf>
    <x:xf numFmtId="0" fontId="3" fillId="2" borderId="2" xfId="1" applyFont="1" applyFill="1" applyBorder="1" applyAlignment="1">
      <x:alignment wrapText="1"/>
    </x:xf>
    <x:xf numFmtId="0" fontId="4" fillId="0" borderId="3" xfId="1" applyFont="1" applyBorder="1" applyAlignment="1">
      <x:alignment vertical="top" wrapText="1"/>
    </x:xf>
    <x:xf numFmtId="0" fontId="0" fillId="0" borderId="3" xfId="1" applyFont="1" applyBorder="1" applyAlignment="1">
      <x:alignment wrapText="1"/>
    </x:xf>
    <x:xf numFmtId="0" fontId="0" fillId="0" borderId="4" xfId="0" applyBorder="1"/>
    <x:xf numFmtId="0" fontId="1" fillId="0" borderId="0" xfId="1" applyFont="1" applyFill="1" applyAlignment="1">
      <x:alignment vertical="top" wrapText="1"/>
    </x:xf>
  </x:cellXfs>
  <x:cellStyles count="2">
    <x:cellStyle name="Normal" xfId="1"/>
    <x:cellStyle name="Обычный" xfId="0"/>
  </x:cellStyles>
  <x:dxfs count="37">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
      <x:border>
        <x:left style="medium">
          <x:color indexed="64"/>
        </x:left>
        <x:right style="medium">
          <x:color indexed="64"/>
        </x:right>
        <x:top/>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34aa9bd12f9647dc" /><Relationship Type="http://schemas.openxmlformats.org/officeDocument/2006/relationships/theme" Target="/xl/theme/theme1.xml" Id="Rb71895d1249c47b8" /><Relationship Type="http://schemas.openxmlformats.org/officeDocument/2006/relationships/sharedStrings" Target="/xl/sharedStrings.xml" Id="R96da2d2636e54b77" /><Relationship Type="http://schemas.openxmlformats.org/officeDocument/2006/relationships/worksheet" Target="/xl/worksheets/sheet1.xml" Id="R5eb34e0727fb4ef3" /><Relationship Type="http://schemas.openxmlformats.org/officeDocument/2006/relationships/worksheet" Target="/xl/worksheets/sheet2.xml" Id="R2440702fb35b4340" /><Relationship Type="http://schemas.openxmlformats.org/officeDocument/2006/relationships/worksheet" Target="/xl/worksheets/sheet3.xml" Id="R53f75886ffa5435b" /><Relationship Type="http://schemas.openxmlformats.org/officeDocument/2006/relationships/worksheet" Target="/xl/worksheets/sheet4.xml" Id="R9f12e2cad7ec4ca5" /></Relationships>
</file>

<file path=xl/tables/table1.xml><?xml version="1.0" encoding="utf-8"?>
<x:table xmlns:x="http://schemas.openxmlformats.org/spreadsheetml/2006/main" id="1" name="Dataset500" displayName="Dataset500" ref="A1:AY501" totalsRowShown="0">
  <x:tableColumns count="51">
    <x:tableColumn id="1" name="ID"/>
    <x:tableColumn id="2" name="Исходная ссылка" dataDxfId="36"/>
    <x:tableColumn id="3" name="Вариант оформления"/>
    <x:tableColumn id="4" name="Вид документа" dataDxfId="35"/>
    <x:tableColumn id="5" name="Применяемый ГОСТ"/>
    <x:tableColumn id="6" name="Авторы" dataDxfId="34"/>
    <x:tableColumn id="7" name="Заглавие"/>
    <x:tableColumn id="8" name="Содержащее издание" dataDxfId="33"/>
    <x:tableColumn id="9" name="Год"/>
    <x:tableColumn id="10" name="Том" dataDxfId="32"/>
    <x:tableColumn id="11" name="Номер или выпуск"/>
    <x:tableColumn id="12" name="Страницы или объём" dataDxfId="31"/>
    <x:tableColumn id="13" name="Значение страниц"/>
    <x:tableColumn id="14" name="Издатель" dataDxfId="30"/>
    <x:tableColumn id="15" name="Место издания"/>
    <x:tableColumn id="16" name="Сведения об издании" dataDxfId="29"/>
    <x:tableColumn id="17" name="ISBN"/>
    <x:tableColumn id="18" name="URL из исходной строки" dataDxfId="28"/>
    <x:tableColumn id="19" name="Дата обращения из строки"/>
    <x:tableColumn id="20" name="Способ сбора" dataDxfId="27"/>
    <x:tableColumn id="21" name="Источник списка литературы"/>
    <x:tableColumn id="22" name="Номер пункта в источнике" dataDxfId="26"/>
    <x:tableColumn id="23" name="Примечания к разметке"/>
    <x:tableColumn id="24" name="Основание разметки" dataDxfId="25"/>
    <x:tableColumn id="25" name="Независимая проверка человеком"/>
    <x:tableColumn id="26" name="DOI из исходной строки" dataDxfId="24"/>
    <x:tableColumn id="27" name="Документ с исходным списком"/>
    <x:tableColumn id="28" name="Год документа с исходным списком" dataDxfId="23"/>
    <x:tableColumn id="29" name="Дата обращения для оформления"/>
    <x:tableColumn id="30" name="Основание даты для оформления" dataDxfId="22"/>
    <x:tableColumn id="31" name="EDN"/>
    <x:tableColumn id="32" name="Часть набора" dataDxfId="21"/>
    <x:tableColumn id="33" name="Группа разделения"/>
    <x:tableColumn id="34" name="Статус варианта оформления" dataDxfId="11"/>
    <x:tableColumn id="35" name="Независимый проверяющий"/>
    <x:tableColumn id="36" name="Дата независимой проверки" dataDxfId="20"/>
    <x:tableColumn id="37" name="Тип исходного списка"/>
    <x:tableColumn id="38" name="Организация исходного списка" dataDxfId="19"/>
    <x:tableColumn id="39" name="Страница PDF"/>
    <x:tableColumn id="40" name="Основание выбора ГОСТ" dataDxfId="18"/>
    <x:tableColumn id="41" name="Профиль до текущей проверки"/>
    <x:tableColumn id="42" name="Иные сведения об ответственности" dataDxfId="17"/>
    <x:tableColumn id="43" name="Проверка исходного текста"/>
    <x:tableColumn id="44" name="Вид повторной проверки" dataDxfId="16"/>
    <x:tableColumn id="45" name="URL выбранной сетевой версии"/>
    <x:tableColumn id="46" name="Подтверждение сетевого объекта" dataDxfId="15"/>
    <x:tableColumn id="47" name="Проверка сетевого адреса 27.10.2026"/>
    <x:tableColumn id="48" name="Прежняя дата для оформления" dataDxfId="14"/>
    <x:tableColumn id="49" name="Происхождение прежней даты"/>
    <x:tableColumn id="50" name="В выборке контроля 100" dataDxfId="13"/>
    <x:tableColumn id="51" name="Дополнительное подтверждение" dataDxfId="12"/>
  </x:tableColumns>
  <x:tableStyleInfo name="TableStyleMedium2" showFirstColumn="0" showLastColumn="0" showRowStripes="1" showColumnStripes="0"/>
</x:table>
</file>

<file path=xl/tables/table2.xml><?xml version="1.0" encoding="utf-8"?>
<x:table xmlns:x="http://schemas.openxmlformats.org/spreadsheetml/2006/main" id="2" name="DocumentaryControl100" displayName="DocumentaryControl100" ref="A1:N101" totalsRowShown="0">
  <x:tableColumns count="14">
    <x:tableColumn id="1" name="ID"/>
    <x:tableColumn id="2" name="Тип списка" dataDxfId="4"/>
    <x:tableColumn id="3" name="Источник"/>
    <x:tableColumn id="4" name="Пункт" dataDxfId="10"/>
    <x:tableColumn id="5" name="Страница PDF"/>
    <x:tableColumn id="6" name="Проверка исходной строки" dataDxfId="9"/>
    <x:tableColumn id="7" name="Проверка полей"/>
    <x:tableColumn id="8" name="Профиль" dataDxfId="8"/>
    <x:tableColumn id="9" name="Основание профиля"/>
    <x:tableColumn id="10" name="Проверка оформления" dataDxfId="7"/>
    <x:tableColumn id="11" name="Замечания и исправления"/>
    <x:tableColumn id="12" name="Кто / способ проверки" dataDxfId="6"/>
    <x:tableColumn id="13" name="Дата"/>
    <x:tableColumn id="14" name="Ограничение" dataDxfId="5"/>
  </x:tableColumns>
  <x:tableStyleInfo name="TableStyleMedium2" showFirstColumn="0" showLastColumn="0" showRowStripes="1" showColumnStripes="0"/>
</x:table>
</file>

<file path=xl/tables/table3.xml><?xml version="1.0" encoding="utf-8"?>
<x:table xmlns:x="http://schemas.openxmlformats.org/spreadsheetml/2006/main" id="3" name="ExclusionLog" displayName="ExclusionLog" ref="A1:G17" totalsRowShown="0">
  <x:tableColumns count="7">
    <x:tableColumn id="1" name="ID кандидата"/>
    <x:tableColumn id="2" name="Причина исключения" dataDxfId="3"/>
    <x:tableColumn id="3" name="Исходная строка кандидата"/>
    <x:tableColumn id="4" name="Источник списка" dataDxfId="2"/>
    <x:tableColumn id="5" name="Пункт"/>
    <x:tableColumn id="6" name="Страница PDF" dataDxfId="1"/>
    <x:tableColumn id="7" name="Подтверждение"/>
  </x:tableColumns>
  <x:tableStyleInfo name="TableStyleMedium2" showFirstColumn="0" showLastColumn="0" showRowStripes="1" showColumnStripes="0"/>
</x:table>
</file>

<file path=xl/tables/table4.xml><?xml version="1.0" encoding="utf-8"?>
<x:table xmlns:x="http://schemas.openxmlformats.org/spreadsheetml/2006/main" id="4" name="DatasetMethod" displayName="DatasetMethod" ref="A1:B20" totalsRowShown="0">
  <x:tableColumns count="2">
    <x:tableColumn id="1" name="Положение"/>
    <x:tableColumn id="2" name="Содержание" dataDxfId="0"/>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480524258c54dd4" /></Relationships>
</file>

<file path=xl/worksheets/_rels/sheet2.xml.rels>&#65279;<?xml version="1.0" encoding="utf-8"?><Relationships xmlns="http://schemas.openxmlformats.org/package/2006/relationships"><Relationship Type="http://schemas.openxmlformats.org/officeDocument/2006/relationships/table" Target="/xl/tables/table2.xml" Id="R5570bd90f44e4a94" /></Relationships>
</file>

<file path=xl/worksheets/_rels/sheet3.xml.rels>&#65279;<?xml version="1.0" encoding="utf-8"?><Relationships xmlns="http://schemas.openxmlformats.org/package/2006/relationships"><Relationship Type="http://schemas.openxmlformats.org/officeDocument/2006/relationships/table" Target="/xl/tables/table3.xml" Id="R7d407ae8c7ab4ac9" /></Relationships>
</file>

<file path=xl/worksheets/_rels/sheet4.xml.rels>&#65279;<?xml version="1.0" encoding="utf-8"?><Relationships xmlns="http://schemas.openxmlformats.org/package/2006/relationships"><Relationship Type="http://schemas.openxmlformats.org/officeDocument/2006/relationships/table" Target="/xl/tables/table4.xml" Id="R1c1d8b693f844f2d"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4.25"/>
  <x:cols>
    <x:col min="1" max="1" width="11" customWidth="1"/>
    <x:col min="2" max="3" width="83" customWidth="1"/>
    <x:col min="4" max="4" width="29" customWidth="1"/>
    <x:col min="5" max="5" width="25" customWidth="1"/>
    <x:col min="6" max="6" width="42" customWidth="1"/>
    <x:col min="7" max="7" width="66" customWidth="1"/>
    <x:col min="8" max="8" width="55" customWidth="1"/>
    <x:col min="9" max="10" width="10" customWidth="1"/>
    <x:col min="11" max="11" width="18" customWidth="1"/>
    <x:col min="12" max="12" width="23.875" customWidth="1"/>
    <x:col min="13" max="13" width="25" customWidth="1"/>
    <x:col min="14" max="14" width="38" customWidth="1"/>
    <x:col min="15" max="15" width="24" customWidth="1"/>
    <x:col min="16" max="16" width="25" customWidth="1"/>
    <x:col min="17" max="17" width="32" customWidth="1"/>
    <x:col min="18" max="18" width="68" customWidth="1"/>
    <x:col min="19" max="19" width="22" customWidth="1"/>
    <x:col min="20" max="20" width="30" customWidth="1"/>
    <x:col min="21" max="21" width="75" customWidth="1"/>
    <x:col min="22" max="22" width="18" customWidth="1"/>
    <x:col min="23" max="23" width="85" customWidth="1"/>
    <x:col min="24" max="24" width="46" customWidth="1"/>
    <x:col min="25" max="25" width="32" customWidth="1"/>
    <x:col min="26" max="26" width="48" customWidth="1"/>
    <x:col min="27" max="27" width="90" customWidth="1"/>
    <x:col min="28" max="28" width="22" customWidth="1"/>
    <x:col min="29" max="29" width="23" customWidth="1"/>
    <x:col min="30" max="30" width="70" customWidth="1"/>
    <x:col min="31" max="31" width="18" customWidth="1"/>
    <x:col min="32" max="32" width="15" customWidth="1"/>
    <x:col min="33" max="33" width="65" customWidth="1"/>
    <x:col min="34" max="34" width="70" style="22" customWidth="1"/>
    <x:col min="35" max="35" width="30" customWidth="1"/>
    <x:col min="36" max="36" width="22" customWidth="1"/>
    <x:col min="37" max="37" width="25" customWidth="1"/>
    <x:col min="38" max="38" width="50" customWidth="1"/>
    <x:col min="39" max="39" width="18" customWidth="1"/>
    <x:col min="40" max="40" width="85" customWidth="1"/>
    <x:col min="41" max="41" width="25" customWidth="1"/>
    <x:col min="42" max="43" width="65" customWidth="1"/>
    <x:col min="44" max="44" width="70" customWidth="1"/>
    <x:col min="45" max="45" width="75" customWidth="1"/>
    <x:col min="46" max="46" width="85" customWidth="1"/>
    <x:col min="47" max="47" width="80" customWidth="1"/>
    <x:col min="48" max="48" width="22" customWidth="1"/>
    <x:col min="49" max="49" width="85" customWidth="1"/>
    <x:col min="50" max="50" width="25" customWidth="1"/>
    <x:col min="51" max="51" width="75" customWidth="1"/>
  </x:cols>
  <x:sheetData>
    <x:row r="1" ht="63.95000076293945" customHeight="1">
      <x:c r="A1" s="2" t="s">
        <x:v>0</x:v>
      </x:c>
      <x:c r="B1" s="7" t="s">
        <x:v>1</x:v>
      </x:c>
      <x:c r="C1" s="11" t="s">
        <x:v>2</x:v>
      </x:c>
      <x:c r="D1" s="7" t="s">
        <x:v>3</x:v>
      </x:c>
      <x:c r="E1" s="11" t="s">
        <x:v>4</x:v>
      </x:c>
      <x:c r="F1" s="7" t="s">
        <x:v>5</x:v>
      </x:c>
      <x:c r="G1" s="11" t="s">
        <x:v>6</x:v>
      </x:c>
      <x:c r="H1" s="2" t="s">
        <x:v>7</x:v>
      </x:c>
      <x:c r="I1" s="11" t="s">
        <x:v>8</x:v>
      </x:c>
      <x:c r="J1" s="2" t="s">
        <x:v>9</x:v>
      </x:c>
      <x:c r="K1" s="11" t="s">
        <x:v>10</x:v>
      </x:c>
      <x:c r="L1" s="2" t="s">
        <x:v>11</x:v>
      </x:c>
      <x:c r="M1" s="11" t="s">
        <x:v>12</x:v>
      </x:c>
      <x:c r="N1" s="2" t="s">
        <x:v>13</x:v>
      </x:c>
      <x:c r="O1" s="11" t="s">
        <x:v>14</x:v>
      </x:c>
      <x:c r="P1" s="2" t="s">
        <x:v>15</x:v>
      </x:c>
      <x:c r="Q1" s="11" t="s">
        <x:v>16</x:v>
      </x:c>
      <x:c r="R1" s="2" t="s">
        <x:v>17</x:v>
      </x:c>
      <x:c r="S1" s="11" t="s">
        <x:v>18</x:v>
      </x:c>
      <x:c r="T1" s="2" t="s">
        <x:v>19</x:v>
      </x:c>
      <x:c r="U1" s="11" t="s">
        <x:v>20</x:v>
      </x:c>
      <x:c r="V1" s="2" t="s">
        <x:v>21</x:v>
      </x:c>
      <x:c r="W1" s="11" t="s">
        <x:v>22</x:v>
      </x:c>
      <x:c r="X1" s="2" t="s">
        <x:v>23</x:v>
      </x:c>
      <x:c r="Y1" s="11" t="str">
        <x:v>Проверка автором и вторым разметчиком</x:v>
      </x:c>
      <x:c r="Z1" s="2" t="s">
        <x:v>24</x:v>
      </x:c>
      <x:c r="AA1" s="11" t="s">
        <x:v>25</x:v>
      </x:c>
      <x:c r="AB1" s="2" t="s">
        <x:v>26</x:v>
      </x:c>
      <x:c r="AC1" s="11" t="s">
        <x:v>27</x:v>
      </x:c>
      <x:c r="AD1" s="2" t="s">
        <x:v>28</x:v>
      </x:c>
      <x:c r="AE1" s="11" t="s">
        <x:v>29</x:v>
      </x:c>
      <x:c r="AF1" s="2" t="s">
        <x:v>30</x:v>
      </x:c>
      <x:c r="AG1" s="19" t="s">
        <x:v>31</x:v>
      </x:c>
      <x:c r="AH1" s="7" t="s">
        <x:v>32</x:v>
      </x:c>
      <x:c r="AI1" s="20" t="s">
        <x:v>33</x:v>
      </x:c>
      <x:c r="AJ1" s="2" t="s">
        <x:v>34</x:v>
      </x:c>
      <x:c r="AK1" s="11" t="s">
        <x:v>35</x:v>
      </x:c>
      <x:c r="AL1" s="2" t="s">
        <x:v>36</x:v>
      </x:c>
      <x:c r="AM1" s="11" t="s">
        <x:v>37</x:v>
      </x:c>
      <x:c r="AN1" s="2" t="s">
        <x:v>38</x:v>
      </x:c>
      <x:c r="AO1" s="11" t="s">
        <x:v>39</x:v>
      </x:c>
      <x:c r="AP1" s="2" t="s">
        <x:v>40</x:v>
      </x:c>
      <x:c r="AQ1" s="11" t="s">
        <x:v>41</x:v>
      </x:c>
      <x:c r="AR1" s="2" t="s">
        <x:v>42</x:v>
      </x:c>
      <x:c r="AS1" s="11" t="s">
        <x:v>43</x:v>
      </x:c>
      <x:c r="AT1" s="2" t="s">
        <x:v>44</x:v>
      </x:c>
      <x:c r="AU1" s="11" t="s">
        <x:v>45</x:v>
      </x:c>
      <x:c r="AV1" s="2" t="s">
        <x:v>46</x:v>
      </x:c>
      <x:c r="AW1" s="11" t="s">
        <x:v>47</x:v>
      </x:c>
      <x:c r="AX1" s="2" t="s">
        <x:v>48</x:v>
      </x:c>
      <x:c r="AY1" s="11" t="s">
        <x:v>49</x:v>
      </x:c>
    </x:row>
    <x:row r="2" ht="126" customHeight="1">
      <x:c r="A2" s="1" t="s">
        <x:v>50</x:v>
      </x:c>
      <x:c r="B2" s="8" t="s">
        <x:v>51</x:v>
      </x:c>
      <x:c r="C2" s="1" t="s">
        <x:v>52</x:v>
      </x:c>
      <x:c r="D2" s="8" t="s">
        <x:v>53</x:v>
      </x:c>
      <x:c r="E2" s="1" t="s">
        <x:v>54</x:v>
      </x:c>
      <x:c r="F2" s="8" t="s">
        <x:v>55</x:v>
      </x:c>
      <x:c r="G2" s="1" t="s">
        <x:v>56</x:v>
      </x:c>
      <x:c r="H2" s="10" t="s">
        <x:v>57</x:v>
      </x:c>
      <x:c r="I2" s="4">
        <x:v>2017</x:v>
      </x:c>
      <x:c r="J2" s="10" t="s">
        <x:v>58</x:v>
      </x:c>
      <x:c r="K2" s="1" t="s">
        <x:v>59</x:v>
      </x:c>
      <x:c r="L2" s="10" t="s">
        <x:v>60</x:v>
      </x:c>
      <x:c r="M2" s="1" t="s">
        <x:v>61</x:v>
      </x:c>
      <x:c r="N2" s="10"/>
      <x:c r="O2" s="1"/>
      <x:c r="P2" s="10"/>
      <x:c r="Q2" s="1"/>
      <x:c r="R2" s="10" t="s">
        <x:v>62</x:v>
      </x:c>
      <x:c r="S2" s="3"/>
      <x:c r="T2" s="10" t="s">
        <x:v>63</x:v>
      </x:c>
      <x:c r="U2" s="1" t="s">
        <x:v>64</x:v>
      </x:c>
      <x:c r="V2" s="12">
        <x:v>10</x:v>
      </x:c>
      <x:c r="W2" s="1" t="s">
        <x:v>65</x:v>
      </x:c>
      <x:c r="X2" s="10" t="s">
        <x:v>66</x:v>
      </x:c>
      <x:c r="Y2" s="1" t="str">
        <x:v>Проверено автором исследования</x:v>
      </x:c>
      <x:c r="Z2" s="10" t="s">
        <x:v>67</x:v>
      </x:c>
      <x:c r="AA2" s="1" t="s">
        <x:v>68</x:v>
      </x:c>
      <x:c r="AB2" s="12">
        <x:v>2025</x:v>
      </x:c>
      <x:c r="AC2" s="3">
        <x:v>46322</x:v>
      </x:c>
      <x:c r="AD2" s="10" t="s">
        <x:v>69</x:v>
      </x:c>
      <x:c r="AE2" s="1" t="s">
        <x:v>70</x:v>
      </x:c>
      <x:c r="AF2" s="10" t="s">
        <x:v>71</x:v>
      </x:c>
      <x:c r="AG2" s="1" t="s">
        <x:v>72</x:v>
      </x:c>
      <x:c r="AH2" s="8" t="str">
        <x:v>Краткая затекстовая ссылка; повторная документальная сверка выполнена</x:v>
      </x:c>
      <x:c r="AI2" s="1"/>
      <x:c r="AJ2" s="16"/>
      <x:c r="AK2" s="1" t="s">
        <x:v>73</x:v>
      </x:c>
      <x:c r="AL2" s="10" t="s">
        <x:v>74</x:v>
      </x:c>
      <x:c r="AM2" s="1"/>
      <x:c r="AN2" s="10" t="s">
        <x:v>75</x:v>
      </x:c>
      <x:c r="AO2" s="1" t="s">
        <x:v>76</x:v>
      </x:c>
      <x:c r="AP2" s="10"/>
      <x:c r="AQ2" s="1" t="s">
        <x:v>77</x:v>
      </x:c>
      <x:c r="AR2" s="10" t="str">
        <x:v>Проверка автором исследования</x:v>
      </x:c>
      <x:c r="AS2" s="1" t="s">
        <x:v>78</x:v>
      </x:c>
      <x:c r="AT2" s="10" t="s">
        <x:v>79</x:v>
      </x:c>
      <x:c r="AU2" s="1" t="s">
        <x:v>80</x:v>
      </x:c>
      <x:c r="AV2" s="16">
        <x:v>46321</x:v>
      </x:c>
      <x:c r="AW2" s="1" t="s">
        <x:v>81</x:v>
      </x:c>
      <x:c r="AX2" s="10" t="s">
        <x:v>82</x:v>
      </x:c>
      <x:c r="AY2" s="10"/>
    </x:row>
    <x:row r="3" ht="69.94999694824219" customHeight="1">
      <x:c r="A3" s="1" t="s">
        <x:v>83</x:v>
      </x:c>
      <x:c r="B3" s="8" t="s">
        <x:v>84</x:v>
      </x:c>
      <x:c r="C3" s="1" t="s">
        <x:v>85</x:v>
      </x:c>
      <x:c r="D3" s="8" t="s">
        <x:v>86</x:v>
      </x:c>
      <x:c r="E3" s="1" t="s">
        <x:v>76</x:v>
      </x:c>
      <x:c r="F3" s="8" t="s">
        <x:v>87</x:v>
      </x:c>
      <x:c r="G3" s="1" t="s">
        <x:v>88</x:v>
      </x:c>
      <x:c r="H3" s="8"/>
      <x:c r="I3" s="4">
        <x:v>2023</x:v>
      </x:c>
      <x:c r="J3" s="8"/>
      <x:c r="K3" s="1"/>
      <x:c r="L3" s="8" t="s">
        <x:v>89</x:v>
      </x:c>
      <x:c r="M3" s="1" t="s">
        <x:v>90</x:v>
      </x:c>
      <x:c r="N3" s="8" t="s">
        <x:v>91</x:v>
      </x:c>
      <x:c r="O3" s="1" t="s">
        <x:v>92</x:v>
      </x:c>
      <x:c r="P3" s="8"/>
      <x:c r="Q3" s="1"/>
      <x:c r="R3" s="8"/>
      <x:c r="S3" s="3"/>
      <x:c r="T3" s="8" t="s">
        <x:v>63</x:v>
      </x:c>
      <x:c r="U3" s="1" t="s">
        <x:v>64</x:v>
      </x:c>
      <x:c r="V3" s="13">
        <x:v>12</x:v>
      </x:c>
      <x:c r="W3" s="1" t="s">
        <x:v>65</x:v>
      </x:c>
      <x:c r="X3" s="8" t="s">
        <x:v>66</x:v>
      </x:c>
      <x:c r="Y3" s="1" t="str">
        <x:v>Проверено автором исследования</x:v>
      </x:c>
      <x:c r="Z3" s="8"/>
      <x:c r="AA3" s="1" t="s">
        <x:v>68</x:v>
      </x:c>
      <x:c r="AB3" s="13">
        <x:v>2025</x:v>
      </x:c>
      <x:c r="AC3" s="3"/>
      <x:c r="AD3" s="8" t="s">
        <x:v>93</x:v>
      </x:c>
      <x:c r="AE3" s="1" t="s">
        <x:v>94</x:v>
      </x:c>
      <x:c r="AF3" s="8" t="s">
        <x:v>71</x:v>
      </x:c>
      <x:c r="AG3" s="1" t="s">
        <x:v>72</x:v>
      </x:c>
      <x:c r="AH3" s="8" t="str">
        <x:v>Краткая затекстовая ссылка; повторная документальная сверка выполнена</x:v>
      </x:c>
      <x:c r="AI3" s="1"/>
      <x:c r="AJ3" s="17"/>
      <x:c r="AK3" s="1" t="s">
        <x:v>73</x:v>
      </x:c>
      <x:c r="AL3" s="8" t="s">
        <x:v>74</x:v>
      </x:c>
      <x:c r="AM3" s="1"/>
      <x:c r="AN3" s="8" t="s">
        <x:v>95</x:v>
      </x:c>
      <x:c r="AO3" s="1" t="s">
        <x:v>76</x:v>
      </x:c>
      <x:c r="AP3" s="8"/>
      <x:c r="AQ3" s="1" t="s">
        <x:v>77</x:v>
      </x:c>
      <x:c r="AR3" s="8" t="str">
        <x:v>Проверка автором исследования</x:v>
      </x:c>
      <x:c r="AS3" s="1"/>
      <x:c r="AT3" s="8" t="s">
        <x:v>96</x:v>
      </x:c>
      <x:c r="AU3" s="1" t="s">
        <x:v>97</x:v>
      </x:c>
      <x:c r="AV3" s="17"/>
      <x:c r="AW3" s="1" t="s">
        <x:v>98</x:v>
      </x:c>
      <x:c r="AX3" s="8" t="s">
        <x:v>82</x:v>
      </x:c>
      <x:c r="AY3" s="8"/>
    </x:row>
    <x:row r="4" ht="69.94999694824219" customHeight="1">
      <x:c r="A4" s="1" t="s">
        <x:v>99</x:v>
      </x:c>
      <x:c r="B4" s="8" t="s">
        <x:v>100</x:v>
      </x:c>
      <x:c r="C4" s="1" t="s">
        <x:v>101</x:v>
      </x:c>
      <x:c r="D4" s="8" t="s">
        <x:v>73</x:v>
      </x:c>
      <x:c r="E4" s="1" t="s">
        <x:v>76</x:v>
      </x:c>
      <x:c r="F4" s="8" t="s">
        <x:v>102</x:v>
      </x:c>
      <x:c r="G4" s="1" t="s">
        <x:v>103</x:v>
      </x:c>
      <x:c r="H4" s="8" t="s">
        <x:v>104</x:v>
      </x:c>
      <x:c r="I4" s="4">
        <x:v>1973</x:v>
      </x:c>
      <x:c r="J4" s="8" t="s">
        <x:v>105</x:v>
      </x:c>
      <x:c r="K4" s="1" t="s">
        <x:v>106</x:v>
      </x:c>
      <x:c r="L4" s="8" t="s">
        <x:v>107</x:v>
      </x:c>
      <x:c r="M4" s="1" t="s">
        <x:v>61</x:v>
      </x:c>
      <x:c r="N4" s="8"/>
      <x:c r="O4" s="1"/>
      <x:c r="P4" s="8"/>
      <x:c r="Q4" s="1"/>
      <x:c r="R4" s="8"/>
      <x:c r="S4" s="3"/>
      <x:c r="T4" s="8" t="s">
        <x:v>63</x:v>
      </x:c>
      <x:c r="U4" s="1" t="s">
        <x:v>64</x:v>
      </x:c>
      <x:c r="V4" s="13">
        <x:v>25</x:v>
      </x:c>
      <x:c r="W4" s="1" t="s">
        <x:v>65</x:v>
      </x:c>
      <x:c r="X4" s="8" t="s">
        <x:v>66</x:v>
      </x:c>
      <x:c r="Y4" s="1" t="str">
        <x:v>Проверено автором исследования</x:v>
      </x:c>
      <x:c r="Z4" s="8"/>
      <x:c r="AA4" s="1" t="s">
        <x:v>68</x:v>
      </x:c>
      <x:c r="AB4" s="13">
        <x:v>2025</x:v>
      </x:c>
      <x:c r="AC4" s="3"/>
      <x:c r="AD4" s="8" t="s">
        <x:v>93</x:v>
      </x:c>
      <x:c r="AE4" s="1"/>
      <x:c r="AF4" s="8" t="s">
        <x:v>71</x:v>
      </x:c>
      <x:c r="AG4" s="1" t="s">
        <x:v>72</x:v>
      </x:c>
      <x:c r="AH4" s="8" t="str">
        <x:v>Краткая затекстовая ссылка; повторная документальная сверка выполнена</x:v>
      </x:c>
      <x:c r="AI4" s="1"/>
      <x:c r="AJ4" s="17"/>
      <x:c r="AK4" s="1" t="s">
        <x:v>73</x:v>
      </x:c>
      <x:c r="AL4" s="8" t="s">
        <x:v>74</x:v>
      </x:c>
      <x:c r="AM4" s="1"/>
      <x:c r="AN4" s="8" t="s">
        <x:v>95</x:v>
      </x:c>
      <x:c r="AO4" s="1" t="s">
        <x:v>76</x:v>
      </x:c>
      <x:c r="AP4" s="8"/>
      <x:c r="AQ4" s="1" t="s">
        <x:v>77</x:v>
      </x:c>
      <x:c r="AR4" s="8" t="str">
        <x:v>Проверка автором исследования</x:v>
      </x:c>
      <x:c r="AS4" s="1"/>
      <x:c r="AT4" s="8" t="s">
        <x:v>96</x:v>
      </x:c>
      <x:c r="AU4" s="1" t="s">
        <x:v>97</x:v>
      </x:c>
      <x:c r="AV4" s="17"/>
      <x:c r="AW4" s="1" t="s">
        <x:v>98</x:v>
      </x:c>
      <x:c r="AX4" s="8" t="s">
        <x:v>82</x:v>
      </x:c>
      <x:c r="AY4" s="8"/>
    </x:row>
    <x:row r="5" ht="69.94999694824219" customHeight="1">
      <x:c r="A5" s="1" t="s">
        <x:v>108</x:v>
      </x:c>
      <x:c r="B5" s="8" t="s">
        <x:v>109</x:v>
      </x:c>
      <x:c r="C5" s="1" t="s">
        <x:v>110</x:v>
      </x:c>
      <x:c r="D5" s="8" t="s">
        <x:v>86</x:v>
      </x:c>
      <x:c r="E5" s="1" t="s">
        <x:v>76</x:v>
      </x:c>
      <x:c r="F5" s="8" t="s">
        <x:v>111</x:v>
      </x:c>
      <x:c r="G5" s="1" t="s">
        <x:v>112</x:v>
      </x:c>
      <x:c r="H5" s="8"/>
      <x:c r="I5" s="4">
        <x:v>2022</x:v>
      </x:c>
      <x:c r="J5" s="8"/>
      <x:c r="K5" s="1"/>
      <x:c r="L5" s="8" t="s">
        <x:v>113</x:v>
      </x:c>
      <x:c r="M5" s="1" t="s">
        <x:v>90</x:v>
      </x:c>
      <x:c r="N5" s="8" t="s">
        <x:v>114</x:v>
      </x:c>
      <x:c r="O5" s="1" t="s">
        <x:v>92</x:v>
      </x:c>
      <x:c r="P5" s="8"/>
      <x:c r="Q5" s="1"/>
      <x:c r="R5" s="8"/>
      <x:c r="S5" s="3"/>
      <x:c r="T5" s="8" t="s">
        <x:v>63</x:v>
      </x:c>
      <x:c r="U5" s="1" t="s">
        <x:v>115</x:v>
      </x:c>
      <x:c r="V5" s="13">
        <x:v>3</x:v>
      </x:c>
      <x:c r="W5" s="1" t="s">
        <x:v>65</x:v>
      </x:c>
      <x:c r="X5" s="8" t="s">
        <x:v>66</x:v>
      </x:c>
      <x:c r="Y5" s="1" t="str">
        <x:v>Проверено автором исследования</x:v>
      </x:c>
      <x:c r="Z5" s="8"/>
      <x:c r="AA5" s="1" t="s">
        <x:v>116</x:v>
      </x:c>
      <x:c r="AB5" s="13">
        <x:v>2025</x:v>
      </x:c>
      <x:c r="AC5" s="3"/>
      <x:c r="AD5" s="8" t="s">
        <x:v>93</x:v>
      </x:c>
      <x:c r="AE5" s="1" t="s">
        <x:v>117</x:v>
      </x:c>
      <x:c r="AF5" s="8" t="s">
        <x:v>118</x:v>
      </x:c>
      <x:c r="AG5" s="1" t="s">
        <x:v>119</x:v>
      </x:c>
      <x:c r="AH5" s="8" t="str">
        <x:v>Краткая затекстовая ссылка; повторная документальная сверка выполнена</x:v>
      </x:c>
      <x:c r="AI5" s="1"/>
      <x:c r="AJ5" s="17"/>
      <x:c r="AK5" s="1" t="s">
        <x:v>73</x:v>
      </x:c>
      <x:c r="AL5" s="8" t="s">
        <x:v>74</x:v>
      </x:c>
      <x:c r="AM5" s="1"/>
      <x:c r="AN5" s="8" t="s">
        <x:v>95</x:v>
      </x:c>
      <x:c r="AO5" s="1" t="s">
        <x:v>76</x:v>
      </x:c>
      <x:c r="AP5" s="8"/>
      <x:c r="AQ5" s="1" t="s">
        <x:v>77</x:v>
      </x:c>
      <x:c r="AR5" s="8" t="str">
        <x:v>Проверка автором исследования</x:v>
      </x:c>
      <x:c r="AS5" s="1"/>
      <x:c r="AT5" s="8" t="s">
        <x:v>96</x:v>
      </x:c>
      <x:c r="AU5" s="1" t="s">
        <x:v>97</x:v>
      </x:c>
      <x:c r="AV5" s="17"/>
      <x:c r="AW5" s="1" t="s">
        <x:v>98</x:v>
      </x:c>
      <x:c r="AX5" s="8" t="s">
        <x:v>82</x:v>
      </x:c>
      <x:c r="AY5" s="8"/>
    </x:row>
    <x:row r="6" ht="69.94999694824219" customHeight="1">
      <x:c r="A6" s="1" t="s">
        <x:v>120</x:v>
      </x:c>
      <x:c r="B6" s="8" t="s">
        <x:v>121</x:v>
      </x:c>
      <x:c r="C6" s="1" t="s">
        <x:v>122</x:v>
      </x:c>
      <x:c r="D6" s="8" t="s">
        <x:v>73</x:v>
      </x:c>
      <x:c r="E6" s="1" t="s">
        <x:v>76</x:v>
      </x:c>
      <x:c r="F6" s="8" t="s">
        <x:v>123</x:v>
      </x:c>
      <x:c r="G6" s="1" t="s">
        <x:v>124</x:v>
      </x:c>
      <x:c r="H6" s="8" t="s">
        <x:v>125</x:v>
      </x:c>
      <x:c r="I6" s="4">
        <x:v>2012</x:v>
      </x:c>
      <x:c r="J6" s="8"/>
      <x:c r="K6" s="1" t="s">
        <x:v>126</x:v>
      </x:c>
      <x:c r="L6" s="8" t="s">
        <x:v>127</x:v>
      </x:c>
      <x:c r="M6" s="1" t="s">
        <x:v>61</x:v>
      </x:c>
      <x:c r="N6" s="8"/>
      <x:c r="O6" s="1"/>
      <x:c r="P6" s="8"/>
      <x:c r="Q6" s="1"/>
      <x:c r="R6" s="8"/>
      <x:c r="S6" s="3"/>
      <x:c r="T6" s="8" t="s">
        <x:v>63</x:v>
      </x:c>
      <x:c r="U6" s="1" t="s">
        <x:v>128</x:v>
      </x:c>
      <x:c r="V6" s="13">
        <x:v>1</x:v>
      </x:c>
      <x:c r="W6" s="1" t="s">
        <x:v>65</x:v>
      </x:c>
      <x:c r="X6" s="8" t="s">
        <x:v>66</x:v>
      </x:c>
      <x:c r="Y6" s="1" t="str">
        <x:v>Проверено автором исследования</x:v>
      </x:c>
      <x:c r="Z6" s="8"/>
      <x:c r="AA6" s="1" t="s">
        <x:v>129</x:v>
      </x:c>
      <x:c r="AB6" s="13">
        <x:v>2025</x:v>
      </x:c>
      <x:c r="AC6" s="3"/>
      <x:c r="AD6" s="8" t="s">
        <x:v>93</x:v>
      </x:c>
      <x:c r="AE6" s="1" t="s">
        <x:v>130</x:v>
      </x:c>
      <x:c r="AF6" s="8" t="s">
        <x:v>118</x:v>
      </x:c>
      <x:c r="AG6" s="1" t="s">
        <x:v>131</x:v>
      </x:c>
      <x:c r="AH6" s="8" t="str">
        <x:v>Краткая затекстовая ссылка; повторная документальная сверка выполнена</x:v>
      </x:c>
      <x:c r="AI6" s="1"/>
      <x:c r="AJ6" s="17"/>
      <x:c r="AK6" s="1" t="s">
        <x:v>73</x:v>
      </x:c>
      <x:c r="AL6" s="8" t="s">
        <x:v>74</x:v>
      </x:c>
      <x:c r="AM6" s="1"/>
      <x:c r="AN6" s="8" t="s">
        <x:v>95</x:v>
      </x:c>
      <x:c r="AO6" s="1" t="s">
        <x:v>76</x:v>
      </x:c>
      <x:c r="AP6" s="8"/>
      <x:c r="AQ6" s="1" t="s">
        <x:v>77</x:v>
      </x:c>
      <x:c r="AR6" s="8" t="str">
        <x:v>Проверка автором исследования</x:v>
      </x:c>
      <x:c r="AS6" s="1"/>
      <x:c r="AT6" s="8" t="s">
        <x:v>96</x:v>
      </x:c>
      <x:c r="AU6" s="1" t="s">
        <x:v>97</x:v>
      </x:c>
      <x:c r="AV6" s="17"/>
      <x:c r="AW6" s="1" t="s">
        <x:v>98</x:v>
      </x:c>
      <x:c r="AX6" s="8" t="s">
        <x:v>82</x:v>
      </x:c>
      <x:c r="AY6" s="8"/>
    </x:row>
    <x:row r="7" ht="69.94999694824219" customHeight="1">
      <x:c r="A7" s="1" t="s">
        <x:v>132</x:v>
      </x:c>
      <x:c r="B7" s="8" t="s">
        <x:v>133</x:v>
      </x:c>
      <x:c r="C7" s="1" t="s">
        <x:v>134</x:v>
      </x:c>
      <x:c r="D7" s="8" t="s">
        <x:v>86</x:v>
      </x:c>
      <x:c r="E7" s="1" t="s">
        <x:v>76</x:v>
      </x:c>
      <x:c r="F7" s="8" t="s">
        <x:v>135</x:v>
      </x:c>
      <x:c r="G7" s="1" t="s">
        <x:v>136</x:v>
      </x:c>
      <x:c r="H7" s="8"/>
      <x:c r="I7" s="4">
        <x:v>2014</x:v>
      </x:c>
      <x:c r="J7" s="8"/>
      <x:c r="K7" s="1"/>
      <x:c r="L7" s="8" t="s">
        <x:v>137</x:v>
      </x:c>
      <x:c r="M7" s="1" t="s">
        <x:v>90</x:v>
      </x:c>
      <x:c r="N7" s="8" t="s">
        <x:v>138</x:v>
      </x:c>
      <x:c r="O7" s="1" t="s">
        <x:v>92</x:v>
      </x:c>
      <x:c r="P7" s="8"/>
      <x:c r="Q7" s="1"/>
      <x:c r="R7" s="8"/>
      <x:c r="S7" s="3"/>
      <x:c r="T7" s="8" t="s">
        <x:v>63</x:v>
      </x:c>
      <x:c r="U7" s="1" t="s">
        <x:v>139</x:v>
      </x:c>
      <x:c r="V7" s="13">
        <x:v>3</x:v>
      </x:c>
      <x:c r="W7" s="1" t="s">
        <x:v>140</x:v>
      </x:c>
      <x:c r="X7" s="8" t="s">
        <x:v>66</x:v>
      </x:c>
      <x:c r="Y7" s="1" t="str">
        <x:v>Проверено автором; дополнительно проверено Михаилом Саяпиным</x:v>
      </x:c>
      <x:c r="Z7" s="8"/>
      <x:c r="AA7" s="1" t="s">
        <x:v>141</x:v>
      </x:c>
      <x:c r="AB7" s="13">
        <x:v>2025</x:v>
      </x:c>
      <x:c r="AC7" s="3"/>
      <x:c r="AD7" s="8" t="s">
        <x:v>93</x:v>
      </x:c>
      <x:c r="AE7" s="1" t="s">
        <x:v>142</x:v>
      </x:c>
      <x:c r="AF7" s="8" t="s">
        <x:v>71</x:v>
      </x:c>
      <x:c r="AG7" s="1" t="s">
        <x:v>143</x:v>
      </x:c>
      <x:c r="AH7" s="8" t="s">
        <x:v>144</x:v>
      </x:c>
      <x:c r="AI7" s="1" t="s">
        <x:v>145</x:v>
      </x:c>
      <x:c r="AJ7" s="17">
        <x:v>46323</x:v>
      </x:c>
      <x:c r="AK7" s="1" t="s">
        <x:v>73</x:v>
      </x:c>
      <x:c r="AL7" s="8" t="s">
        <x:v>74</x:v>
      </x:c>
      <x:c r="AM7" s="1"/>
      <x:c r="AN7" s="8" t="s">
        <x:v>95</x:v>
      </x:c>
      <x:c r="AO7" s="1" t="s">
        <x:v>76</x:v>
      </x:c>
      <x:c r="AP7" s="8"/>
      <x:c r="AQ7" s="1" t="s">
        <x:v>77</x:v>
      </x:c>
      <x:c r="AR7" s="8" t="str">
        <x:v>Проверка автором исследования; дополнительная проверка Михаилом Саяпиным; согласование 28.10.2026</x:v>
      </x:c>
      <x:c r="AS7" s="1"/>
      <x:c r="AT7" s="8" t="s">
        <x:v>96</x:v>
      </x:c>
      <x:c r="AU7" s="1" t="s">
        <x:v>97</x:v>
      </x:c>
      <x:c r="AV7" s="17"/>
      <x:c r="AW7" s="1" t="s">
        <x:v>98</x:v>
      </x:c>
      <x:c r="AX7" s="8" t="s">
        <x:v>146</x:v>
      </x:c>
      <x:c r="AY7" s="8" t="s">
        <x:v>147</x:v>
      </x:c>
    </x:row>
    <x:row r="8" ht="69.94999694824219" customHeight="1">
      <x:c r="A8" s="1" t="s">
        <x:v>148</x:v>
      </x:c>
      <x:c r="B8" s="8" t="s">
        <x:v>149</x:v>
      </x:c>
      <x:c r="C8" s="1" t="s">
        <x:v>150</x:v>
      </x:c>
      <x:c r="D8" s="8" t="s">
        <x:v>73</x:v>
      </x:c>
      <x:c r="E8" s="1" t="s">
        <x:v>76</x:v>
      </x:c>
      <x:c r="F8" s="8" t="s">
        <x:v>151</x:v>
      </x:c>
      <x:c r="G8" s="1" t="s">
        <x:v>152</x:v>
      </x:c>
      <x:c r="H8" s="8" t="s">
        <x:v>153</x:v>
      </x:c>
      <x:c r="I8" s="4">
        <x:v>2024</x:v>
      </x:c>
      <x:c r="J8" s="8"/>
      <x:c r="K8" s="1" t="s">
        <x:v>154</x:v>
      </x:c>
      <x:c r="L8" s="8" t="s">
        <x:v>155</x:v>
      </x:c>
      <x:c r="M8" s="1" t="s">
        <x:v>61</x:v>
      </x:c>
      <x:c r="N8" s="8"/>
      <x:c r="O8" s="1"/>
      <x:c r="P8" s="8"/>
      <x:c r="Q8" s="1"/>
      <x:c r="R8" s="8"/>
      <x:c r="S8" s="3"/>
      <x:c r="T8" s="8" t="s">
        <x:v>63</x:v>
      </x:c>
      <x:c r="U8" s="1" t="s">
        <x:v>139</x:v>
      </x:c>
      <x:c r="V8" s="13">
        <x:v>8</x:v>
      </x:c>
      <x:c r="W8" s="1" t="s">
        <x:v>65</x:v>
      </x:c>
      <x:c r="X8" s="8" t="s">
        <x:v>66</x:v>
      </x:c>
      <x:c r="Y8" s="1" t="str">
        <x:v>Проверено автором исследования</x:v>
      </x:c>
      <x:c r="Z8" s="8"/>
      <x:c r="AA8" s="1" t="s">
        <x:v>141</x:v>
      </x:c>
      <x:c r="AB8" s="13">
        <x:v>2025</x:v>
      </x:c>
      <x:c r="AC8" s="3"/>
      <x:c r="AD8" s="8" t="s">
        <x:v>93</x:v>
      </x:c>
      <x:c r="AE8" s="1" t="s">
        <x:v>156</x:v>
      </x:c>
      <x:c r="AF8" s="8" t="s">
        <x:v>71</x:v>
      </x:c>
      <x:c r="AG8" s="1" t="s">
        <x:v>143</x:v>
      </x:c>
      <x:c r="AH8" s="8" t="str">
        <x:v>Краткая затекстовая ссылка; повторная документальная сверка выполнена</x:v>
      </x:c>
      <x:c r="AI8" s="1"/>
      <x:c r="AJ8" s="17"/>
      <x:c r="AK8" s="1" t="s">
        <x:v>73</x:v>
      </x:c>
      <x:c r="AL8" s="8" t="s">
        <x:v>74</x:v>
      </x:c>
      <x:c r="AM8" s="1"/>
      <x:c r="AN8" s="8" t="s">
        <x:v>95</x:v>
      </x:c>
      <x:c r="AO8" s="1" t="s">
        <x:v>76</x:v>
      </x:c>
      <x:c r="AP8" s="8"/>
      <x:c r="AQ8" s="1" t="s">
        <x:v>77</x:v>
      </x:c>
      <x:c r="AR8" s="8" t="str">
        <x:v>Проверка автором исследования</x:v>
      </x:c>
      <x:c r="AS8" s="1"/>
      <x:c r="AT8" s="8" t="s">
        <x:v>96</x:v>
      </x:c>
      <x:c r="AU8" s="1" t="s">
        <x:v>97</x:v>
      </x:c>
      <x:c r="AV8" s="17"/>
      <x:c r="AW8" s="1" t="s">
        <x:v>98</x:v>
      </x:c>
      <x:c r="AX8" s="8" t="s">
        <x:v>82</x:v>
      </x:c>
      <x:c r="AY8" s="8"/>
    </x:row>
    <x:row r="9" ht="69.94999694824219" customHeight="1">
      <x:c r="A9" s="1" t="s">
        <x:v>157</x:v>
      </x:c>
      <x:c r="B9" s="8" t="s">
        <x:v>158</x:v>
      </x:c>
      <x:c r="C9" s="1" t="s">
        <x:v>159</x:v>
      </x:c>
      <x:c r="D9" s="8" t="s">
        <x:v>73</x:v>
      </x:c>
      <x:c r="E9" s="1" t="s">
        <x:v>76</x:v>
      </x:c>
      <x:c r="F9" s="8" t="s">
        <x:v>160</x:v>
      </x:c>
      <x:c r="G9" s="1" t="s">
        <x:v>161</x:v>
      </x:c>
      <x:c r="H9" s="8" t="s">
        <x:v>162</x:v>
      </x:c>
      <x:c r="I9" s="4">
        <x:v>2019</x:v>
      </x:c>
      <x:c r="J9" s="8"/>
      <x:c r="K9" s="1" t="s">
        <x:v>163</x:v>
      </x:c>
      <x:c r="L9" s="8" t="s">
        <x:v>164</x:v>
      </x:c>
      <x:c r="M9" s="1" t="s">
        <x:v>61</x:v>
      </x:c>
      <x:c r="N9" s="8"/>
      <x:c r="O9" s="1"/>
      <x:c r="P9" s="8"/>
      <x:c r="Q9" s="1"/>
      <x:c r="R9" s="8"/>
      <x:c r="S9" s="3"/>
      <x:c r="T9" s="8" t="s">
        <x:v>63</x:v>
      </x:c>
      <x:c r="U9" s="1" t="s">
        <x:v>139</x:v>
      </x:c>
      <x:c r="V9" s="13">
        <x:v>21</x:v>
      </x:c>
      <x:c r="W9" s="1" t="s">
        <x:v>65</x:v>
      </x:c>
      <x:c r="X9" s="8" t="s">
        <x:v>66</x:v>
      </x:c>
      <x:c r="Y9" s="1" t="str">
        <x:v>Проверено автором исследования</x:v>
      </x:c>
      <x:c r="Z9" s="8"/>
      <x:c r="AA9" s="1" t="s">
        <x:v>141</x:v>
      </x:c>
      <x:c r="AB9" s="13">
        <x:v>2025</x:v>
      </x:c>
      <x:c r="AC9" s="3"/>
      <x:c r="AD9" s="8" t="s">
        <x:v>93</x:v>
      </x:c>
      <x:c r="AE9" s="1" t="s">
        <x:v>165</x:v>
      </x:c>
      <x:c r="AF9" s="8" t="s">
        <x:v>71</x:v>
      </x:c>
      <x:c r="AG9" s="1" t="s">
        <x:v>143</x:v>
      </x:c>
      <x:c r="AH9" s="8" t="str">
        <x:v>Краткая затекстовая ссылка; повторная документальная сверка выполнена</x:v>
      </x:c>
      <x:c r="AI9" s="1"/>
      <x:c r="AJ9" s="17"/>
      <x:c r="AK9" s="1" t="s">
        <x:v>73</x:v>
      </x:c>
      <x:c r="AL9" s="8" t="s">
        <x:v>74</x:v>
      </x:c>
      <x:c r="AM9" s="1"/>
      <x:c r="AN9" s="8" t="s">
        <x:v>95</x:v>
      </x:c>
      <x:c r="AO9" s="1" t="s">
        <x:v>76</x:v>
      </x:c>
      <x:c r="AP9" s="8"/>
      <x:c r="AQ9" s="1" t="s">
        <x:v>77</x:v>
      </x:c>
      <x:c r="AR9" s="8" t="str">
        <x:v>Проверка автором исследования</x:v>
      </x:c>
      <x:c r="AS9" s="1"/>
      <x:c r="AT9" s="8" t="s">
        <x:v>96</x:v>
      </x:c>
      <x:c r="AU9" s="1" t="s">
        <x:v>97</x:v>
      </x:c>
      <x:c r="AV9" s="17"/>
      <x:c r="AW9" s="1" t="s">
        <x:v>98</x:v>
      </x:c>
      <x:c r="AX9" s="8" t="s">
        <x:v>82</x:v>
      </x:c>
      <x:c r="AY9" s="8"/>
    </x:row>
    <x:row r="10" ht="69.94999694824219" customHeight="1">
      <x:c r="A10" s="1" t="s">
        <x:v>166</x:v>
      </x:c>
      <x:c r="B10" s="8" t="s">
        <x:v>167</x:v>
      </x:c>
      <x:c r="C10" s="1" t="s">
        <x:v>168</x:v>
      </x:c>
      <x:c r="D10" s="8" t="s">
        <x:v>86</x:v>
      </x:c>
      <x:c r="E10" s="1" t="s">
        <x:v>76</x:v>
      </x:c>
      <x:c r="F10" s="8" t="s">
        <x:v>169</x:v>
      </x:c>
      <x:c r="G10" s="1" t="s">
        <x:v>170</x:v>
      </x:c>
      <x:c r="H10" s="8"/>
      <x:c r="I10" s="4">
        <x:v>1985</x:v>
      </x:c>
      <x:c r="J10" s="8"/>
      <x:c r="K10" s="1"/>
      <x:c r="L10" s="8" t="s">
        <x:v>171</x:v>
      </x:c>
      <x:c r="M10" s="1" t="s">
        <x:v>90</x:v>
      </x:c>
      <x:c r="N10" s="8" t="s">
        <x:v>172</x:v>
      </x:c>
      <x:c r="O10" s="1" t="s">
        <x:v>92</x:v>
      </x:c>
      <x:c r="P10" s="8"/>
      <x:c r="Q10" s="1"/>
      <x:c r="R10" s="8"/>
      <x:c r="S10" s="3"/>
      <x:c r="T10" s="8" t="s">
        <x:v>63</x:v>
      </x:c>
      <x:c r="U10" s="1" t="s">
        <x:v>173</x:v>
      </x:c>
      <x:c r="V10" s="13">
        <x:v>3</x:v>
      </x:c>
      <x:c r="W10" s="1" t="s">
        <x:v>65</x:v>
      </x:c>
      <x:c r="X10" s="8" t="s">
        <x:v>66</x:v>
      </x:c>
      <x:c r="Y10" s="1" t="str">
        <x:v>Проверено автором исследования</x:v>
      </x:c>
      <x:c r="Z10" s="8"/>
      <x:c r="AA10" s="1" t="s">
        <x:v>174</x:v>
      </x:c>
      <x:c r="AB10" s="13">
        <x:v>2025</x:v>
      </x:c>
      <x:c r="AC10" s="3"/>
      <x:c r="AD10" s="8" t="s">
        <x:v>93</x:v>
      </x:c>
      <x:c r="AE10" s="1"/>
      <x:c r="AF10" s="8" t="s">
        <x:v>118</x:v>
      </x:c>
      <x:c r="AG10" s="1" t="s">
        <x:v>175</x:v>
      </x:c>
      <x:c r="AH10" s="8" t="str">
        <x:v>Краткая затекстовая ссылка; повторная документальная сверка выполнена</x:v>
      </x:c>
      <x:c r="AI10" s="1"/>
      <x:c r="AJ10" s="17"/>
      <x:c r="AK10" s="1" t="s">
        <x:v>73</x:v>
      </x:c>
      <x:c r="AL10" s="8" t="s">
        <x:v>74</x:v>
      </x:c>
      <x:c r="AM10" s="1"/>
      <x:c r="AN10" s="8" t="s">
        <x:v>95</x:v>
      </x:c>
      <x:c r="AO10" s="1" t="s">
        <x:v>76</x:v>
      </x:c>
      <x:c r="AP10" s="8"/>
      <x:c r="AQ10" s="1" t="s">
        <x:v>77</x:v>
      </x:c>
      <x:c r="AR10" s="8" t="str">
        <x:v>Проверка автором исследования</x:v>
      </x:c>
      <x:c r="AS10" s="1"/>
      <x:c r="AT10" s="8" t="s">
        <x:v>96</x:v>
      </x:c>
      <x:c r="AU10" s="1" t="s">
        <x:v>97</x:v>
      </x:c>
      <x:c r="AV10" s="17"/>
      <x:c r="AW10" s="1" t="s">
        <x:v>98</x:v>
      </x:c>
      <x:c r="AX10" s="8" t="s">
        <x:v>82</x:v>
      </x:c>
      <x:c r="AY10" s="8"/>
    </x:row>
    <x:row r="11" ht="69.94999694824219" customHeight="1">
      <x:c r="A11" s="1" t="s">
        <x:v>176</x:v>
      </x:c>
      <x:c r="B11" s="8" t="s">
        <x:v>177</x:v>
      </x:c>
      <x:c r="C11" s="1" t="s">
        <x:v>178</x:v>
      </x:c>
      <x:c r="D11" s="8" t="s">
        <x:v>73</x:v>
      </x:c>
      <x:c r="E11" s="1" t="s">
        <x:v>76</x:v>
      </x:c>
      <x:c r="F11" s="8" t="s">
        <x:v>179</x:v>
      </x:c>
      <x:c r="G11" s="1" t="s">
        <x:v>180</x:v>
      </x:c>
      <x:c r="H11" s="8" t="s">
        <x:v>181</x:v>
      </x:c>
      <x:c r="I11" s="4">
        <x:v>2011</x:v>
      </x:c>
      <x:c r="J11" s="8"/>
      <x:c r="K11" s="1" t="s">
        <x:v>182</x:v>
      </x:c>
      <x:c r="L11" s="8" t="s">
        <x:v>183</x:v>
      </x:c>
      <x:c r="M11" s="1" t="s">
        <x:v>61</x:v>
      </x:c>
      <x:c r="N11" s="8"/>
      <x:c r="O11" s="1"/>
      <x:c r="P11" s="8"/>
      <x:c r="Q11" s="1"/>
      <x:c r="R11" s="8"/>
      <x:c r="S11" s="3"/>
      <x:c r="T11" s="8" t="s">
        <x:v>63</x:v>
      </x:c>
      <x:c r="U11" s="1" t="s">
        <x:v>173</x:v>
      </x:c>
      <x:c r="V11" s="13">
        <x:v>5</x:v>
      </x:c>
      <x:c r="W11" s="1" t="s">
        <x:v>65</x:v>
      </x:c>
      <x:c r="X11" s="8" t="s">
        <x:v>66</x:v>
      </x:c>
      <x:c r="Y11" s="1" t="str">
        <x:v>Проверено автором исследования</x:v>
      </x:c>
      <x:c r="Z11" s="8"/>
      <x:c r="AA11" s="1" t="s">
        <x:v>174</x:v>
      </x:c>
      <x:c r="AB11" s="13">
        <x:v>2025</x:v>
      </x:c>
      <x:c r="AC11" s="3"/>
      <x:c r="AD11" s="8" t="s">
        <x:v>93</x:v>
      </x:c>
      <x:c r="AE11" s="1"/>
      <x:c r="AF11" s="8" t="s">
        <x:v>118</x:v>
      </x:c>
      <x:c r="AG11" s="1" t="s">
        <x:v>175</x:v>
      </x:c>
      <x:c r="AH11" s="8" t="str">
        <x:v>Краткая затекстовая ссылка; повторная документальная сверка выполнена</x:v>
      </x:c>
      <x:c r="AI11" s="1"/>
      <x:c r="AJ11" s="17"/>
      <x:c r="AK11" s="1" t="s">
        <x:v>73</x:v>
      </x:c>
      <x:c r="AL11" s="8" t="s">
        <x:v>74</x:v>
      </x:c>
      <x:c r="AM11" s="1"/>
      <x:c r="AN11" s="8" t="s">
        <x:v>95</x:v>
      </x:c>
      <x:c r="AO11" s="1" t="s">
        <x:v>76</x:v>
      </x:c>
      <x:c r="AP11" s="8"/>
      <x:c r="AQ11" s="1" t="s">
        <x:v>77</x:v>
      </x:c>
      <x:c r="AR11" s="8" t="str">
        <x:v>Проверка автором исследования</x:v>
      </x:c>
      <x:c r="AS11" s="1"/>
      <x:c r="AT11" s="8" t="s">
        <x:v>96</x:v>
      </x:c>
      <x:c r="AU11" s="1" t="s">
        <x:v>97</x:v>
      </x:c>
      <x:c r="AV11" s="17"/>
      <x:c r="AW11" s="1" t="s">
        <x:v>98</x:v>
      </x:c>
      <x:c r="AX11" s="8" t="s">
        <x:v>82</x:v>
      </x:c>
      <x:c r="AY11" s="8"/>
    </x:row>
    <x:row r="12" ht="69.94999694824219" customHeight="1">
      <x:c r="A12" s="1" t="s">
        <x:v>184</x:v>
      </x:c>
      <x:c r="B12" s="8" t="s">
        <x:v>185</x:v>
      </x:c>
      <x:c r="C12" s="1" t="s">
        <x:v>186</x:v>
      </x:c>
      <x:c r="D12" s="8" t="s">
        <x:v>73</x:v>
      </x:c>
      <x:c r="E12" s="1" t="s">
        <x:v>76</x:v>
      </x:c>
      <x:c r="F12" s="8" t="s">
        <x:v>187</x:v>
      </x:c>
      <x:c r="G12" s="1" t="s">
        <x:v>188</x:v>
      </x:c>
      <x:c r="H12" s="8" t="s">
        <x:v>189</x:v>
      </x:c>
      <x:c r="I12" s="4">
        <x:v>2000</x:v>
      </x:c>
      <x:c r="J12" s="8"/>
      <x:c r="K12" s="1" t="s">
        <x:v>190</x:v>
      </x:c>
      <x:c r="L12" s="8" t="s">
        <x:v>191</x:v>
      </x:c>
      <x:c r="M12" s="1" t="s">
        <x:v>61</x:v>
      </x:c>
      <x:c r="N12" s="8"/>
      <x:c r="O12" s="1"/>
      <x:c r="P12" s="8"/>
      <x:c r="Q12" s="1"/>
      <x:c r="R12" s="8"/>
      <x:c r="S12" s="3"/>
      <x:c r="T12" s="8" t="s">
        <x:v>63</x:v>
      </x:c>
      <x:c r="U12" s="1" t="s">
        <x:v>173</x:v>
      </x:c>
      <x:c r="V12" s="13">
        <x:v>9</x:v>
      </x:c>
      <x:c r="W12" s="1" t="s">
        <x:v>65</x:v>
      </x:c>
      <x:c r="X12" s="8" t="s">
        <x:v>66</x:v>
      </x:c>
      <x:c r="Y12" s="1" t="str">
        <x:v>Проверено автором исследования</x:v>
      </x:c>
      <x:c r="Z12" s="8"/>
      <x:c r="AA12" s="1" t="s">
        <x:v>174</x:v>
      </x:c>
      <x:c r="AB12" s="13">
        <x:v>2025</x:v>
      </x:c>
      <x:c r="AC12" s="3"/>
      <x:c r="AD12" s="8" t="s">
        <x:v>93</x:v>
      </x:c>
      <x:c r="AE12" s="1" t="s">
        <x:v>192</x:v>
      </x:c>
      <x:c r="AF12" s="8" t="s">
        <x:v>118</x:v>
      </x:c>
      <x:c r="AG12" s="1" t="s">
        <x:v>175</x:v>
      </x:c>
      <x:c r="AH12" s="8" t="str">
        <x:v>Краткая затекстовая ссылка; повторная документальная сверка выполнена</x:v>
      </x:c>
      <x:c r="AI12" s="1"/>
      <x:c r="AJ12" s="17"/>
      <x:c r="AK12" s="1" t="s">
        <x:v>73</x:v>
      </x:c>
      <x:c r="AL12" s="8" t="s">
        <x:v>74</x:v>
      </x:c>
      <x:c r="AM12" s="1"/>
      <x:c r="AN12" s="8" t="s">
        <x:v>95</x:v>
      </x:c>
      <x:c r="AO12" s="1" t="s">
        <x:v>76</x:v>
      </x:c>
      <x:c r="AP12" s="8"/>
      <x:c r="AQ12" s="1" t="s">
        <x:v>77</x:v>
      </x:c>
      <x:c r="AR12" s="8" t="str">
        <x:v>Проверка автором исследования</x:v>
      </x:c>
      <x:c r="AS12" s="1"/>
      <x:c r="AT12" s="8" t="s">
        <x:v>96</x:v>
      </x:c>
      <x:c r="AU12" s="1" t="s">
        <x:v>97</x:v>
      </x:c>
      <x:c r="AV12" s="17"/>
      <x:c r="AW12" s="1" t="s">
        <x:v>98</x:v>
      </x:c>
      <x:c r="AX12" s="8" t="s">
        <x:v>82</x:v>
      </x:c>
      <x:c r="AY12" s="8"/>
    </x:row>
    <x:row r="13" ht="84" customHeight="1">
      <x:c r="A13" s="1" t="s">
        <x:v>193</x:v>
      </x:c>
      <x:c r="B13" s="8" t="s">
        <x:v>194</x:v>
      </x:c>
      <x:c r="C13" s="1" t="s">
        <x:v>195</x:v>
      </x:c>
      <x:c r="D13" s="8" t="s">
        <x:v>53</x:v>
      </x:c>
      <x:c r="E13" s="1" t="s">
        <x:v>54</x:v>
      </x:c>
      <x:c r="F13" s="8" t="s">
        <x:v>196</x:v>
      </x:c>
      <x:c r="G13" s="1" t="s">
        <x:v>197</x:v>
      </x:c>
      <x:c r="H13" s="8" t="s">
        <x:v>198</x:v>
      </x:c>
      <x:c r="I13" s="4">
        <x:v>2017</x:v>
      </x:c>
      <x:c r="J13" s="8" t="s">
        <x:v>199</x:v>
      </x:c>
      <x:c r="K13" s="1"/>
      <x:c r="L13" s="8" t="s">
        <x:v>200</x:v>
      </x:c>
      <x:c r="M13" s="1" t="s">
        <x:v>61</x:v>
      </x:c>
      <x:c r="N13" s="8"/>
      <x:c r="O13" s="1"/>
      <x:c r="P13" s="8"/>
      <x:c r="Q13" s="1"/>
      <x:c r="R13" s="8" t="s">
        <x:v>201</x:v>
      </x:c>
      <x:c r="S13" s="3"/>
      <x:c r="T13" s="8" t="s">
        <x:v>63</x:v>
      </x:c>
      <x:c r="U13" s="1" t="s">
        <x:v>173</x:v>
      </x:c>
      <x:c r="V13" s="13">
        <x:v>10</x:v>
      </x:c>
      <x:c r="W13" s="1" t="s">
        <x:v>65</x:v>
      </x:c>
      <x:c r="X13" s="8" t="s">
        <x:v>66</x:v>
      </x:c>
      <x:c r="Y13" s="1" t="str">
        <x:v>Проверено автором исследования</x:v>
      </x:c>
      <x:c r="Z13" s="8" t="s">
        <x:v>202</x:v>
      </x:c>
      <x:c r="AA13" s="1" t="s">
        <x:v>174</x:v>
      </x:c>
      <x:c r="AB13" s="13">
        <x:v>2025</x:v>
      </x:c>
      <x:c r="AC13" s="3">
        <x:v>46322</x:v>
      </x:c>
      <x:c r="AD13" s="8" t="s">
        <x:v>69</x:v>
      </x:c>
      <x:c r="AE13" s="1" t="s">
        <x:v>203</x:v>
      </x:c>
      <x:c r="AF13" s="8" t="s">
        <x:v>118</x:v>
      </x:c>
      <x:c r="AG13" s="1" t="s">
        <x:v>175</x:v>
      </x:c>
      <x:c r="AH13" s="8" t="str">
        <x:v>Краткая затекстовая ссылка; повторная документальная сверка выполнена</x:v>
      </x:c>
      <x:c r="AI13" s="1"/>
      <x:c r="AJ13" s="17"/>
      <x:c r="AK13" s="1" t="s">
        <x:v>73</x:v>
      </x:c>
      <x:c r="AL13" s="8" t="s">
        <x:v>74</x:v>
      </x:c>
      <x:c r="AM13" s="1"/>
      <x:c r="AN13" s="8" t="s">
        <x:v>75</x:v>
      </x:c>
      <x:c r="AO13" s="1" t="s">
        <x:v>76</x:v>
      </x:c>
      <x:c r="AP13" s="8"/>
      <x:c r="AQ13" s="1" t="s">
        <x:v>77</x:v>
      </x:c>
      <x:c r="AR13" s="8" t="str">
        <x:v>Проверка автором исследования</x:v>
      </x:c>
      <x:c r="AS13" s="1" t="s">
        <x:v>204</x:v>
      </x:c>
      <x:c r="AT13" s="8" t="s">
        <x:v>205</x:v>
      </x:c>
      <x:c r="AU13" s="1" t="s">
        <x:v>206</x:v>
      </x:c>
      <x:c r="AV13" s="17">
        <x:v>46321</x:v>
      </x:c>
      <x:c r="AW13" s="1" t="s">
        <x:v>81</x:v>
      </x:c>
      <x:c r="AX13" s="8" t="s">
        <x:v>82</x:v>
      </x:c>
      <x:c r="AY13" s="8"/>
    </x:row>
    <x:row r="14" ht="140.10000610351562" customHeight="1">
      <x:c r="A14" s="1" t="s">
        <x:v>207</x:v>
      </x:c>
      <x:c r="B14" s="8" t="s">
        <x:v>208</x:v>
      </x:c>
      <x:c r="C14" s="1" t="s">
        <x:v>209</x:v>
      </x:c>
      <x:c r="D14" s="8" t="s">
        <x:v>53</x:v>
      </x:c>
      <x:c r="E14" s="1" t="s">
        <x:v>54</x:v>
      </x:c>
      <x:c r="F14" s="8" t="s">
        <x:v>210</x:v>
      </x:c>
      <x:c r="G14" s="1" t="s">
        <x:v>211</x:v>
      </x:c>
      <x:c r="H14" s="8" t="s">
        <x:v>198</x:v>
      </x:c>
      <x:c r="I14" s="4">
        <x:v>2019</x:v>
      </x:c>
      <x:c r="J14" s="8" t="s">
        <x:v>212</x:v>
      </x:c>
      <x:c r="K14" s="1"/>
      <x:c r="L14" s="8" t="s">
        <x:v>213</x:v>
      </x:c>
      <x:c r="M14" s="1" t="s">
        <x:v>61</x:v>
      </x:c>
      <x:c r="N14" s="8"/>
      <x:c r="O14" s="1"/>
      <x:c r="P14" s="8"/>
      <x:c r="Q14" s="1"/>
      <x:c r="R14" s="8" t="s">
        <x:v>214</x:v>
      </x:c>
      <x:c r="S14" s="3"/>
      <x:c r="T14" s="8" t="s">
        <x:v>63</x:v>
      </x:c>
      <x:c r="U14" s="1" t="s">
        <x:v>173</x:v>
      </x:c>
      <x:c r="V14" s="13">
        <x:v>13</x:v>
      </x:c>
      <x:c r="W14" s="1" t="s">
        <x:v>65</x:v>
      </x:c>
      <x:c r="X14" s="8" t="s">
        <x:v>66</x:v>
      </x:c>
      <x:c r="Y14" s="1" t="str">
        <x:v>Проверено автором исследования</x:v>
      </x:c>
      <x:c r="Z14" s="8" t="s">
        <x:v>215</x:v>
      </x:c>
      <x:c r="AA14" s="1" t="s">
        <x:v>174</x:v>
      </x:c>
      <x:c r="AB14" s="13">
        <x:v>2025</x:v>
      </x:c>
      <x:c r="AC14" s="3">
        <x:v>46322</x:v>
      </x:c>
      <x:c r="AD14" s="8" t="s">
        <x:v>69</x:v>
      </x:c>
      <x:c r="AE14" s="1" t="s">
        <x:v>216</x:v>
      </x:c>
      <x:c r="AF14" s="8" t="s">
        <x:v>118</x:v>
      </x:c>
      <x:c r="AG14" s="1" t="s">
        <x:v>175</x:v>
      </x:c>
      <x:c r="AH14" s="8" t="str">
        <x:v>Краткая затекстовая ссылка; повторная документальная сверка выполнена</x:v>
      </x:c>
      <x:c r="AI14" s="1"/>
      <x:c r="AJ14" s="17"/>
      <x:c r="AK14" s="1" t="s">
        <x:v>73</x:v>
      </x:c>
      <x:c r="AL14" s="8" t="s">
        <x:v>74</x:v>
      </x:c>
      <x:c r="AM14" s="1"/>
      <x:c r="AN14" s="8" t="s">
        <x:v>75</x:v>
      </x:c>
      <x:c r="AO14" s="1" t="s">
        <x:v>76</x:v>
      </x:c>
      <x:c r="AP14" s="8"/>
      <x:c r="AQ14" s="1" t="s">
        <x:v>77</x:v>
      </x:c>
      <x:c r="AR14" s="8" t="str">
        <x:v>Проверка автором исследования</x:v>
      </x:c>
      <x:c r="AS14" s="1" t="s">
        <x:v>217</x:v>
      </x:c>
      <x:c r="AT14" s="8" t="s">
        <x:v>218</x:v>
      </x:c>
      <x:c r="AU14" s="1" t="s">
        <x:v>219</x:v>
      </x:c>
      <x:c r="AV14" s="17">
        <x:v>46321</x:v>
      </x:c>
      <x:c r="AW14" s="1" t="s">
        <x:v>81</x:v>
      </x:c>
      <x:c r="AX14" s="8" t="s">
        <x:v>82</x:v>
      </x:c>
      <x:c r="AY14" s="8"/>
    </x:row>
    <x:row r="15" ht="69.94999694824219" customHeight="1">
      <x:c r="A15" s="1" t="s">
        <x:v>220</x:v>
      </x:c>
      <x:c r="B15" s="8" t="s">
        <x:v>221</x:v>
      </x:c>
      <x:c r="C15" s="1" t="s">
        <x:v>222</x:v>
      </x:c>
      <x:c r="D15" s="8" t="s">
        <x:v>73</x:v>
      </x:c>
      <x:c r="E15" s="1" t="s">
        <x:v>76</x:v>
      </x:c>
      <x:c r="F15" s="8" t="s">
        <x:v>223</x:v>
      </x:c>
      <x:c r="G15" s="1" t="s">
        <x:v>224</x:v>
      </x:c>
      <x:c r="H15" s="8" t="s">
        <x:v>225</x:v>
      </x:c>
      <x:c r="I15" s="4">
        <x:v>2013</x:v>
      </x:c>
      <x:c r="J15" s="8"/>
      <x:c r="K15" s="1" t="s">
        <x:v>226</x:v>
      </x:c>
      <x:c r="L15" s="8" t="s">
        <x:v>227</x:v>
      </x:c>
      <x:c r="M15" s="1" t="s">
        <x:v>61</x:v>
      </x:c>
      <x:c r="N15" s="8"/>
      <x:c r="O15" s="1"/>
      <x:c r="P15" s="8"/>
      <x:c r="Q15" s="1"/>
      <x:c r="R15" s="8"/>
      <x:c r="S15" s="3"/>
      <x:c r="T15" s="8" t="s">
        <x:v>63</x:v>
      </x:c>
      <x:c r="U15" s="1" t="s">
        <x:v>228</x:v>
      </x:c>
      <x:c r="V15" s="13">
        <x:v>9</x:v>
      </x:c>
      <x:c r="W15" s="1" t="s">
        <x:v>140</x:v>
      </x:c>
      <x:c r="X15" s="8" t="s">
        <x:v>66</x:v>
      </x:c>
      <x:c r="Y15" s="1" t="str">
        <x:v>Проверено автором; дополнительно проверено Михаилом Саяпиным</x:v>
      </x:c>
      <x:c r="Z15" s="8"/>
      <x:c r="AA15" s="1" t="s">
        <x:v>229</x:v>
      </x:c>
      <x:c r="AB15" s="13">
        <x:v>2025</x:v>
      </x:c>
      <x:c r="AC15" s="3"/>
      <x:c r="AD15" s="8" t="s">
        <x:v>93</x:v>
      </x:c>
      <x:c r="AE15" s="1" t="s">
        <x:v>230</x:v>
      </x:c>
      <x:c r="AF15" s="8" t="s">
        <x:v>71</x:v>
      </x:c>
      <x:c r="AG15" s="1" t="s">
        <x:v>231</x:v>
      </x:c>
      <x:c r="AH15" s="8" t="s">
        <x:v>144</x:v>
      </x:c>
      <x:c r="AI15" s="1" t="s">
        <x:v>145</x:v>
      </x:c>
      <x:c r="AJ15" s="17">
        <x:v>46323</x:v>
      </x:c>
      <x:c r="AK15" s="1" t="s">
        <x:v>73</x:v>
      </x:c>
      <x:c r="AL15" s="8" t="s">
        <x:v>74</x:v>
      </x:c>
      <x:c r="AM15" s="1"/>
      <x:c r="AN15" s="8" t="s">
        <x:v>95</x:v>
      </x:c>
      <x:c r="AO15" s="1" t="s">
        <x:v>76</x:v>
      </x:c>
      <x:c r="AP15" s="8"/>
      <x:c r="AQ15" s="1" t="s">
        <x:v>77</x:v>
      </x:c>
      <x:c r="AR15" s="8" t="str">
        <x:v>Проверка автором исследования; дополнительная проверка Михаилом Саяпиным; согласование 28.10.2026</x:v>
      </x:c>
      <x:c r="AS15" s="1"/>
      <x:c r="AT15" s="8" t="s">
        <x:v>96</x:v>
      </x:c>
      <x:c r="AU15" s="1" t="s">
        <x:v>97</x:v>
      </x:c>
      <x:c r="AV15" s="17"/>
      <x:c r="AW15" s="1" t="s">
        <x:v>98</x:v>
      </x:c>
      <x:c r="AX15" s="8" t="s">
        <x:v>146</x:v>
      </x:c>
      <x:c r="AY15" s="8" t="s">
        <x:v>232</x:v>
      </x:c>
    </x:row>
    <x:row r="16" ht="98.0999984741211" customHeight="1">
      <x:c r="A16" s="1" t="s">
        <x:v>233</x:v>
      </x:c>
      <x:c r="B16" s="8" t="s">
        <x:v>234</x:v>
      </x:c>
      <x:c r="C16" s="1" t="s">
        <x:v>235</x:v>
      </x:c>
      <x:c r="D16" s="8" t="s">
        <x:v>53</x:v>
      </x:c>
      <x:c r="E16" s="1" t="s">
        <x:v>54</x:v>
      </x:c>
      <x:c r="F16" s="8" t="s">
        <x:v>236</x:v>
      </x:c>
      <x:c r="G16" s="1" t="s">
        <x:v>237</x:v>
      </x:c>
      <x:c r="H16" s="8" t="s">
        <x:v>238</x:v>
      </x:c>
      <x:c r="I16" s="4">
        <x:v>2024</x:v>
      </x:c>
      <x:c r="J16" s="8"/>
      <x:c r="K16" s="1" t="s">
        <x:v>239</x:v>
      </x:c>
      <x:c r="L16" s="8" t="s">
        <x:v>240</x:v>
      </x:c>
      <x:c r="M16" s="1" t="s">
        <x:v>61</x:v>
      </x:c>
      <x:c r="N16" s="8"/>
      <x:c r="O16" s="1"/>
      <x:c r="P16" s="8"/>
      <x:c r="Q16" s="1"/>
      <x:c r="R16" s="8" t="s">
        <x:v>241</x:v>
      </x:c>
      <x:c r="S16" s="3"/>
      <x:c r="T16" s="8" t="s">
        <x:v>63</x:v>
      </x:c>
      <x:c r="U16" s="1" t="s">
        <x:v>228</x:v>
      </x:c>
      <x:c r="V16" s="13">
        <x:v>14</x:v>
      </x:c>
      <x:c r="W16" s="1" t="s">
        <x:v>242</x:v>
      </x:c>
      <x:c r="X16" s="8" t="s">
        <x:v>66</x:v>
      </x:c>
      <x:c r="Y16" s="1" t="str">
        <x:v>Проверено автором; дополнительно проверено Михаилом Саяпиным</x:v>
      </x:c>
      <x:c r="Z16" s="8" t="s">
        <x:v>243</x:v>
      </x:c>
      <x:c r="AA16" s="1" t="s">
        <x:v>229</x:v>
      </x:c>
      <x:c r="AB16" s="13">
        <x:v>2025</x:v>
      </x:c>
      <x:c r="AC16" s="3">
        <x:v>46322</x:v>
      </x:c>
      <x:c r="AD16" s="8" t="s">
        <x:v>69</x:v>
      </x:c>
      <x:c r="AE16" s="1" t="s">
        <x:v>244</x:v>
      </x:c>
      <x:c r="AF16" s="8" t="s">
        <x:v>71</x:v>
      </x:c>
      <x:c r="AG16" s="1" t="s">
        <x:v>231</x:v>
      </x:c>
      <x:c r="AH16" s="8" t="s">
        <x:v>144</x:v>
      </x:c>
      <x:c r="AI16" s="1" t="s">
        <x:v>145</x:v>
      </x:c>
      <x:c r="AJ16" s="17">
        <x:v>46323</x:v>
      </x:c>
      <x:c r="AK16" s="1" t="s">
        <x:v>73</x:v>
      </x:c>
      <x:c r="AL16" s="8" t="s">
        <x:v>74</x:v>
      </x:c>
      <x:c r="AM16" s="1"/>
      <x:c r="AN16" s="8" t="s">
        <x:v>75</x:v>
      </x:c>
      <x:c r="AO16" s="1" t="s">
        <x:v>76</x:v>
      </x:c>
      <x:c r="AP16" s="8"/>
      <x:c r="AQ16" s="1" t="s">
        <x:v>77</x:v>
      </x:c>
      <x:c r="AR16" s="8" t="str">
        <x:v>Проверка автором исследования; дополнительная проверка Михаилом Саяпиным; согласование 28.10.2026</x:v>
      </x:c>
      <x:c r="AS16" s="1" t="s">
        <x:v>245</x:v>
      </x:c>
      <x:c r="AT16" s="8" t="s">
        <x:v>246</x:v>
      </x:c>
      <x:c r="AU16" s="1" t="s">
        <x:v>247</x:v>
      </x:c>
      <x:c r="AV16" s="17">
        <x:v>46321</x:v>
      </x:c>
      <x:c r="AW16" s="1" t="s">
        <x:v>81</x:v>
      </x:c>
      <x:c r="AX16" s="8" t="s">
        <x:v>146</x:v>
      </x:c>
      <x:c r="AY16" s="8" t="s">
        <x:v>248</x:v>
      </x:c>
    </x:row>
    <x:row r="17" ht="111.94999694824219" customHeight="1">
      <x:c r="A17" s="1" t="s">
        <x:v>249</x:v>
      </x:c>
      <x:c r="B17" s="8" t="s">
        <x:v>250</x:v>
      </x:c>
      <x:c r="C17" s="1" t="s">
        <x:v>251</x:v>
      </x:c>
      <x:c r="D17" s="8" t="s">
        <x:v>53</x:v>
      </x:c>
      <x:c r="E17" s="1" t="s">
        <x:v>54</x:v>
      </x:c>
      <x:c r="F17" s="8" t="s">
        <x:v>252</x:v>
      </x:c>
      <x:c r="G17" s="1" t="s">
        <x:v>253</x:v>
      </x:c>
      <x:c r="H17" s="8" t="s">
        <x:v>254</x:v>
      </x:c>
      <x:c r="I17" s="4">
        <x:v>2016</x:v>
      </x:c>
      <x:c r="J17" s="8"/>
      <x:c r="K17" s="1" t="s">
        <x:v>255</x:v>
      </x:c>
      <x:c r="L17" s="8" t="s">
        <x:v>256</x:v>
      </x:c>
      <x:c r="M17" s="1" t="s">
        <x:v>61</x:v>
      </x:c>
      <x:c r="N17" s="8"/>
      <x:c r="O17" s="1"/>
      <x:c r="P17" s="8"/>
      <x:c r="Q17" s="1"/>
      <x:c r="R17" s="8" t="s">
        <x:v>257</x:v>
      </x:c>
      <x:c r="S17" s="3"/>
      <x:c r="T17" s="8" t="s">
        <x:v>63</x:v>
      </x:c>
      <x:c r="U17" s="1" t="s">
        <x:v>258</x:v>
      </x:c>
      <x:c r="V17" s="13">
        <x:v>1</x:v>
      </x:c>
      <x:c r="W17" s="1" t="s">
        <x:v>65</x:v>
      </x:c>
      <x:c r="X17" s="8" t="s">
        <x:v>66</x:v>
      </x:c>
      <x:c r="Y17" s="1" t="str">
        <x:v>Проверено автором исследования</x:v>
      </x:c>
      <x:c r="Z17" s="8" t="s">
        <x:v>259</x:v>
      </x:c>
      <x:c r="AA17" s="1" t="s">
        <x:v>260</x:v>
      </x:c>
      <x:c r="AB17" s="13">
        <x:v>2025</x:v>
      </x:c>
      <x:c r="AC17" s="3">
        <x:v>46322</x:v>
      </x:c>
      <x:c r="AD17" s="8" t="s">
        <x:v>69</x:v>
      </x:c>
      <x:c r="AE17" s="1" t="s">
        <x:v>261</x:v>
      </x:c>
      <x:c r="AF17" s="8" t="s">
        <x:v>118</x:v>
      </x:c>
      <x:c r="AG17" s="1" t="s">
        <x:v>262</x:v>
      </x:c>
      <x:c r="AH17" s="8" t="str">
        <x:v>Краткая затекстовая ссылка; повторная документальная сверка выполнена</x:v>
      </x:c>
      <x:c r="AI17" s="1"/>
      <x:c r="AJ17" s="17"/>
      <x:c r="AK17" s="1" t="s">
        <x:v>73</x:v>
      </x:c>
      <x:c r="AL17" s="8" t="s">
        <x:v>74</x:v>
      </x:c>
      <x:c r="AM17" s="1"/>
      <x:c r="AN17" s="8" t="s">
        <x:v>75</x:v>
      </x:c>
      <x:c r="AO17" s="1" t="s">
        <x:v>76</x:v>
      </x:c>
      <x:c r="AP17" s="8"/>
      <x:c r="AQ17" s="1" t="s">
        <x:v>77</x:v>
      </x:c>
      <x:c r="AR17" s="8" t="str">
        <x:v>Проверка автором исследования</x:v>
      </x:c>
      <x:c r="AS17" s="1" t="s">
        <x:v>263</x:v>
      </x:c>
      <x:c r="AT17" s="8" t="s">
        <x:v>264</x:v>
      </x:c>
      <x:c r="AU17" s="1" t="s">
        <x:v>265</x:v>
      </x:c>
      <x:c r="AV17" s="17">
        <x:v>46321</x:v>
      </x:c>
      <x:c r="AW17" s="1" t="s">
        <x:v>81</x:v>
      </x:c>
      <x:c r="AX17" s="8" t="s">
        <x:v>82</x:v>
      </x:c>
      <x:c r="AY17" s="8"/>
    </x:row>
    <x:row r="18" ht="126" customHeight="1">
      <x:c r="A18" s="1" t="s">
        <x:v>266</x:v>
      </x:c>
      <x:c r="B18" s="8" t="s">
        <x:v>267</x:v>
      </x:c>
      <x:c r="C18" s="1" t="s">
        <x:v>268</x:v>
      </x:c>
      <x:c r="D18" s="8" t="s">
        <x:v>53</x:v>
      </x:c>
      <x:c r="E18" s="1" t="s">
        <x:v>54</x:v>
      </x:c>
      <x:c r="F18" s="8" t="s">
        <x:v>269</x:v>
      </x:c>
      <x:c r="G18" s="1" t="s">
        <x:v>270</x:v>
      </x:c>
      <x:c r="H18" s="8" t="s">
        <x:v>271</x:v>
      </x:c>
      <x:c r="I18" s="4">
        <x:v>2024</x:v>
      </x:c>
      <x:c r="J18" s="8"/>
      <x:c r="K18" s="1" t="s">
        <x:v>239</x:v>
      </x:c>
      <x:c r="L18" s="8" t="s">
        <x:v>272</x:v>
      </x:c>
      <x:c r="M18" s="1" t="s">
        <x:v>61</x:v>
      </x:c>
      <x:c r="N18" s="8"/>
      <x:c r="O18" s="1"/>
      <x:c r="P18" s="8"/>
      <x:c r="Q18" s="1"/>
      <x:c r="R18" s="8" t="s">
        <x:v>273</x:v>
      </x:c>
      <x:c r="S18" s="3"/>
      <x:c r="T18" s="8" t="s">
        <x:v>63</x:v>
      </x:c>
      <x:c r="U18" s="1" t="s">
        <x:v>274</x:v>
      </x:c>
      <x:c r="V18" s="13">
        <x:v>5</x:v>
      </x:c>
      <x:c r="W18" s="1" t="s">
        <x:v>65</x:v>
      </x:c>
      <x:c r="X18" s="8" t="s">
        <x:v>66</x:v>
      </x:c>
      <x:c r="Y18" s="1" t="str">
        <x:v>Проверено автором исследования</x:v>
      </x:c>
      <x:c r="Z18" s="8" t="s">
        <x:v>275</x:v>
      </x:c>
      <x:c r="AA18" s="1" t="s">
        <x:v>276</x:v>
      </x:c>
      <x:c r="AB18" s="13">
        <x:v>2025</x:v>
      </x:c>
      <x:c r="AC18" s="3">
        <x:v>46322</x:v>
      </x:c>
      <x:c r="AD18" s="8" t="s">
        <x:v>69</x:v>
      </x:c>
      <x:c r="AE18" s="1" t="s">
        <x:v>277</x:v>
      </x:c>
      <x:c r="AF18" s="8" t="s">
        <x:v>118</x:v>
      </x:c>
      <x:c r="AG18" s="1" t="s">
        <x:v>278</x:v>
      </x:c>
      <x:c r="AH18" s="8" t="str">
        <x:v>Краткая затекстовая ссылка; повторная документальная сверка выполнена</x:v>
      </x:c>
      <x:c r="AI18" s="1"/>
      <x:c r="AJ18" s="17"/>
      <x:c r="AK18" s="1" t="s">
        <x:v>73</x:v>
      </x:c>
      <x:c r="AL18" s="8" t="s">
        <x:v>74</x:v>
      </x:c>
      <x:c r="AM18" s="1"/>
      <x:c r="AN18" s="8" t="s">
        <x:v>75</x:v>
      </x:c>
      <x:c r="AO18" s="1" t="s">
        <x:v>76</x:v>
      </x:c>
      <x:c r="AP18" s="8"/>
      <x:c r="AQ18" s="1" t="s">
        <x:v>77</x:v>
      </x:c>
      <x:c r="AR18" s="8" t="str">
        <x:v>Проверка автором исследования</x:v>
      </x:c>
      <x:c r="AS18" s="1" t="s">
        <x:v>279</x:v>
      </x:c>
      <x:c r="AT18" s="8" t="s">
        <x:v>280</x:v>
      </x:c>
      <x:c r="AU18" s="1" t="s">
        <x:v>281</x:v>
      </x:c>
      <x:c r="AV18" s="17">
        <x:v>46321</x:v>
      </x:c>
      <x:c r="AW18" s="1" t="s">
        <x:v>81</x:v>
      </x:c>
      <x:c r="AX18" s="8" t="s">
        <x:v>82</x:v>
      </x:c>
      <x:c r="AY18" s="8"/>
    </x:row>
    <x:row r="19" ht="69.94999694824219" customHeight="1">
      <x:c r="A19" s="1" t="s">
        <x:v>282</x:v>
      </x:c>
      <x:c r="B19" s="8" t="s">
        <x:v>283</x:v>
      </x:c>
      <x:c r="C19" s="1" t="s">
        <x:v>284</x:v>
      </x:c>
      <x:c r="D19" s="8" t="s">
        <x:v>86</x:v>
      </x:c>
      <x:c r="E19" s="1" t="s">
        <x:v>76</x:v>
      </x:c>
      <x:c r="F19" s="8" t="s">
        <x:v>285</x:v>
      </x:c>
      <x:c r="G19" s="1" t="s">
        <x:v>286</x:v>
      </x:c>
      <x:c r="H19" s="8"/>
      <x:c r="I19" s="4">
        <x:v>2023</x:v>
      </x:c>
      <x:c r="J19" s="8"/>
      <x:c r="K19" s="1"/>
      <x:c r="L19" s="8" t="s">
        <x:v>287</x:v>
      </x:c>
      <x:c r="M19" s="1" t="s">
        <x:v>90</x:v>
      </x:c>
      <x:c r="N19" s="8" t="s">
        <x:v>288</x:v>
      </x:c>
      <x:c r="O19" s="1" t="s">
        <x:v>92</x:v>
      </x:c>
      <x:c r="P19" s="8"/>
      <x:c r="Q19" s="1"/>
      <x:c r="R19" s="8"/>
      <x:c r="S19" s="3"/>
      <x:c r="T19" s="8" t="s">
        <x:v>63</x:v>
      </x:c>
      <x:c r="U19" s="1" t="s">
        <x:v>289</x:v>
      </x:c>
      <x:c r="V19" s="13">
        <x:v>6</x:v>
      </x:c>
      <x:c r="W19" s="1" t="s">
        <x:v>65</x:v>
      </x:c>
      <x:c r="X19" s="8" t="s">
        <x:v>66</x:v>
      </x:c>
      <x:c r="Y19" s="1" t="str">
        <x:v>Проверено автором исследования</x:v>
      </x:c>
      <x:c r="Z19" s="8"/>
      <x:c r="AA19" s="1" t="s">
        <x:v>290</x:v>
      </x:c>
      <x:c r="AB19" s="13">
        <x:v>2025</x:v>
      </x:c>
      <x:c r="AC19" s="3"/>
      <x:c r="AD19" s="8" t="s">
        <x:v>93</x:v>
      </x:c>
      <x:c r="AE19" s="1" t="s">
        <x:v>291</x:v>
      </x:c>
      <x:c r="AF19" s="8" t="s">
        <x:v>118</x:v>
      </x:c>
      <x:c r="AG19" s="1" t="s">
        <x:v>292</x:v>
      </x:c>
      <x:c r="AH19" s="8" t="str">
        <x:v>Краткая затекстовая ссылка; повторная документальная сверка выполнена</x:v>
      </x:c>
      <x:c r="AI19" s="1"/>
      <x:c r="AJ19" s="17"/>
      <x:c r="AK19" s="1" t="s">
        <x:v>73</x:v>
      </x:c>
      <x:c r="AL19" s="8" t="s">
        <x:v>74</x:v>
      </x:c>
      <x:c r="AM19" s="1"/>
      <x:c r="AN19" s="8" t="s">
        <x:v>95</x:v>
      </x:c>
      <x:c r="AO19" s="1" t="s">
        <x:v>76</x:v>
      </x:c>
      <x:c r="AP19" s="8"/>
      <x:c r="AQ19" s="1" t="s">
        <x:v>77</x:v>
      </x:c>
      <x:c r="AR19" s="8" t="str">
        <x:v>Проверка автором исследования</x:v>
      </x:c>
      <x:c r="AS19" s="1"/>
      <x:c r="AT19" s="8" t="s">
        <x:v>96</x:v>
      </x:c>
      <x:c r="AU19" s="1" t="s">
        <x:v>97</x:v>
      </x:c>
      <x:c r="AV19" s="17"/>
      <x:c r="AW19" s="1" t="s">
        <x:v>98</x:v>
      </x:c>
      <x:c r="AX19" s="8" t="s">
        <x:v>82</x:v>
      </x:c>
      <x:c r="AY19" s="8"/>
    </x:row>
    <x:row r="20" ht="69.94999694824219" customHeight="1">
      <x:c r="A20" s="1" t="s">
        <x:v>293</x:v>
      </x:c>
      <x:c r="B20" s="8" t="s">
        <x:v>294</x:v>
      </x:c>
      <x:c r="C20" s="1" t="s">
        <x:v>295</x:v>
      </x:c>
      <x:c r="D20" s="8" t="s">
        <x:v>53</x:v>
      </x:c>
      <x:c r="E20" s="1" t="s">
        <x:v>54</x:v>
      </x:c>
      <x:c r="F20" s="8" t="s">
        <x:v>296</x:v>
      </x:c>
      <x:c r="G20" s="1" t="s">
        <x:v>297</x:v>
      </x:c>
      <x:c r="H20" s="8" t="s">
        <x:v>298</x:v>
      </x:c>
      <x:c r="I20" s="4">
        <x:v>2023</x:v>
      </x:c>
      <x:c r="J20" s="8"/>
      <x:c r="K20" s="1" t="s">
        <x:v>299</x:v>
      </x:c>
      <x:c r="L20" s="8" t="s">
        <x:v>300</x:v>
      </x:c>
      <x:c r="M20" s="1" t="s">
        <x:v>61</x:v>
      </x:c>
      <x:c r="N20" s="8"/>
      <x:c r="O20" s="1"/>
      <x:c r="P20" s="8"/>
      <x:c r="Q20" s="1"/>
      <x:c r="R20" s="8" t="s">
        <x:v>301</x:v>
      </x:c>
      <x:c r="S20" s="3"/>
      <x:c r="T20" s="8" t="s">
        <x:v>63</x:v>
      </x:c>
      <x:c r="U20" s="1" t="s">
        <x:v>302</x:v>
      </x:c>
      <x:c r="V20" s="13">
        <x:v>1</x:v>
      </x:c>
      <x:c r="W20" s="1" t="s">
        <x:v>65</x:v>
      </x:c>
      <x:c r="X20" s="8" t="s">
        <x:v>66</x:v>
      </x:c>
      <x:c r="Y20" s="1" t="str">
        <x:v>Проверено автором исследования</x:v>
      </x:c>
      <x:c r="Z20" s="8" t="s">
        <x:v>303</x:v>
      </x:c>
      <x:c r="AA20" s="1" t="s">
        <x:v>304</x:v>
      </x:c>
      <x:c r="AB20" s="13">
        <x:v>2025</x:v>
      </x:c>
      <x:c r="AC20" s="3">
        <x:v>46322</x:v>
      </x:c>
      <x:c r="AD20" s="8" t="s">
        <x:v>69</x:v>
      </x:c>
      <x:c r="AE20" s="1" t="s">
        <x:v>305</x:v>
      </x:c>
      <x:c r="AF20" s="8" t="s">
        <x:v>71</x:v>
      </x:c>
      <x:c r="AG20" s="1" t="s">
        <x:v>306</x:v>
      </x:c>
      <x:c r="AH20" s="8" t="str">
        <x:v>Краткая затекстовая ссылка; повторная документальная сверка выполнена</x:v>
      </x:c>
      <x:c r="AI20" s="1"/>
      <x:c r="AJ20" s="17"/>
      <x:c r="AK20" s="1" t="s">
        <x:v>73</x:v>
      </x:c>
      <x:c r="AL20" s="8" t="s">
        <x:v>74</x:v>
      </x:c>
      <x:c r="AM20" s="1"/>
      <x:c r="AN20" s="8" t="s">
        <x:v>75</x:v>
      </x:c>
      <x:c r="AO20" s="1" t="s">
        <x:v>76</x:v>
      </x:c>
      <x:c r="AP20" s="8"/>
      <x:c r="AQ20" s="1" t="s">
        <x:v>77</x:v>
      </x:c>
      <x:c r="AR20" s="8" t="str">
        <x:v>Проверка автором исследования</x:v>
      </x:c>
      <x:c r="AS20" s="1" t="s">
        <x:v>307</x:v>
      </x:c>
      <x:c r="AT20" s="8" t="s">
        <x:v>308</x:v>
      </x:c>
      <x:c r="AU20" s="1" t="s">
        <x:v>309</x:v>
      </x:c>
      <x:c r="AV20" s="17">
        <x:v>46321</x:v>
      </x:c>
      <x:c r="AW20" s="1" t="s">
        <x:v>81</x:v>
      </x:c>
      <x:c r="AX20" s="8" t="s">
        <x:v>82</x:v>
      </x:c>
      <x:c r="AY20" s="8"/>
    </x:row>
    <x:row r="21" ht="126" customHeight="1">
      <x:c r="A21" s="1" t="s">
        <x:v>310</x:v>
      </x:c>
      <x:c r="B21" s="8" t="s">
        <x:v>311</x:v>
      </x:c>
      <x:c r="C21" s="1" t="s">
        <x:v>312</x:v>
      </x:c>
      <x:c r="D21" s="8" t="s">
        <x:v>53</x:v>
      </x:c>
      <x:c r="E21" s="1" t="s">
        <x:v>54</x:v>
      </x:c>
      <x:c r="F21" s="8" t="s">
        <x:v>313</x:v>
      </x:c>
      <x:c r="G21" s="1" t="s">
        <x:v>314</x:v>
      </x:c>
      <x:c r="H21" s="8" t="s">
        <x:v>315</x:v>
      </x:c>
      <x:c r="I21" s="4">
        <x:v>2013</x:v>
      </x:c>
      <x:c r="J21" s="8"/>
      <x:c r="K21" s="1" t="s">
        <x:v>190</x:v>
      </x:c>
      <x:c r="L21" s="8" t="s">
        <x:v>316</x:v>
      </x:c>
      <x:c r="M21" s="1" t="s">
        <x:v>61</x:v>
      </x:c>
      <x:c r="N21" s="8"/>
      <x:c r="O21" s="1"/>
      <x:c r="P21" s="8"/>
      <x:c r="Q21" s="1"/>
      <x:c r="R21" s="8" t="s">
        <x:v>317</x:v>
      </x:c>
      <x:c r="S21" s="3">
        <x:v>45880</x:v>
      </x:c>
      <x:c r="T21" s="8" t="s">
        <x:v>63</x:v>
      </x:c>
      <x:c r="U21" s="1" t="s">
        <x:v>318</x:v>
      </x:c>
      <x:c r="V21" s="13">
        <x:v>3</x:v>
      </x:c>
      <x:c r="W21" s="1" t="s">
        <x:v>65</x:v>
      </x:c>
      <x:c r="X21" s="8" t="s">
        <x:v>66</x:v>
      </x:c>
      <x:c r="Y21" s="1" t="str">
        <x:v>Проверено автором исследования</x:v>
      </x:c>
      <x:c r="Z21" s="8"/>
      <x:c r="AA21" s="1" t="s">
        <x:v>319</x:v>
      </x:c>
      <x:c r="AB21" s="13">
        <x:v>2025</x:v>
      </x:c>
      <x:c r="AC21" s="3">
        <x:v>46322</x:v>
      </x:c>
      <x:c r="AD21" s="8" t="s">
        <x:v>69</x:v>
      </x:c>
      <x:c r="AE21" s="1"/>
      <x:c r="AF21" s="8" t="s">
        <x:v>118</x:v>
      </x:c>
      <x:c r="AG21" s="1" t="s">
        <x:v>320</x:v>
      </x:c>
      <x:c r="AH21" s="8" t="str">
        <x:v>Краткая затекстовая ссылка; повторная документальная сверка выполнена</x:v>
      </x:c>
      <x:c r="AI21" s="1"/>
      <x:c r="AJ21" s="17"/>
      <x:c r="AK21" s="1" t="s">
        <x:v>73</x:v>
      </x:c>
      <x:c r="AL21" s="8" t="s">
        <x:v>74</x:v>
      </x:c>
      <x:c r="AM21" s="1"/>
      <x:c r="AN21" s="8" t="s">
        <x:v>75</x:v>
      </x:c>
      <x:c r="AO21" s="1" t="s">
        <x:v>54</x:v>
      </x:c>
      <x:c r="AP21" s="8"/>
      <x:c r="AQ21" s="1" t="s">
        <x:v>77</x:v>
      </x:c>
      <x:c r="AR21" s="8" t="str">
        <x:v>Проверка автором исследования</x:v>
      </x:c>
      <x:c r="AS21" s="1" t="s">
        <x:v>321</x:v>
      </x:c>
      <x:c r="AT21" s="8" t="s">
        <x:v>322</x:v>
      </x:c>
      <x:c r="AU21" s="1" t="s">
        <x:v>323</x:v>
      </x:c>
      <x:c r="AV21" s="17">
        <x:v>45880</x:v>
      </x:c>
      <x:c r="AW21" s="1" t="s">
        <x:v>324</x:v>
      </x:c>
      <x:c r="AX21" s="8" t="s">
        <x:v>82</x:v>
      </x:c>
      <x:c r="AY21" s="8"/>
    </x:row>
    <x:row r="22" ht="69.94999694824219" customHeight="1">
      <x:c r="A22" s="1" t="s">
        <x:v>325</x:v>
      </x:c>
      <x:c r="B22" s="8" t="s">
        <x:v>326</x:v>
      </x:c>
      <x:c r="C22" s="1" t="s">
        <x:v>327</x:v>
      </x:c>
      <x:c r="D22" s="8" t="s">
        <x:v>73</x:v>
      </x:c>
      <x:c r="E22" s="1" t="s">
        <x:v>76</x:v>
      </x:c>
      <x:c r="F22" s="8" t="s">
        <x:v>328</x:v>
      </x:c>
      <x:c r="G22" s="1" t="s">
        <x:v>329</x:v>
      </x:c>
      <x:c r="H22" s="8" t="s">
        <x:v>330</x:v>
      </x:c>
      <x:c r="I22" s="4">
        <x:v>2015</x:v>
      </x:c>
      <x:c r="J22" s="8"/>
      <x:c r="K22" s="1" t="s">
        <x:v>239</x:v>
      </x:c>
      <x:c r="L22" s="8" t="s">
        <x:v>331</x:v>
      </x:c>
      <x:c r="M22" s="1" t="s">
        <x:v>61</x:v>
      </x:c>
      <x:c r="N22" s="8"/>
      <x:c r="O22" s="1"/>
      <x:c r="P22" s="8"/>
      <x:c r="Q22" s="1"/>
      <x:c r="R22" s="8"/>
      <x:c r="S22" s="3"/>
      <x:c r="T22" s="8" t="s">
        <x:v>63</x:v>
      </x:c>
      <x:c r="U22" s="1" t="s">
        <x:v>318</x:v>
      </x:c>
      <x:c r="V22" s="13">
        <x:v>7</x:v>
      </x:c>
      <x:c r="W22" s="1" t="s">
        <x:v>140</x:v>
      </x:c>
      <x:c r="X22" s="8" t="s">
        <x:v>66</x:v>
      </x:c>
      <x:c r="Y22" s="1" t="str">
        <x:v>Проверено автором; дополнительно проверено Михаилом Саяпиным</x:v>
      </x:c>
      <x:c r="Z22" s="8"/>
      <x:c r="AA22" s="1" t="s">
        <x:v>319</x:v>
      </x:c>
      <x:c r="AB22" s="13">
        <x:v>2025</x:v>
      </x:c>
      <x:c r="AC22" s="3"/>
      <x:c r="AD22" s="8" t="s">
        <x:v>93</x:v>
      </x:c>
      <x:c r="AE22" s="1" t="s">
        <x:v>332</x:v>
      </x:c>
      <x:c r="AF22" s="8" t="s">
        <x:v>118</x:v>
      </x:c>
      <x:c r="AG22" s="1" t="s">
        <x:v>320</x:v>
      </x:c>
      <x:c r="AH22" s="8" t="s">
        <x:v>144</x:v>
      </x:c>
      <x:c r="AI22" s="1" t="s">
        <x:v>145</x:v>
      </x:c>
      <x:c r="AJ22" s="17">
        <x:v>46323</x:v>
      </x:c>
      <x:c r="AK22" s="1" t="s">
        <x:v>73</x:v>
      </x:c>
      <x:c r="AL22" s="8" t="s">
        <x:v>74</x:v>
      </x:c>
      <x:c r="AM22" s="1"/>
      <x:c r="AN22" s="8" t="s">
        <x:v>95</x:v>
      </x:c>
      <x:c r="AO22" s="1" t="s">
        <x:v>76</x:v>
      </x:c>
      <x:c r="AP22" s="8"/>
      <x:c r="AQ22" s="1" t="s">
        <x:v>77</x:v>
      </x:c>
      <x:c r="AR22" s="8" t="str">
        <x:v>Проверка автором исследования; дополнительная проверка Михаилом Саяпиным; согласование 28.10.2026</x:v>
      </x:c>
      <x:c r="AS22" s="1"/>
      <x:c r="AT22" s="8" t="s">
        <x:v>96</x:v>
      </x:c>
      <x:c r="AU22" s="1" t="s">
        <x:v>97</x:v>
      </x:c>
      <x:c r="AV22" s="17"/>
      <x:c r="AW22" s="1" t="s">
        <x:v>98</x:v>
      </x:c>
      <x:c r="AX22" s="8" t="s">
        <x:v>146</x:v>
      </x:c>
      <x:c r="AY22" s="8" t="s">
        <x:v>333</x:v>
      </x:c>
    </x:row>
    <x:row r="23" ht="84" customHeight="1">
      <x:c r="A23" s="1" t="s">
        <x:v>334</x:v>
      </x:c>
      <x:c r="B23" s="8" t="s">
        <x:v>335</x:v>
      </x:c>
      <x:c r="C23" s="1" t="s">
        <x:v>336</x:v>
      </x:c>
      <x:c r="D23" s="8" t="s">
        <x:v>53</x:v>
      </x:c>
      <x:c r="E23" s="1" t="s">
        <x:v>54</x:v>
      </x:c>
      <x:c r="F23" s="8" t="s">
        <x:v>337</x:v>
      </x:c>
      <x:c r="G23" s="1" t="s">
        <x:v>338</x:v>
      </x:c>
      <x:c r="H23" s="8" t="s">
        <x:v>339</x:v>
      </x:c>
      <x:c r="I23" s="4">
        <x:v>2024</x:v>
      </x:c>
      <x:c r="J23" s="8" t="s">
        <x:v>340</x:v>
      </x:c>
      <x:c r="K23" s="1" t="s">
        <x:v>190</x:v>
      </x:c>
      <x:c r="L23" s="8" t="s">
        <x:v>341</x:v>
      </x:c>
      <x:c r="M23" s="1" t="s">
        <x:v>61</x:v>
      </x:c>
      <x:c r="N23" s="8"/>
      <x:c r="O23" s="1"/>
      <x:c r="P23" s="8"/>
      <x:c r="Q23" s="1"/>
      <x:c r="R23" s="8" t="s">
        <x:v>342</x:v>
      </x:c>
      <x:c r="S23" s="3"/>
      <x:c r="T23" s="8" t="s">
        <x:v>63</x:v>
      </x:c>
      <x:c r="U23" s="1" t="s">
        <x:v>343</x:v>
      </x:c>
      <x:c r="V23" s="13">
        <x:v>5</x:v>
      </x:c>
      <x:c r="W23" s="1" t="s">
        <x:v>65</x:v>
      </x:c>
      <x:c r="X23" s="8" t="s">
        <x:v>66</x:v>
      </x:c>
      <x:c r="Y23" s="1" t="str">
        <x:v>Проверено автором исследования</x:v>
      </x:c>
      <x:c r="Z23" s="8" t="s">
        <x:v>344</x:v>
      </x:c>
      <x:c r="AA23" s="1" t="s">
        <x:v>345</x:v>
      </x:c>
      <x:c r="AB23" s="13">
        <x:v>2025</x:v>
      </x:c>
      <x:c r="AC23" s="3">
        <x:v>46322</x:v>
      </x:c>
      <x:c r="AD23" s="8" t="s">
        <x:v>69</x:v>
      </x:c>
      <x:c r="AE23" s="1" t="s">
        <x:v>346</x:v>
      </x:c>
      <x:c r="AF23" s="8" t="s">
        <x:v>71</x:v>
      </x:c>
      <x:c r="AG23" s="1" t="s">
        <x:v>347</x:v>
      </x:c>
      <x:c r="AH23" s="8" t="str">
        <x:v>Краткая затекстовая ссылка; повторная документальная сверка выполнена</x:v>
      </x:c>
      <x:c r="AI23" s="1"/>
      <x:c r="AJ23" s="17"/>
      <x:c r="AK23" s="1" t="s">
        <x:v>73</x:v>
      </x:c>
      <x:c r="AL23" s="8" t="s">
        <x:v>74</x:v>
      </x:c>
      <x:c r="AM23" s="1"/>
      <x:c r="AN23" s="8" t="s">
        <x:v>75</x:v>
      </x:c>
      <x:c r="AO23" s="1" t="s">
        <x:v>76</x:v>
      </x:c>
      <x:c r="AP23" s="8"/>
      <x:c r="AQ23" s="1" t="s">
        <x:v>77</x:v>
      </x:c>
      <x:c r="AR23" s="8" t="str">
        <x:v>Проверка автором исследования</x:v>
      </x:c>
      <x:c r="AS23" s="1" t="s">
        <x:v>348</x:v>
      </x:c>
      <x:c r="AT23" s="8" t="s">
        <x:v>349</x:v>
      </x:c>
      <x:c r="AU23" s="1" t="s">
        <x:v>350</x:v>
      </x:c>
      <x:c r="AV23" s="17">
        <x:v>46321</x:v>
      </x:c>
      <x:c r="AW23" s="1" t="s">
        <x:v>81</x:v>
      </x:c>
      <x:c r="AX23" s="8" t="s">
        <x:v>82</x:v>
      </x:c>
      <x:c r="AY23" s="8"/>
    </x:row>
    <x:row r="24" ht="98.0999984741211" customHeight="1">
      <x:c r="A24" s="1" t="s">
        <x:v>351</x:v>
      </x:c>
      <x:c r="B24" s="8" t="s">
        <x:v>352</x:v>
      </x:c>
      <x:c r="C24" s="1" t="s">
        <x:v>353</x:v>
      </x:c>
      <x:c r="D24" s="8" t="s">
        <x:v>53</x:v>
      </x:c>
      <x:c r="E24" s="1" t="s">
        <x:v>54</x:v>
      </x:c>
      <x:c r="F24" s="8" t="s">
        <x:v>354</x:v>
      </x:c>
      <x:c r="G24" s="1" t="s">
        <x:v>355</x:v>
      </x:c>
      <x:c r="H24" s="8" t="s">
        <x:v>356</x:v>
      </x:c>
      <x:c r="I24" s="4">
        <x:v>2024</x:v>
      </x:c>
      <x:c r="J24" s="8" t="s">
        <x:v>357</x:v>
      </x:c>
      <x:c r="K24" s="1" t="s">
        <x:v>239</x:v>
      </x:c>
      <x:c r="L24" s="8" t="s">
        <x:v>358</x:v>
      </x:c>
      <x:c r="M24" s="1" t="s">
        <x:v>61</x:v>
      </x:c>
      <x:c r="N24" s="8"/>
      <x:c r="O24" s="1"/>
      <x:c r="P24" s="8"/>
      <x:c r="Q24" s="1"/>
      <x:c r="R24" s="8" t="s">
        <x:v>359</x:v>
      </x:c>
      <x:c r="S24" s="3"/>
      <x:c r="T24" s="8" t="s">
        <x:v>63</x:v>
      </x:c>
      <x:c r="U24" s="1" t="s">
        <x:v>343</x:v>
      </x:c>
      <x:c r="V24" s="13">
        <x:v>12</x:v>
      </x:c>
      <x:c r="W24" s="1" t="s">
        <x:v>65</x:v>
      </x:c>
      <x:c r="X24" s="8" t="s">
        <x:v>66</x:v>
      </x:c>
      <x:c r="Y24" s="1" t="str">
        <x:v>Проверено автором исследования</x:v>
      </x:c>
      <x:c r="Z24" s="8" t="s">
        <x:v>360</x:v>
      </x:c>
      <x:c r="AA24" s="1" t="s">
        <x:v>345</x:v>
      </x:c>
      <x:c r="AB24" s="13">
        <x:v>2025</x:v>
      </x:c>
      <x:c r="AC24" s="3">
        <x:v>46322</x:v>
      </x:c>
      <x:c r="AD24" s="8" t="s">
        <x:v>69</x:v>
      </x:c>
      <x:c r="AE24" s="1" t="s">
        <x:v>361</x:v>
      </x:c>
      <x:c r="AF24" s="8" t="s">
        <x:v>71</x:v>
      </x:c>
      <x:c r="AG24" s="1" t="s">
        <x:v>347</x:v>
      </x:c>
      <x:c r="AH24" s="8" t="str">
        <x:v>Краткая затекстовая ссылка; повторная документальная сверка выполнена</x:v>
      </x:c>
      <x:c r="AI24" s="1"/>
      <x:c r="AJ24" s="17"/>
      <x:c r="AK24" s="1" t="s">
        <x:v>73</x:v>
      </x:c>
      <x:c r="AL24" s="8" t="s">
        <x:v>74</x:v>
      </x:c>
      <x:c r="AM24" s="1"/>
      <x:c r="AN24" s="8" t="s">
        <x:v>75</x:v>
      </x:c>
      <x:c r="AO24" s="1" t="s">
        <x:v>76</x:v>
      </x:c>
      <x:c r="AP24" s="8"/>
      <x:c r="AQ24" s="1" t="s">
        <x:v>77</x:v>
      </x:c>
      <x:c r="AR24" s="8" t="str">
        <x:v>Проверка автором исследования</x:v>
      </x:c>
      <x:c r="AS24" s="1" t="s">
        <x:v>362</x:v>
      </x:c>
      <x:c r="AT24" s="8" t="s">
        <x:v>363</x:v>
      </x:c>
      <x:c r="AU24" s="1" t="s">
        <x:v>364</x:v>
      </x:c>
      <x:c r="AV24" s="17">
        <x:v>46321</x:v>
      </x:c>
      <x:c r="AW24" s="1" t="s">
        <x:v>81</x:v>
      </x:c>
      <x:c r="AX24" s="8" t="s">
        <x:v>82</x:v>
      </x:c>
      <x:c r="AY24" s="8"/>
    </x:row>
    <x:row r="25" ht="126" customHeight="1">
      <x:c r="A25" s="1" t="s">
        <x:v>365</x:v>
      </x:c>
      <x:c r="B25" s="8" t="s">
        <x:v>366</x:v>
      </x:c>
      <x:c r="C25" s="1" t="s">
        <x:v>367</x:v>
      </x:c>
      <x:c r="D25" s="8" t="s">
        <x:v>53</x:v>
      </x:c>
      <x:c r="E25" s="1" t="s">
        <x:v>54</x:v>
      </x:c>
      <x:c r="F25" s="8" t="s">
        <x:v>368</x:v>
      </x:c>
      <x:c r="G25" s="1" t="s">
        <x:v>369</x:v>
      </x:c>
      <x:c r="H25" s="8" t="s">
        <x:v>370</x:v>
      </x:c>
      <x:c r="I25" s="4">
        <x:v>2025</x:v>
      </x:c>
      <x:c r="J25" s="8" t="s">
        <x:v>371</x:v>
      </x:c>
      <x:c r="K25" s="1" t="s">
        <x:v>239</x:v>
      </x:c>
      <x:c r="L25" s="8" t="s">
        <x:v>372</x:v>
      </x:c>
      <x:c r="M25" s="1" t="s">
        <x:v>61</x:v>
      </x:c>
      <x:c r="N25" s="8"/>
      <x:c r="O25" s="1"/>
      <x:c r="P25" s="8"/>
      <x:c r="Q25" s="1"/>
      <x:c r="R25" s="8" t="s">
        <x:v>373</x:v>
      </x:c>
      <x:c r="S25" s="3"/>
      <x:c r="T25" s="8" t="s">
        <x:v>63</x:v>
      </x:c>
      <x:c r="U25" s="1" t="s">
        <x:v>374</x:v>
      </x:c>
      <x:c r="V25" s="13">
        <x:v>13</x:v>
      </x:c>
      <x:c r="W25" s="1" t="s">
        <x:v>65</x:v>
      </x:c>
      <x:c r="X25" s="8" t="s">
        <x:v>66</x:v>
      </x:c>
      <x:c r="Y25" s="1" t="str">
        <x:v>Проверено автором исследования</x:v>
      </x:c>
      <x:c r="Z25" s="8" t="s">
        <x:v>375</x:v>
      </x:c>
      <x:c r="AA25" s="1" t="s">
        <x:v>376</x:v>
      </x:c>
      <x:c r="AB25" s="13">
        <x:v>2026</x:v>
      </x:c>
      <x:c r="AC25" s="3">
        <x:v>46322</x:v>
      </x:c>
      <x:c r="AD25" s="8" t="s">
        <x:v>69</x:v>
      </x:c>
      <x:c r="AE25" s="1" t="s">
        <x:v>377</x:v>
      </x:c>
      <x:c r="AF25" s="8" t="s">
        <x:v>118</x:v>
      </x:c>
      <x:c r="AG25" s="1" t="s">
        <x:v>378</x:v>
      </x:c>
      <x:c r="AH25" s="8" t="str">
        <x:v>Краткая затекстовая ссылка; повторная документальная сверка выполнена</x:v>
      </x:c>
      <x:c r="AI25" s="1"/>
      <x:c r="AJ25" s="17"/>
      <x:c r="AK25" s="1" t="s">
        <x:v>73</x:v>
      </x:c>
      <x:c r="AL25" s="8" t="s">
        <x:v>74</x:v>
      </x:c>
      <x:c r="AM25" s="1"/>
      <x:c r="AN25" s="8" t="s">
        <x:v>75</x:v>
      </x:c>
      <x:c r="AO25" s="1" t="s">
        <x:v>76</x:v>
      </x:c>
      <x:c r="AP25" s="8"/>
      <x:c r="AQ25" s="1" t="s">
        <x:v>77</x:v>
      </x:c>
      <x:c r="AR25" s="8" t="str">
        <x:v>Проверка автором исследования</x:v>
      </x:c>
      <x:c r="AS25" s="1" t="s">
        <x:v>379</x:v>
      </x:c>
      <x:c r="AT25" s="8" t="s">
        <x:v>380</x:v>
      </x:c>
      <x:c r="AU25" s="1" t="s">
        <x:v>381</x:v>
      </x:c>
      <x:c r="AV25" s="17">
        <x:v>46321</x:v>
      </x:c>
      <x:c r="AW25" s="1" t="s">
        <x:v>81</x:v>
      </x:c>
      <x:c r="AX25" s="8" t="s">
        <x:v>82</x:v>
      </x:c>
      <x:c r="AY25" s="8"/>
    </x:row>
    <x:row r="26" ht="69.94999694824219" customHeight="1">
      <x:c r="A26" s="1" t="s">
        <x:v>382</x:v>
      </x:c>
      <x:c r="B26" s="8" t="s">
        <x:v>383</x:v>
      </x:c>
      <x:c r="C26" s="1" t="s">
        <x:v>384</x:v>
      </x:c>
      <x:c r="D26" s="8" t="s">
        <x:v>86</x:v>
      </x:c>
      <x:c r="E26" s="1" t="s">
        <x:v>76</x:v>
      </x:c>
      <x:c r="F26" s="8" t="s">
        <x:v>385</x:v>
      </x:c>
      <x:c r="G26" s="1" t="s">
        <x:v>386</x:v>
      </x:c>
      <x:c r="H26" s="8"/>
      <x:c r="I26" s="4">
        <x:v>1977</x:v>
      </x:c>
      <x:c r="J26" s="8"/>
      <x:c r="K26" s="1"/>
      <x:c r="L26" s="8" t="s">
        <x:v>387</x:v>
      </x:c>
      <x:c r="M26" s="1" t="s">
        <x:v>90</x:v>
      </x:c>
      <x:c r="N26" s="8" t="s">
        <x:v>388</x:v>
      </x:c>
      <x:c r="O26" s="1" t="s">
        <x:v>92</x:v>
      </x:c>
      <x:c r="P26" s="8"/>
      <x:c r="Q26" s="1"/>
      <x:c r="R26" s="8"/>
      <x:c r="S26" s="3"/>
      <x:c r="T26" s="8" t="s">
        <x:v>63</x:v>
      </x:c>
      <x:c r="U26" s="1" t="s">
        <x:v>389</x:v>
      </x:c>
      <x:c r="V26" s="13">
        <x:v>2</x:v>
      </x:c>
      <x:c r="W26" s="1" t="s">
        <x:v>65</x:v>
      </x:c>
      <x:c r="X26" s="8" t="s">
        <x:v>66</x:v>
      </x:c>
      <x:c r="Y26" s="1" t="str">
        <x:v>Проверено автором исследования</x:v>
      </x:c>
      <x:c r="Z26" s="8"/>
      <x:c r="AA26" s="1" t="s">
        <x:v>390</x:v>
      </x:c>
      <x:c r="AB26" s="13">
        <x:v>2026</x:v>
      </x:c>
      <x:c r="AC26" s="3"/>
      <x:c r="AD26" s="8" t="s">
        <x:v>93</x:v>
      </x:c>
      <x:c r="AE26" s="1"/>
      <x:c r="AF26" s="8" t="s">
        <x:v>118</x:v>
      </x:c>
      <x:c r="AG26" s="1" t="s">
        <x:v>391</x:v>
      </x:c>
      <x:c r="AH26" s="8" t="str">
        <x:v>Краткая затекстовая ссылка; повторная документальная сверка выполнена</x:v>
      </x:c>
      <x:c r="AI26" s="1"/>
      <x:c r="AJ26" s="17"/>
      <x:c r="AK26" s="1" t="s">
        <x:v>73</x:v>
      </x:c>
      <x:c r="AL26" s="8" t="s">
        <x:v>74</x:v>
      </x:c>
      <x:c r="AM26" s="1"/>
      <x:c r="AN26" s="8" t="s">
        <x:v>95</x:v>
      </x:c>
      <x:c r="AO26" s="1" t="s">
        <x:v>76</x:v>
      </x:c>
      <x:c r="AP26" s="8"/>
      <x:c r="AQ26" s="1" t="s">
        <x:v>77</x:v>
      </x:c>
      <x:c r="AR26" s="8" t="str">
        <x:v>Проверка автором исследования</x:v>
      </x:c>
      <x:c r="AS26" s="1"/>
      <x:c r="AT26" s="8" t="s">
        <x:v>96</x:v>
      </x:c>
      <x:c r="AU26" s="1" t="s">
        <x:v>97</x:v>
      </x:c>
      <x:c r="AV26" s="17"/>
      <x:c r="AW26" s="1" t="s">
        <x:v>98</x:v>
      </x:c>
      <x:c r="AX26" s="8" t="s">
        <x:v>82</x:v>
      </x:c>
      <x:c r="AY26" s="8"/>
    </x:row>
    <x:row r="27" ht="69.94999694824219" customHeight="1">
      <x:c r="A27" s="1" t="s">
        <x:v>392</x:v>
      </x:c>
      <x:c r="B27" s="8" t="s">
        <x:v>393</x:v>
      </x:c>
      <x:c r="C27" s="1" t="s">
        <x:v>394</x:v>
      </x:c>
      <x:c r="D27" s="8" t="s">
        <x:v>86</x:v>
      </x:c>
      <x:c r="E27" s="1" t="s">
        <x:v>76</x:v>
      </x:c>
      <x:c r="F27" s="8" t="s">
        <x:v>395</x:v>
      </x:c>
      <x:c r="G27" s="1" t="s">
        <x:v>396</x:v>
      </x:c>
      <x:c r="H27" s="8"/>
      <x:c r="I27" s="4">
        <x:v>1982</x:v>
      </x:c>
      <x:c r="J27" s="8"/>
      <x:c r="K27" s="1"/>
      <x:c r="L27" s="8" t="s">
        <x:v>397</x:v>
      </x:c>
      <x:c r="M27" s="1" t="s">
        <x:v>90</x:v>
      </x:c>
      <x:c r="N27" s="8" t="s">
        <x:v>398</x:v>
      </x:c>
      <x:c r="O27" s="1" t="s">
        <x:v>92</x:v>
      </x:c>
      <x:c r="P27" s="8"/>
      <x:c r="Q27" s="1"/>
      <x:c r="R27" s="8"/>
      <x:c r="S27" s="3"/>
      <x:c r="T27" s="8" t="s">
        <x:v>63</x:v>
      </x:c>
      <x:c r="U27" s="1" t="s">
        <x:v>389</x:v>
      </x:c>
      <x:c r="V27" s="13">
        <x:v>5</x:v>
      </x:c>
      <x:c r="W27" s="1" t="s">
        <x:v>140</x:v>
      </x:c>
      <x:c r="X27" s="8" t="s">
        <x:v>66</x:v>
      </x:c>
      <x:c r="Y27" s="1" t="str">
        <x:v>Проверено автором; дополнительно проверено Михаилом Саяпиным</x:v>
      </x:c>
      <x:c r="Z27" s="8"/>
      <x:c r="AA27" s="1" t="s">
        <x:v>390</x:v>
      </x:c>
      <x:c r="AB27" s="13">
        <x:v>2026</x:v>
      </x:c>
      <x:c r="AC27" s="3"/>
      <x:c r="AD27" s="8" t="s">
        <x:v>93</x:v>
      </x:c>
      <x:c r="AE27" s="1"/>
      <x:c r="AF27" s="8" t="s">
        <x:v>118</x:v>
      </x:c>
      <x:c r="AG27" s="1" t="s">
        <x:v>391</x:v>
      </x:c>
      <x:c r="AH27" s="8" t="s">
        <x:v>144</x:v>
      </x:c>
      <x:c r="AI27" s="1" t="s">
        <x:v>145</x:v>
      </x:c>
      <x:c r="AJ27" s="17">
        <x:v>46323</x:v>
      </x:c>
      <x:c r="AK27" s="1" t="s">
        <x:v>73</x:v>
      </x:c>
      <x:c r="AL27" s="8" t="s">
        <x:v>74</x:v>
      </x:c>
      <x:c r="AM27" s="1"/>
      <x:c r="AN27" s="8" t="s">
        <x:v>95</x:v>
      </x:c>
      <x:c r="AO27" s="1" t="s">
        <x:v>76</x:v>
      </x:c>
      <x:c r="AP27" s="8"/>
      <x:c r="AQ27" s="1" t="s">
        <x:v>77</x:v>
      </x:c>
      <x:c r="AR27" s="8" t="str">
        <x:v>Проверка автором исследования; дополнительная проверка Михаилом Саяпиным; согласование 28.10.2026</x:v>
      </x:c>
      <x:c r="AS27" s="1"/>
      <x:c r="AT27" s="8" t="s">
        <x:v>96</x:v>
      </x:c>
      <x:c r="AU27" s="1" t="s">
        <x:v>97</x:v>
      </x:c>
      <x:c r="AV27" s="17"/>
      <x:c r="AW27" s="1" t="s">
        <x:v>98</x:v>
      </x:c>
      <x:c r="AX27" s="8" t="s">
        <x:v>146</x:v>
      </x:c>
      <x:c r="AY27" s="8" t="s">
        <x:v>399</x:v>
      </x:c>
    </x:row>
    <x:row r="28" ht="69.94999694824219" customHeight="1">
      <x:c r="A28" s="1" t="s">
        <x:v>400</x:v>
      </x:c>
      <x:c r="B28" s="8" t="s">
        <x:v>401</x:v>
      </x:c>
      <x:c r="C28" s="1" t="s">
        <x:v>402</x:v>
      </x:c>
      <x:c r="D28" s="8" t="s">
        <x:v>86</x:v>
      </x:c>
      <x:c r="E28" s="1" t="s">
        <x:v>76</x:v>
      </x:c>
      <x:c r="F28" s="8" t="s">
        <x:v>403</x:v>
      </x:c>
      <x:c r="G28" s="1" t="s">
        <x:v>404</x:v>
      </x:c>
      <x:c r="H28" s="8"/>
      <x:c r="I28" s="4">
        <x:v>2009</x:v>
      </x:c>
      <x:c r="J28" s="8"/>
      <x:c r="K28" s="1"/>
      <x:c r="L28" s="8" t="s">
        <x:v>405</x:v>
      </x:c>
      <x:c r="M28" s="1" t="s">
        <x:v>90</x:v>
      </x:c>
      <x:c r="N28" s="8" t="s">
        <x:v>406</x:v>
      </x:c>
      <x:c r="O28" s="1" t="s">
        <x:v>407</x:v>
      </x:c>
      <x:c r="P28" s="8"/>
      <x:c r="Q28" s="1"/>
      <x:c r="R28" s="8"/>
      <x:c r="S28" s="3"/>
      <x:c r="T28" s="8" t="s">
        <x:v>63</x:v>
      </x:c>
      <x:c r="U28" s="1" t="s">
        <x:v>408</x:v>
      </x:c>
      <x:c r="V28" s="13">
        <x:v>4</x:v>
      </x:c>
      <x:c r="W28" s="1" t="s">
        <x:v>65</x:v>
      </x:c>
      <x:c r="X28" s="8" t="s">
        <x:v>66</x:v>
      </x:c>
      <x:c r="Y28" s="1" t="str">
        <x:v>Проверено автором исследования</x:v>
      </x:c>
      <x:c r="Z28" s="8"/>
      <x:c r="AA28" s="1" t="s">
        <x:v>409</x:v>
      </x:c>
      <x:c r="AB28" s="13">
        <x:v>2026</x:v>
      </x:c>
      <x:c r="AC28" s="3"/>
      <x:c r="AD28" s="8" t="s">
        <x:v>93</x:v>
      </x:c>
      <x:c r="AE28" s="1"/>
      <x:c r="AF28" s="8" t="s">
        <x:v>118</x:v>
      </x:c>
      <x:c r="AG28" s="1" t="s">
        <x:v>410</x:v>
      </x:c>
      <x:c r="AH28" s="8" t="str">
        <x:v>Краткая затекстовая ссылка; повторная документальная сверка выполнена</x:v>
      </x:c>
      <x:c r="AI28" s="1"/>
      <x:c r="AJ28" s="17"/>
      <x:c r="AK28" s="1" t="s">
        <x:v>73</x:v>
      </x:c>
      <x:c r="AL28" s="8" t="s">
        <x:v>74</x:v>
      </x:c>
      <x:c r="AM28" s="1"/>
      <x:c r="AN28" s="8" t="s">
        <x:v>95</x:v>
      </x:c>
      <x:c r="AO28" s="1" t="s">
        <x:v>76</x:v>
      </x:c>
      <x:c r="AP28" s="8"/>
      <x:c r="AQ28" s="1" t="s">
        <x:v>77</x:v>
      </x:c>
      <x:c r="AR28" s="8" t="str">
        <x:v>Проверка автором исследования</x:v>
      </x:c>
      <x:c r="AS28" s="1"/>
      <x:c r="AT28" s="8" t="s">
        <x:v>96</x:v>
      </x:c>
      <x:c r="AU28" s="1" t="s">
        <x:v>97</x:v>
      </x:c>
      <x:c r="AV28" s="17"/>
      <x:c r="AW28" s="1" t="s">
        <x:v>98</x:v>
      </x:c>
      <x:c r="AX28" s="8" t="s">
        <x:v>82</x:v>
      </x:c>
      <x:c r="AY28" s="8"/>
    </x:row>
    <x:row r="29" ht="69.94999694824219" customHeight="1">
      <x:c r="A29" s="1" t="s">
        <x:v>411</x:v>
      </x:c>
      <x:c r="B29" s="8" t="s">
        <x:v>412</x:v>
      </x:c>
      <x:c r="C29" s="1" t="s">
        <x:v>413</x:v>
      </x:c>
      <x:c r="D29" s="8" t="s">
        <x:v>73</x:v>
      </x:c>
      <x:c r="E29" s="1" t="s">
        <x:v>76</x:v>
      </x:c>
      <x:c r="F29" s="8" t="s">
        <x:v>414</x:v>
      </x:c>
      <x:c r="G29" s="1" t="s">
        <x:v>415</x:v>
      </x:c>
      <x:c r="H29" s="8" t="s">
        <x:v>189</x:v>
      </x:c>
      <x:c r="I29" s="4">
        <x:v>2002</x:v>
      </x:c>
      <x:c r="J29" s="8"/>
      <x:c r="K29" s="1" t="s">
        <x:v>416</x:v>
      </x:c>
      <x:c r="L29" s="8" t="s">
        <x:v>417</x:v>
      </x:c>
      <x:c r="M29" s="1" t="s">
        <x:v>61</x:v>
      </x:c>
      <x:c r="N29" s="8"/>
      <x:c r="O29" s="1"/>
      <x:c r="P29" s="8"/>
      <x:c r="Q29" s="1"/>
      <x:c r="R29" s="8"/>
      <x:c r="S29" s="3"/>
      <x:c r="T29" s="8" t="s">
        <x:v>63</x:v>
      </x:c>
      <x:c r="U29" s="1" t="s">
        <x:v>418</x:v>
      </x:c>
      <x:c r="V29" s="13">
        <x:v>9</x:v>
      </x:c>
      <x:c r="W29" s="1" t="s">
        <x:v>65</x:v>
      </x:c>
      <x:c r="X29" s="8" t="s">
        <x:v>66</x:v>
      </x:c>
      <x:c r="Y29" s="1" t="str">
        <x:v>Проверено автором исследования</x:v>
      </x:c>
      <x:c r="Z29" s="8"/>
      <x:c r="AA29" s="1" t="s">
        <x:v>419</x:v>
      </x:c>
      <x:c r="AB29" s="13">
        <x:v>2026</x:v>
      </x:c>
      <x:c r="AC29" s="3"/>
      <x:c r="AD29" s="8" t="s">
        <x:v>93</x:v>
      </x:c>
      <x:c r="AE29" s="1" t="s">
        <x:v>420</x:v>
      </x:c>
      <x:c r="AF29" s="8" t="s">
        <x:v>118</x:v>
      </x:c>
      <x:c r="AG29" s="1" t="s">
        <x:v>421</x:v>
      </x:c>
      <x:c r="AH29" s="8" t="str">
        <x:v>Краткая затекстовая ссылка; повторная документальная сверка выполнена</x:v>
      </x:c>
      <x:c r="AI29" s="1"/>
      <x:c r="AJ29" s="17"/>
      <x:c r="AK29" s="1" t="s">
        <x:v>73</x:v>
      </x:c>
      <x:c r="AL29" s="8" t="s">
        <x:v>74</x:v>
      </x:c>
      <x:c r="AM29" s="1"/>
      <x:c r="AN29" s="8" t="s">
        <x:v>95</x:v>
      </x:c>
      <x:c r="AO29" s="1" t="s">
        <x:v>76</x:v>
      </x:c>
      <x:c r="AP29" s="8"/>
      <x:c r="AQ29" s="1" t="s">
        <x:v>77</x:v>
      </x:c>
      <x:c r="AR29" s="8" t="str">
        <x:v>Проверка автором исследования</x:v>
      </x:c>
      <x:c r="AS29" s="1"/>
      <x:c r="AT29" s="8" t="s">
        <x:v>96</x:v>
      </x:c>
      <x:c r="AU29" s="1" t="s">
        <x:v>97</x:v>
      </x:c>
      <x:c r="AV29" s="17"/>
      <x:c r="AW29" s="1" t="s">
        <x:v>98</x:v>
      </x:c>
      <x:c r="AX29" s="8" t="s">
        <x:v>82</x:v>
      </x:c>
      <x:c r="AY29" s="8"/>
    </x:row>
    <x:row r="30" ht="126" customHeight="1">
      <x:c r="A30" s="1" t="s">
        <x:v>422</x:v>
      </x:c>
      <x:c r="B30" s="8" t="s">
        <x:v>423</x:v>
      </x:c>
      <x:c r="C30" s="1" t="s">
        <x:v>424</x:v>
      </x:c>
      <x:c r="D30" s="8" t="s">
        <x:v>53</x:v>
      </x:c>
      <x:c r="E30" s="1" t="s">
        <x:v>54</x:v>
      </x:c>
      <x:c r="F30" s="8" t="s">
        <x:v>425</x:v>
      </x:c>
      <x:c r="G30" s="1" t="s">
        <x:v>426</x:v>
      </x:c>
      <x:c r="H30" s="8" t="s">
        <x:v>189</x:v>
      </x:c>
      <x:c r="I30" s="4">
        <x:v>2022</x:v>
      </x:c>
      <x:c r="J30" s="8"/>
      <x:c r="K30" s="1" t="s">
        <x:v>416</x:v>
      </x:c>
      <x:c r="L30" s="8" t="s">
        <x:v>427</x:v>
      </x:c>
      <x:c r="M30" s="1" t="s">
        <x:v>61</x:v>
      </x:c>
      <x:c r="N30" s="8"/>
      <x:c r="O30" s="1"/>
      <x:c r="P30" s="8"/>
      <x:c r="Q30" s="1"/>
      <x:c r="R30" s="8" t="s">
        <x:v>428</x:v>
      </x:c>
      <x:c r="S30" s="3"/>
      <x:c r="T30" s="8" t="s">
        <x:v>63</x:v>
      </x:c>
      <x:c r="U30" s="1" t="s">
        <x:v>418</x:v>
      </x:c>
      <x:c r="V30" s="13">
        <x:v>17</x:v>
      </x:c>
      <x:c r="W30" s="1" t="s">
        <x:v>65</x:v>
      </x:c>
      <x:c r="X30" s="8" t="s">
        <x:v>66</x:v>
      </x:c>
      <x:c r="Y30" s="1" t="str">
        <x:v>Проверено автором исследования</x:v>
      </x:c>
      <x:c r="Z30" s="8" t="s">
        <x:v>429</x:v>
      </x:c>
      <x:c r="AA30" s="1" t="s">
        <x:v>419</x:v>
      </x:c>
      <x:c r="AB30" s="13">
        <x:v>2026</x:v>
      </x:c>
      <x:c r="AC30" s="3">
        <x:v>46322</x:v>
      </x:c>
      <x:c r="AD30" s="8" t="s">
        <x:v>69</x:v>
      </x:c>
      <x:c r="AE30" s="1" t="s">
        <x:v>430</x:v>
      </x:c>
      <x:c r="AF30" s="8" t="s">
        <x:v>118</x:v>
      </x:c>
      <x:c r="AG30" s="1" t="s">
        <x:v>421</x:v>
      </x:c>
      <x:c r="AH30" s="8" t="str">
        <x:v>Краткая затекстовая ссылка; повторная документальная сверка выполнена</x:v>
      </x:c>
      <x:c r="AI30" s="1"/>
      <x:c r="AJ30" s="17"/>
      <x:c r="AK30" s="1" t="s">
        <x:v>73</x:v>
      </x:c>
      <x:c r="AL30" s="8" t="s">
        <x:v>74</x:v>
      </x:c>
      <x:c r="AM30" s="1"/>
      <x:c r="AN30" s="8" t="s">
        <x:v>75</x:v>
      </x:c>
      <x:c r="AO30" s="1" t="s">
        <x:v>76</x:v>
      </x:c>
      <x:c r="AP30" s="8"/>
      <x:c r="AQ30" s="1" t="s">
        <x:v>77</x:v>
      </x:c>
      <x:c r="AR30" s="8" t="str">
        <x:v>Проверка автором исследования</x:v>
      </x:c>
      <x:c r="AS30" s="1" t="s">
        <x:v>431</x:v>
      </x:c>
      <x:c r="AT30" s="8" t="s">
        <x:v>432</x:v>
      </x:c>
      <x:c r="AU30" s="1" t="s">
        <x:v>433</x:v>
      </x:c>
      <x:c r="AV30" s="17">
        <x:v>46321</x:v>
      </x:c>
      <x:c r="AW30" s="1" t="s">
        <x:v>81</x:v>
      </x:c>
      <x:c r="AX30" s="8" t="s">
        <x:v>82</x:v>
      </x:c>
      <x:c r="AY30" s="8"/>
    </x:row>
    <x:row r="31" ht="69.94999694824219" customHeight="1">
      <x:c r="A31" s="1" t="s">
        <x:v>434</x:v>
      </x:c>
      <x:c r="B31" s="8" t="s">
        <x:v>435</x:v>
      </x:c>
      <x:c r="C31" s="1" t="s">
        <x:v>436</x:v>
      </x:c>
      <x:c r="D31" s="8" t="s">
        <x:v>73</x:v>
      </x:c>
      <x:c r="E31" s="1" t="s">
        <x:v>76</x:v>
      </x:c>
      <x:c r="F31" s="8" t="s">
        <x:v>437</x:v>
      </x:c>
      <x:c r="G31" s="1" t="s">
        <x:v>438</x:v>
      </x:c>
      <x:c r="H31" s="8" t="s">
        <x:v>439</x:v>
      </x:c>
      <x:c r="I31" s="4">
        <x:v>2016</x:v>
      </x:c>
      <x:c r="J31" s="8"/>
      <x:c r="K31" s="1" t="s">
        <x:v>440</x:v>
      </x:c>
      <x:c r="L31" s="8" t="s">
        <x:v>441</x:v>
      </x:c>
      <x:c r="M31" s="1" t="s">
        <x:v>61</x:v>
      </x:c>
      <x:c r="N31" s="8"/>
      <x:c r="O31" s="1"/>
      <x:c r="P31" s="8"/>
      <x:c r="Q31" s="1"/>
      <x:c r="R31" s="8" t="s">
        <x:v>442</x:v>
      </x:c>
      <x:c r="S31" s="3">
        <x:v>45728</x:v>
      </x:c>
      <x:c r="T31" s="8" t="s">
        <x:v>63</x:v>
      </x:c>
      <x:c r="U31" s="1" t="s">
        <x:v>443</x:v>
      </x:c>
      <x:c r="V31" s="13">
        <x:v>9</x:v>
      </x:c>
      <x:c r="W31" s="1" t="s">
        <x:v>65</x:v>
      </x:c>
      <x:c r="X31" s="8" t="s">
        <x:v>66</x:v>
      </x:c>
      <x:c r="Y31" s="1" t="str">
        <x:v>Проверено автором исследования</x:v>
      </x:c>
      <x:c r="Z31" s="8"/>
      <x:c r="AA31" s="1" t="s">
        <x:v>444</x:v>
      </x:c>
      <x:c r="AB31" s="13">
        <x:v>2026</x:v>
      </x:c>
      <x:c r="AC31" s="3"/>
      <x:c r="AD31" s="8" t="s">
        <x:v>93</x:v>
      </x:c>
      <x:c r="AE31" s="1" t="s">
        <x:v>445</x:v>
      </x:c>
      <x:c r="AF31" s="8" t="s">
        <x:v>118</x:v>
      </x:c>
      <x:c r="AG31" s="1" t="s">
        <x:v>446</x:v>
      </x:c>
      <x:c r="AH31" s="8" t="str">
        <x:v>Краткая затекстовая ссылка; повторная документальная сверка выполнена</x:v>
      </x:c>
      <x:c r="AI31" s="1"/>
      <x:c r="AJ31" s="17"/>
      <x:c r="AK31" s="1" t="s">
        <x:v>73</x:v>
      </x:c>
      <x:c r="AL31" s="8" t="s">
        <x:v>74</x:v>
      </x:c>
      <x:c r="AM31" s="1"/>
      <x:c r="AN31" s="8" t="s">
        <x:v>95</x:v>
      </x:c>
      <x:c r="AO31" s="1" t="s">
        <x:v>54</x:v>
      </x:c>
      <x:c r="AP31" s="8"/>
      <x:c r="AQ31" s="1" t="s">
        <x:v>77</x:v>
      </x:c>
      <x:c r="AR31" s="8" t="str">
        <x:v>Проверка автором исследования</x:v>
      </x:c>
      <x:c r="AS31" s="1"/>
      <x:c r="AT31" s="8" t="s">
        <x:v>96</x:v>
      </x:c>
      <x:c r="AU31" s="1" t="s">
        <x:v>447</x:v>
      </x:c>
      <x:c r="AV31" s="17">
        <x:v>45728</x:v>
      </x:c>
      <x:c r="AW31" s="1" t="s">
        <x:v>324</x:v>
      </x:c>
      <x:c r="AX31" s="8" t="s">
        <x:v>82</x:v>
      </x:c>
      <x:c r="AY31" s="8"/>
    </x:row>
    <x:row r="32" ht="69.94999694824219" customHeight="1">
      <x:c r="A32" s="1" t="s">
        <x:v>448</x:v>
      </x:c>
      <x:c r="B32" s="8" t="s">
        <x:v>449</x:v>
      </x:c>
      <x:c r="C32" s="1" t="s">
        <x:v>450</x:v>
      </x:c>
      <x:c r="D32" s="8" t="s">
        <x:v>86</x:v>
      </x:c>
      <x:c r="E32" s="1" t="s">
        <x:v>76</x:v>
      </x:c>
      <x:c r="F32" s="8" t="s">
        <x:v>451</x:v>
      </x:c>
      <x:c r="G32" s="1" t="s">
        <x:v>452</x:v>
      </x:c>
      <x:c r="H32" s="8"/>
      <x:c r="I32" s="4">
        <x:v>2023</x:v>
      </x:c>
      <x:c r="J32" s="8"/>
      <x:c r="K32" s="1"/>
      <x:c r="L32" s="8" t="s">
        <x:v>453</x:v>
      </x:c>
      <x:c r="M32" s="1" t="s">
        <x:v>90</x:v>
      </x:c>
      <x:c r="N32" s="8" t="s">
        <x:v>454</x:v>
      </x:c>
      <x:c r="O32" s="1" t="s">
        <x:v>455</x:v>
      </x:c>
      <x:c r="P32" s="8"/>
      <x:c r="Q32" s="1"/>
      <x:c r="R32" s="8" t="s">
        <x:v>456</x:v>
      </x:c>
      <x:c r="S32" s="3">
        <x:v>45728</x:v>
      </x:c>
      <x:c r="T32" s="8" t="s">
        <x:v>63</x:v>
      </x:c>
      <x:c r="U32" s="1" t="s">
        <x:v>443</x:v>
      </x:c>
      <x:c r="V32" s="13">
        <x:v>17</x:v>
      </x:c>
      <x:c r="W32" s="1" t="s">
        <x:v>65</x:v>
      </x:c>
      <x:c r="X32" s="8" t="s">
        <x:v>66</x:v>
      </x:c>
      <x:c r="Y32" s="1" t="str">
        <x:v>Проверено автором исследования</x:v>
      </x:c>
      <x:c r="Z32" s="8"/>
      <x:c r="AA32" s="1" t="s">
        <x:v>444</x:v>
      </x:c>
      <x:c r="AB32" s="13">
        <x:v>2026</x:v>
      </x:c>
      <x:c r="AC32" s="3"/>
      <x:c r="AD32" s="8" t="s">
        <x:v>93</x:v>
      </x:c>
      <x:c r="AE32" s="1" t="s">
        <x:v>457</x:v>
      </x:c>
      <x:c r="AF32" s="8" t="s">
        <x:v>118</x:v>
      </x:c>
      <x:c r="AG32" s="1" t="s">
        <x:v>446</x:v>
      </x:c>
      <x:c r="AH32" s="8" t="str">
        <x:v>Краткая затекстовая ссылка; повторная документальная сверка выполнена</x:v>
      </x:c>
      <x:c r="AI32" s="1"/>
      <x:c r="AJ32" s="17"/>
      <x:c r="AK32" s="1" t="s">
        <x:v>73</x:v>
      </x:c>
      <x:c r="AL32" s="8" t="s">
        <x:v>74</x:v>
      </x:c>
      <x:c r="AM32" s="1"/>
      <x:c r="AN32" s="8" t="s">
        <x:v>95</x:v>
      </x:c>
      <x:c r="AO32" s="1" t="s">
        <x:v>54</x:v>
      </x:c>
      <x:c r="AP32" s="8"/>
      <x:c r="AQ32" s="1" t="s">
        <x:v>77</x:v>
      </x:c>
      <x:c r="AR32" s="8" t="str">
        <x:v>Проверка автором исследования</x:v>
      </x:c>
      <x:c r="AS32" s="1"/>
      <x:c r="AT32" s="8" t="s">
        <x:v>96</x:v>
      </x:c>
      <x:c r="AU32" s="1" t="s">
        <x:v>458</x:v>
      </x:c>
      <x:c r="AV32" s="17">
        <x:v>45728</x:v>
      </x:c>
      <x:c r="AW32" s="1" t="s">
        <x:v>324</x:v>
      </x:c>
      <x:c r="AX32" s="8" t="s">
        <x:v>82</x:v>
      </x:c>
      <x:c r="AY32" s="8"/>
    </x:row>
    <x:row r="33" ht="69.94999694824219" customHeight="1">
      <x:c r="A33" s="1" t="s">
        <x:v>459</x:v>
      </x:c>
      <x:c r="B33" s="8" t="s">
        <x:v>460</x:v>
      </x:c>
      <x:c r="C33" s="1" t="s">
        <x:v>461</x:v>
      </x:c>
      <x:c r="D33" s="8" t="s">
        <x:v>86</x:v>
      </x:c>
      <x:c r="E33" s="1" t="s">
        <x:v>76</x:v>
      </x:c>
      <x:c r="F33" s="8" t="s">
        <x:v>462</x:v>
      </x:c>
      <x:c r="G33" s="1" t="s">
        <x:v>463</x:v>
      </x:c>
      <x:c r="H33" s="8"/>
      <x:c r="I33" s="4">
        <x:v>1958</x:v>
      </x:c>
      <x:c r="J33" s="8"/>
      <x:c r="K33" s="1"/>
      <x:c r="L33" s="8" t="s">
        <x:v>464</x:v>
      </x:c>
      <x:c r="M33" s="1" t="s">
        <x:v>90</x:v>
      </x:c>
      <x:c r="N33" s="8" t="s">
        <x:v>465</x:v>
      </x:c>
      <x:c r="O33" s="1" t="s">
        <x:v>92</x:v>
      </x:c>
      <x:c r="P33" s="8"/>
      <x:c r="Q33" s="1"/>
      <x:c r="R33" s="8"/>
      <x:c r="S33" s="3"/>
      <x:c r="T33" s="8" t="s">
        <x:v>63</x:v>
      </x:c>
      <x:c r="U33" s="1" t="s">
        <x:v>466</x:v>
      </x:c>
      <x:c r="V33" s="13">
        <x:v>3</x:v>
      </x:c>
      <x:c r="W33" s="1" t="s">
        <x:v>65</x:v>
      </x:c>
      <x:c r="X33" s="8" t="s">
        <x:v>66</x:v>
      </x:c>
      <x:c r="Y33" s="1" t="str">
        <x:v>Проверено автором исследования</x:v>
      </x:c>
      <x:c r="Z33" s="8"/>
      <x:c r="AA33" s="1" t="s">
        <x:v>467</x:v>
      </x:c>
      <x:c r="AB33" s="13">
        <x:v>2026</x:v>
      </x:c>
      <x:c r="AC33" s="3"/>
      <x:c r="AD33" s="8" t="s">
        <x:v>93</x:v>
      </x:c>
      <x:c r="AE33" s="1" t="s">
        <x:v>468</x:v>
      </x:c>
      <x:c r="AF33" s="8" t="s">
        <x:v>118</x:v>
      </x:c>
      <x:c r="AG33" s="1" t="s">
        <x:v>469</x:v>
      </x:c>
      <x:c r="AH33" s="8" t="str">
        <x:v>Краткая затекстовая ссылка; повторная документальная сверка выполнена</x:v>
      </x:c>
      <x:c r="AI33" s="1"/>
      <x:c r="AJ33" s="17"/>
      <x:c r="AK33" s="1" t="s">
        <x:v>73</x:v>
      </x:c>
      <x:c r="AL33" s="8" t="s">
        <x:v>74</x:v>
      </x:c>
      <x:c r="AM33" s="1"/>
      <x:c r="AN33" s="8" t="s">
        <x:v>95</x:v>
      </x:c>
      <x:c r="AO33" s="1" t="s">
        <x:v>76</x:v>
      </x:c>
      <x:c r="AP33" s="8"/>
      <x:c r="AQ33" s="1" t="s">
        <x:v>77</x:v>
      </x:c>
      <x:c r="AR33" s="8" t="str">
        <x:v>Проверка автором исследования</x:v>
      </x:c>
      <x:c r="AS33" s="1"/>
      <x:c r="AT33" s="8" t="s">
        <x:v>96</x:v>
      </x:c>
      <x:c r="AU33" s="1" t="s">
        <x:v>97</x:v>
      </x:c>
      <x:c r="AV33" s="17"/>
      <x:c r="AW33" s="1" t="s">
        <x:v>98</x:v>
      </x:c>
      <x:c r="AX33" s="8" t="s">
        <x:v>82</x:v>
      </x:c>
      <x:c r="AY33" s="8"/>
    </x:row>
    <x:row r="34" ht="69.94999694824219" customHeight="1">
      <x:c r="A34" s="1" t="s">
        <x:v>470</x:v>
      </x:c>
      <x:c r="B34" s="8" t="s">
        <x:v>471</x:v>
      </x:c>
      <x:c r="C34" s="1" t="s">
        <x:v>472</x:v>
      </x:c>
      <x:c r="D34" s="8" t="s">
        <x:v>73</x:v>
      </x:c>
      <x:c r="E34" s="1" t="s">
        <x:v>76</x:v>
      </x:c>
      <x:c r="F34" s="8" t="s">
        <x:v>473</x:v>
      </x:c>
      <x:c r="G34" s="1" t="s">
        <x:v>474</x:v>
      </x:c>
      <x:c r="H34" s="8" t="s">
        <x:v>475</x:v>
      </x:c>
      <x:c r="I34" s="4">
        <x:v>2021</x:v>
      </x:c>
      <x:c r="J34" s="8" t="s">
        <x:v>476</x:v>
      </x:c>
      <x:c r="K34" s="1" t="s">
        <x:v>239</x:v>
      </x:c>
      <x:c r="L34" s="8" t="s">
        <x:v>477</x:v>
      </x:c>
      <x:c r="M34" s="1" t="s">
        <x:v>61</x:v>
      </x:c>
      <x:c r="N34" s="8"/>
      <x:c r="O34" s="1"/>
      <x:c r="P34" s="8"/>
      <x:c r="Q34" s="1"/>
      <x:c r="R34" s="8"/>
      <x:c r="S34" s="3"/>
      <x:c r="T34" s="8" t="s">
        <x:v>63</x:v>
      </x:c>
      <x:c r="U34" s="1" t="s">
        <x:v>466</x:v>
      </x:c>
      <x:c r="V34" s="13">
        <x:v>12</x:v>
      </x:c>
      <x:c r="W34" s="1" t="s">
        <x:v>65</x:v>
      </x:c>
      <x:c r="X34" s="8" t="s">
        <x:v>66</x:v>
      </x:c>
      <x:c r="Y34" s="1" t="str">
        <x:v>Проверено автором исследования</x:v>
      </x:c>
      <x:c r="Z34" s="8"/>
      <x:c r="AA34" s="1" t="s">
        <x:v>467</x:v>
      </x:c>
      <x:c r="AB34" s="13">
        <x:v>2026</x:v>
      </x:c>
      <x:c r="AC34" s="3"/>
      <x:c r="AD34" s="8" t="s">
        <x:v>93</x:v>
      </x:c>
      <x:c r="AE34" s="1" t="s">
        <x:v>478</x:v>
      </x:c>
      <x:c r="AF34" s="8" t="s">
        <x:v>118</x:v>
      </x:c>
      <x:c r="AG34" s="1" t="s">
        <x:v>469</x:v>
      </x:c>
      <x:c r="AH34" s="8" t="str">
        <x:v>Краткая затекстовая ссылка; повторная документальная сверка выполнена</x:v>
      </x:c>
      <x:c r="AI34" s="1"/>
      <x:c r="AJ34" s="17"/>
      <x:c r="AK34" s="1" t="s">
        <x:v>73</x:v>
      </x:c>
      <x:c r="AL34" s="8" t="s">
        <x:v>74</x:v>
      </x:c>
      <x:c r="AM34" s="1"/>
      <x:c r="AN34" s="8" t="s">
        <x:v>95</x:v>
      </x:c>
      <x:c r="AO34" s="1" t="s">
        <x:v>76</x:v>
      </x:c>
      <x:c r="AP34" s="8"/>
      <x:c r="AQ34" s="1" t="s">
        <x:v>77</x:v>
      </x:c>
      <x:c r="AR34" s="8" t="str">
        <x:v>Проверка автором исследования</x:v>
      </x:c>
      <x:c r="AS34" s="1"/>
      <x:c r="AT34" s="8" t="s">
        <x:v>96</x:v>
      </x:c>
      <x:c r="AU34" s="1" t="s">
        <x:v>97</x:v>
      </x:c>
      <x:c r="AV34" s="17"/>
      <x:c r="AW34" s="1" t="s">
        <x:v>98</x:v>
      </x:c>
      <x:c r="AX34" s="8" t="s">
        <x:v>82</x:v>
      </x:c>
      <x:c r="AY34" s="8"/>
    </x:row>
    <x:row r="35" ht="84" customHeight="1">
      <x:c r="A35" s="1" t="s">
        <x:v>479</x:v>
      </x:c>
      <x:c r="B35" s="8" t="s">
        <x:v>480</x:v>
      </x:c>
      <x:c r="C35" s="1" t="s">
        <x:v>481</x:v>
      </x:c>
      <x:c r="D35" s="8" t="s">
        <x:v>53</x:v>
      </x:c>
      <x:c r="E35" s="1" t="s">
        <x:v>54</x:v>
      </x:c>
      <x:c r="F35" s="8" t="s">
        <x:v>482</x:v>
      </x:c>
      <x:c r="G35" s="1" t="s">
        <x:v>483</x:v>
      </x:c>
      <x:c r="H35" s="8" t="s">
        <x:v>484</x:v>
      </x:c>
      <x:c r="I35" s="4">
        <x:v>2019</x:v>
      </x:c>
      <x:c r="J35" s="8" t="s">
        <x:v>485</x:v>
      </x:c>
      <x:c r="K35" s="1" t="s">
        <x:v>486</x:v>
      </x:c>
      <x:c r="L35" s="8" t="s">
        <x:v>487</x:v>
      </x:c>
      <x:c r="M35" s="1" t="s">
        <x:v>61</x:v>
      </x:c>
      <x:c r="N35" s="8"/>
      <x:c r="O35" s="1"/>
      <x:c r="P35" s="8"/>
      <x:c r="Q35" s="1"/>
      <x:c r="R35" s="8" t="s">
        <x:v>488</x:v>
      </x:c>
      <x:c r="S35" s="3"/>
      <x:c r="T35" s="8" t="s">
        <x:v>63</x:v>
      </x:c>
      <x:c r="U35" s="1" t="s">
        <x:v>489</x:v>
      </x:c>
      <x:c r="V35" s="13">
        <x:v>2</x:v>
      </x:c>
      <x:c r="W35" s="1" t="s">
        <x:v>65</x:v>
      </x:c>
      <x:c r="X35" s="8" t="s">
        <x:v>66</x:v>
      </x:c>
      <x:c r="Y35" s="1" t="str">
        <x:v>Проверено автором исследования</x:v>
      </x:c>
      <x:c r="Z35" s="8" t="s">
        <x:v>490</x:v>
      </x:c>
      <x:c r="AA35" s="1" t="s">
        <x:v>491</x:v>
      </x:c>
      <x:c r="AB35" s="13">
        <x:v>2026</x:v>
      </x:c>
      <x:c r="AC35" s="3">
        <x:v>46322</x:v>
      </x:c>
      <x:c r="AD35" s="8" t="s">
        <x:v>69</x:v>
      </x:c>
      <x:c r="AE35" s="1" t="s">
        <x:v>492</x:v>
      </x:c>
      <x:c r="AF35" s="8" t="s">
        <x:v>71</x:v>
      </x:c>
      <x:c r="AG35" s="1" t="s">
        <x:v>493</x:v>
      </x:c>
      <x:c r="AH35" s="8" t="str">
        <x:v>Краткая затекстовая ссылка; повторная документальная сверка выполнена</x:v>
      </x:c>
      <x:c r="AI35" s="1"/>
      <x:c r="AJ35" s="17"/>
      <x:c r="AK35" s="1" t="s">
        <x:v>73</x:v>
      </x:c>
      <x:c r="AL35" s="8" t="s">
        <x:v>74</x:v>
      </x:c>
      <x:c r="AM35" s="1"/>
      <x:c r="AN35" s="8" t="s">
        <x:v>75</x:v>
      </x:c>
      <x:c r="AO35" s="1" t="s">
        <x:v>76</x:v>
      </x:c>
      <x:c r="AP35" s="8"/>
      <x:c r="AQ35" s="1" t="s">
        <x:v>77</x:v>
      </x:c>
      <x:c r="AR35" s="8" t="str">
        <x:v>Проверка автором исследования</x:v>
      </x:c>
      <x:c r="AS35" s="1" t="s">
        <x:v>494</x:v>
      </x:c>
      <x:c r="AT35" s="8" t="s">
        <x:v>484</x:v>
      </x:c>
      <x:c r="AU35" s="1" t="s">
        <x:v>495</x:v>
      </x:c>
      <x:c r="AV35" s="17">
        <x:v>46321</x:v>
      </x:c>
      <x:c r="AW35" s="1" t="s">
        <x:v>81</x:v>
      </x:c>
      <x:c r="AX35" s="8" t="s">
        <x:v>82</x:v>
      </x:c>
      <x:c r="AY35" s="8"/>
    </x:row>
    <x:row r="36" ht="69.94999694824219" customHeight="1">
      <x:c r="A36" s="1" t="s">
        <x:v>496</x:v>
      </x:c>
      <x:c r="B36" s="8" t="s">
        <x:v>497</x:v>
      </x:c>
      <x:c r="C36" s="1" t="s">
        <x:v>498</x:v>
      </x:c>
      <x:c r="D36" s="8" t="s">
        <x:v>73</x:v>
      </x:c>
      <x:c r="E36" s="1" t="s">
        <x:v>76</x:v>
      </x:c>
      <x:c r="F36" s="8" t="s">
        <x:v>499</x:v>
      </x:c>
      <x:c r="G36" s="1" t="s">
        <x:v>500</x:v>
      </x:c>
      <x:c r="H36" s="8" t="s">
        <x:v>501</x:v>
      </x:c>
      <x:c r="I36" s="4">
        <x:v>2016</x:v>
      </x:c>
      <x:c r="J36" s="8"/>
      <x:c r="K36" s="1" t="s">
        <x:v>502</x:v>
      </x:c>
      <x:c r="L36" s="8" t="s">
        <x:v>503</x:v>
      </x:c>
      <x:c r="M36" s="1" t="s">
        <x:v>61</x:v>
      </x:c>
      <x:c r="N36" s="8"/>
      <x:c r="O36" s="1"/>
      <x:c r="P36" s="8"/>
      <x:c r="Q36" s="1"/>
      <x:c r="R36" s="8" t="s">
        <x:v>504</x:v>
      </x:c>
      <x:c r="S36" s="3"/>
      <x:c r="T36" s="8" t="s">
        <x:v>63</x:v>
      </x:c>
      <x:c r="U36" s="1" t="s">
        <x:v>489</x:v>
      </x:c>
      <x:c r="V36" s="13">
        <x:v>5</x:v>
      </x:c>
      <x:c r="W36" s="1" t="s">
        <x:v>65</x:v>
      </x:c>
      <x:c r="X36" s="8" t="s">
        <x:v>66</x:v>
      </x:c>
      <x:c r="Y36" s="1" t="str">
        <x:v>Проверено автором исследования</x:v>
      </x:c>
      <x:c r="Z36" s="8" t="s">
        <x:v>505</x:v>
      </x:c>
      <x:c r="AA36" s="1" t="s">
        <x:v>491</x:v>
      </x:c>
      <x:c r="AB36" s="13">
        <x:v>2026</x:v>
      </x:c>
      <x:c r="AC36" s="3"/>
      <x:c r="AD36" s="8" t="s">
        <x:v>93</x:v>
      </x:c>
      <x:c r="AE36" s="1" t="s">
        <x:v>506</x:v>
      </x:c>
      <x:c r="AF36" s="8" t="s">
        <x:v>71</x:v>
      </x:c>
      <x:c r="AG36" s="1" t="s">
        <x:v>493</x:v>
      </x:c>
      <x:c r="AH36" s="8" t="str">
        <x:v>Краткая затекстовая ссылка; повторная документальная сверка выполнена</x:v>
      </x:c>
      <x:c r="AI36" s="1"/>
      <x:c r="AJ36" s="17"/>
      <x:c r="AK36" s="1" t="s">
        <x:v>73</x:v>
      </x:c>
      <x:c r="AL36" s="8" t="s">
        <x:v>74</x:v>
      </x:c>
      <x:c r="AM36" s="1"/>
      <x:c r="AN36" s="8" t="s">
        <x:v>95</x:v>
      </x:c>
      <x:c r="AO36" s="1" t="s">
        <x:v>76</x:v>
      </x:c>
      <x:c r="AP36" s="8"/>
      <x:c r="AQ36" s="1" t="s">
        <x:v>77</x:v>
      </x:c>
      <x:c r="AR36" s="8" t="str">
        <x:v>Проверка автором исследования</x:v>
      </x:c>
      <x:c r="AS36" s="1"/>
      <x:c r="AT36" s="8" t="s">
        <x:v>96</x:v>
      </x:c>
      <x:c r="AU36" s="1" t="s">
        <x:v>447</x:v>
      </x:c>
      <x:c r="AV36" s="17">
        <x:v>46321</x:v>
      </x:c>
      <x:c r="AW36" s="1" t="s">
        <x:v>81</x:v>
      </x:c>
      <x:c r="AX36" s="8" t="s">
        <x:v>82</x:v>
      </x:c>
      <x:c r="AY36" s="8"/>
    </x:row>
    <x:row r="37" ht="140.10000610351562" customHeight="1">
      <x:c r="A37" s="1" t="s">
        <x:v>507</x:v>
      </x:c>
      <x:c r="B37" s="8" t="s">
        <x:v>508</x:v>
      </x:c>
      <x:c r="C37" s="1" t="s">
        <x:v>509</x:v>
      </x:c>
      <x:c r="D37" s="8" t="s">
        <x:v>53</x:v>
      </x:c>
      <x:c r="E37" s="1" t="s">
        <x:v>54</x:v>
      </x:c>
      <x:c r="F37" s="8" t="s">
        <x:v>510</x:v>
      </x:c>
      <x:c r="G37" s="1" t="s">
        <x:v>511</x:v>
      </x:c>
      <x:c r="H37" s="8" t="s">
        <x:v>370</x:v>
      </x:c>
      <x:c r="I37" s="4">
        <x:v>2024</x:v>
      </x:c>
      <x:c r="J37" s="8" t="s">
        <x:v>512</x:v>
      </x:c>
      <x:c r="K37" s="1" t="s">
        <x:v>190</x:v>
      </x:c>
      <x:c r="L37" s="8" t="s">
        <x:v>513</x:v>
      </x:c>
      <x:c r="M37" s="1" t="s">
        <x:v>61</x:v>
      </x:c>
      <x:c r="N37" s="8"/>
      <x:c r="O37" s="1"/>
      <x:c r="P37" s="8"/>
      <x:c r="Q37" s="1"/>
      <x:c r="R37" s="8" t="s">
        <x:v>514</x:v>
      </x:c>
      <x:c r="S37" s="3"/>
      <x:c r="T37" s="8" t="s">
        <x:v>63</x:v>
      </x:c>
      <x:c r="U37" s="1" t="s">
        <x:v>489</x:v>
      </x:c>
      <x:c r="V37" s="13">
        <x:v>6</x:v>
      </x:c>
      <x:c r="W37" s="1" t="s">
        <x:v>65</x:v>
      </x:c>
      <x:c r="X37" s="8" t="s">
        <x:v>66</x:v>
      </x:c>
      <x:c r="Y37" s="1" t="str">
        <x:v>Проверено автором исследования</x:v>
      </x:c>
      <x:c r="Z37" s="8" t="s">
        <x:v>515</x:v>
      </x:c>
      <x:c r="AA37" s="1" t="s">
        <x:v>491</x:v>
      </x:c>
      <x:c r="AB37" s="13">
        <x:v>2026</x:v>
      </x:c>
      <x:c r="AC37" s="3">
        <x:v>46322</x:v>
      </x:c>
      <x:c r="AD37" s="8" t="s">
        <x:v>69</x:v>
      </x:c>
      <x:c r="AE37" s="1" t="s">
        <x:v>516</x:v>
      </x:c>
      <x:c r="AF37" s="8" t="s">
        <x:v>71</x:v>
      </x:c>
      <x:c r="AG37" s="1" t="s">
        <x:v>493</x:v>
      </x:c>
      <x:c r="AH37" s="8" t="str">
        <x:v>Краткая затекстовая ссылка; повторная документальная сверка выполнена</x:v>
      </x:c>
      <x:c r="AI37" s="1"/>
      <x:c r="AJ37" s="17"/>
      <x:c r="AK37" s="1" t="s">
        <x:v>73</x:v>
      </x:c>
      <x:c r="AL37" s="8" t="s">
        <x:v>74</x:v>
      </x:c>
      <x:c r="AM37" s="1"/>
      <x:c r="AN37" s="8" t="s">
        <x:v>75</x:v>
      </x:c>
      <x:c r="AO37" s="1" t="s">
        <x:v>76</x:v>
      </x:c>
      <x:c r="AP37" s="8"/>
      <x:c r="AQ37" s="1" t="s">
        <x:v>77</x:v>
      </x:c>
      <x:c r="AR37" s="8" t="str">
        <x:v>Проверка автором исследования</x:v>
      </x:c>
      <x:c r="AS37" s="1" t="s">
        <x:v>517</x:v>
      </x:c>
      <x:c r="AT37" s="8" t="s">
        <x:v>518</x:v>
      </x:c>
      <x:c r="AU37" s="1" t="s">
        <x:v>519</x:v>
      </x:c>
      <x:c r="AV37" s="17">
        <x:v>46321</x:v>
      </x:c>
      <x:c r="AW37" s="1" t="s">
        <x:v>81</x:v>
      </x:c>
      <x:c r="AX37" s="8" t="s">
        <x:v>82</x:v>
      </x:c>
      <x:c r="AY37" s="8"/>
    </x:row>
    <x:row r="38" ht="69.94999694824219" customHeight="1">
      <x:c r="A38" s="1" t="s">
        <x:v>520</x:v>
      </x:c>
      <x:c r="B38" s="8" t="s">
        <x:v>521</x:v>
      </x:c>
      <x:c r="C38" s="1" t="s">
        <x:v>522</x:v>
      </x:c>
      <x:c r="D38" s="8" t="s">
        <x:v>86</x:v>
      </x:c>
      <x:c r="E38" s="1" t="s">
        <x:v>76</x:v>
      </x:c>
      <x:c r="F38" s="8" t="s">
        <x:v>523</x:v>
      </x:c>
      <x:c r="G38" s="1" t="s">
        <x:v>524</x:v>
      </x:c>
      <x:c r="H38" s="8"/>
      <x:c r="I38" s="4">
        <x:v>1975</x:v>
      </x:c>
      <x:c r="J38" s="8"/>
      <x:c r="K38" s="1"/>
      <x:c r="L38" s="8" t="s">
        <x:v>525</x:v>
      </x:c>
      <x:c r="M38" s="1" t="s">
        <x:v>90</x:v>
      </x:c>
      <x:c r="N38" s="8" t="s">
        <x:v>526</x:v>
      </x:c>
      <x:c r="O38" s="1" t="s">
        <x:v>92</x:v>
      </x:c>
      <x:c r="P38" s="8"/>
      <x:c r="Q38" s="1"/>
      <x:c r="R38" s="8"/>
      <x:c r="S38" s="3"/>
      <x:c r="T38" s="8" t="s">
        <x:v>63</x:v>
      </x:c>
      <x:c r="U38" s="1" t="s">
        <x:v>527</x:v>
      </x:c>
      <x:c r="V38" s="13">
        <x:v>10</x:v>
      </x:c>
      <x:c r="W38" s="1" t="s">
        <x:v>65</x:v>
      </x:c>
      <x:c r="X38" s="8" t="s">
        <x:v>66</x:v>
      </x:c>
      <x:c r="Y38" s="1" t="str">
        <x:v>Проверено автором исследования</x:v>
      </x:c>
      <x:c r="Z38" s="8"/>
      <x:c r="AA38" s="1" t="s">
        <x:v>528</x:v>
      </x:c>
      <x:c r="AB38" s="13">
        <x:v>2026</x:v>
      </x:c>
      <x:c r="AC38" s="3"/>
      <x:c r="AD38" s="8" t="s">
        <x:v>93</x:v>
      </x:c>
      <x:c r="AE38" s="1"/>
      <x:c r="AF38" s="8" t="s">
        <x:v>118</x:v>
      </x:c>
      <x:c r="AG38" s="1" t="s">
        <x:v>529</x:v>
      </x:c>
      <x:c r="AH38" s="8" t="str">
        <x:v>Краткая затекстовая ссылка; повторная документальная сверка выполнена</x:v>
      </x:c>
      <x:c r="AI38" s="1"/>
      <x:c r="AJ38" s="17"/>
      <x:c r="AK38" s="1" t="s">
        <x:v>73</x:v>
      </x:c>
      <x:c r="AL38" s="8" t="s">
        <x:v>74</x:v>
      </x:c>
      <x:c r="AM38" s="1"/>
      <x:c r="AN38" s="8" t="s">
        <x:v>95</x:v>
      </x:c>
      <x:c r="AO38" s="1" t="s">
        <x:v>76</x:v>
      </x:c>
      <x:c r="AP38" s="8"/>
      <x:c r="AQ38" s="1" t="s">
        <x:v>77</x:v>
      </x:c>
      <x:c r="AR38" s="8" t="str">
        <x:v>Проверка автором исследования</x:v>
      </x:c>
      <x:c r="AS38" s="1"/>
      <x:c r="AT38" s="8" t="s">
        <x:v>96</x:v>
      </x:c>
      <x:c r="AU38" s="1" t="s">
        <x:v>97</x:v>
      </x:c>
      <x:c r="AV38" s="17"/>
      <x:c r="AW38" s="1" t="s">
        <x:v>98</x:v>
      </x:c>
      <x:c r="AX38" s="8" t="s">
        <x:v>82</x:v>
      </x:c>
      <x:c r="AY38" s="8"/>
    </x:row>
    <x:row r="39" ht="98.0999984741211" customHeight="1">
      <x:c r="A39" s="1" t="s">
        <x:v>530</x:v>
      </x:c>
      <x:c r="B39" s="8" t="s">
        <x:v>531</x:v>
      </x:c>
      <x:c r="C39" s="1" t="s">
        <x:v>532</x:v>
      </x:c>
      <x:c r="D39" s="8" t="s">
        <x:v>53</x:v>
      </x:c>
      <x:c r="E39" s="1" t="s">
        <x:v>54</x:v>
      </x:c>
      <x:c r="F39" s="8" t="s">
        <x:v>533</x:v>
      </x:c>
      <x:c r="G39" s="1" t="s">
        <x:v>534</x:v>
      </x:c>
      <x:c r="H39" s="8" t="s">
        <x:v>535</x:v>
      </x:c>
      <x:c r="I39" s="4">
        <x:v>2024</x:v>
      </x:c>
      <x:c r="J39" s="8" t="s">
        <x:v>536</x:v>
      </x:c>
      <x:c r="K39" s="1" t="s">
        <x:v>537</x:v>
      </x:c>
      <x:c r="L39" s="8" t="s">
        <x:v>538</x:v>
      </x:c>
      <x:c r="M39" s="1" t="s">
        <x:v>61</x:v>
      </x:c>
      <x:c r="N39" s="8"/>
      <x:c r="O39" s="1"/>
      <x:c r="P39" s="8"/>
      <x:c r="Q39" s="1"/>
      <x:c r="R39" s="8" t="s">
        <x:v>539</x:v>
      </x:c>
      <x:c r="S39" s="3"/>
      <x:c r="T39" s="8" t="s">
        <x:v>63</x:v>
      </x:c>
      <x:c r="U39" s="1" t="s">
        <x:v>540</x:v>
      </x:c>
      <x:c r="V39" s="13">
        <x:v>6</x:v>
      </x:c>
      <x:c r="W39" s="1" t="s">
        <x:v>65</x:v>
      </x:c>
      <x:c r="X39" s="8" t="s">
        <x:v>66</x:v>
      </x:c>
      <x:c r="Y39" s="1" t="str">
        <x:v>Проверено автором исследования</x:v>
      </x:c>
      <x:c r="Z39" s="8" t="s">
        <x:v>541</x:v>
      </x:c>
      <x:c r="AA39" s="1" t="s">
        <x:v>542</x:v>
      </x:c>
      <x:c r="AB39" s="13">
        <x:v>2026</x:v>
      </x:c>
      <x:c r="AC39" s="3">
        <x:v>46322</x:v>
      </x:c>
      <x:c r="AD39" s="8" t="s">
        <x:v>69</x:v>
      </x:c>
      <x:c r="AE39" s="1" t="s">
        <x:v>543</x:v>
      </x:c>
      <x:c r="AF39" s="8" t="s">
        <x:v>118</x:v>
      </x:c>
      <x:c r="AG39" s="1" t="s">
        <x:v>544</x:v>
      </x:c>
      <x:c r="AH39" s="8" t="str">
        <x:v>Краткая затекстовая ссылка; повторная документальная сверка выполнена</x:v>
      </x:c>
      <x:c r="AI39" s="1"/>
      <x:c r="AJ39" s="17"/>
      <x:c r="AK39" s="1" t="s">
        <x:v>73</x:v>
      </x:c>
      <x:c r="AL39" s="8" t="s">
        <x:v>74</x:v>
      </x:c>
      <x:c r="AM39" s="1"/>
      <x:c r="AN39" s="8" t="s">
        <x:v>75</x:v>
      </x:c>
      <x:c r="AO39" s="1" t="s">
        <x:v>76</x:v>
      </x:c>
      <x:c r="AP39" s="8"/>
      <x:c r="AQ39" s="1" t="s">
        <x:v>77</x:v>
      </x:c>
      <x:c r="AR39" s="8" t="str">
        <x:v>Проверка автором исследования</x:v>
      </x:c>
      <x:c r="AS39" s="1" t="s">
        <x:v>545</x:v>
      </x:c>
      <x:c r="AT39" s="8" t="s">
        <x:v>546</x:v>
      </x:c>
      <x:c r="AU39" s="1" t="s">
        <x:v>547</x:v>
      </x:c>
      <x:c r="AV39" s="17">
        <x:v>46321</x:v>
      </x:c>
      <x:c r="AW39" s="1" t="s">
        <x:v>81</x:v>
      </x:c>
      <x:c r="AX39" s="8" t="s">
        <x:v>82</x:v>
      </x:c>
      <x:c r="AY39" s="8"/>
    </x:row>
    <x:row r="40" ht="84" customHeight="1">
      <x:c r="A40" s="1" t="s">
        <x:v>548</x:v>
      </x:c>
      <x:c r="B40" s="8" t="s">
        <x:v>549</x:v>
      </x:c>
      <x:c r="C40" s="1" t="s">
        <x:v>550</x:v>
      </x:c>
      <x:c r="D40" s="8" t="s">
        <x:v>53</x:v>
      </x:c>
      <x:c r="E40" s="1" t="s">
        <x:v>54</x:v>
      </x:c>
      <x:c r="F40" s="8" t="s">
        <x:v>551</x:v>
      </x:c>
      <x:c r="G40" s="1" t="s">
        <x:v>552</x:v>
      </x:c>
      <x:c r="H40" s="8" t="s">
        <x:v>553</x:v>
      </x:c>
      <x:c r="I40" s="4">
        <x:v>2020</x:v>
      </x:c>
      <x:c r="J40" s="8"/>
      <x:c r="K40" s="1" t="s">
        <x:v>554</x:v>
      </x:c>
      <x:c r="L40" s="8" t="s">
        <x:v>555</x:v>
      </x:c>
      <x:c r="M40" s="1" t="s">
        <x:v>61</x:v>
      </x:c>
      <x:c r="N40" s="8"/>
      <x:c r="O40" s="1"/>
      <x:c r="P40" s="8"/>
      <x:c r="Q40" s="1"/>
      <x:c r="R40" s="8" t="s">
        <x:v>556</x:v>
      </x:c>
      <x:c r="S40" s="3"/>
      <x:c r="T40" s="8" t="s">
        <x:v>63</x:v>
      </x:c>
      <x:c r="U40" s="1" t="s">
        <x:v>557</x:v>
      </x:c>
      <x:c r="V40" s="13">
        <x:v>11</x:v>
      </x:c>
      <x:c r="W40" s="1" t="s">
        <x:v>65</x:v>
      </x:c>
      <x:c r="X40" s="8" t="s">
        <x:v>66</x:v>
      </x:c>
      <x:c r="Y40" s="1" t="str">
        <x:v>Проверено автором исследования</x:v>
      </x:c>
      <x:c r="Z40" s="8" t="s">
        <x:v>558</x:v>
      </x:c>
      <x:c r="AA40" s="1" t="s">
        <x:v>559</x:v>
      </x:c>
      <x:c r="AB40" s="13">
        <x:v>2026</x:v>
      </x:c>
      <x:c r="AC40" s="3">
        <x:v>46322</x:v>
      </x:c>
      <x:c r="AD40" s="8" t="s">
        <x:v>69</x:v>
      </x:c>
      <x:c r="AE40" s="1" t="s">
        <x:v>560</x:v>
      </x:c>
      <x:c r="AF40" s="8" t="s">
        <x:v>118</x:v>
      </x:c>
      <x:c r="AG40" s="1" t="s">
        <x:v>561</x:v>
      </x:c>
      <x:c r="AH40" s="8" t="str">
        <x:v>Краткая затекстовая ссылка; повторная документальная сверка выполнена</x:v>
      </x:c>
      <x:c r="AI40" s="1"/>
      <x:c r="AJ40" s="17"/>
      <x:c r="AK40" s="1" t="s">
        <x:v>73</x:v>
      </x:c>
      <x:c r="AL40" s="8" t="s">
        <x:v>74</x:v>
      </x:c>
      <x:c r="AM40" s="1"/>
      <x:c r="AN40" s="8" t="s">
        <x:v>75</x:v>
      </x:c>
      <x:c r="AO40" s="1" t="s">
        <x:v>76</x:v>
      </x:c>
      <x:c r="AP40" s="8"/>
      <x:c r="AQ40" s="1" t="s">
        <x:v>77</x:v>
      </x:c>
      <x:c r="AR40" s="8" t="str">
        <x:v>Проверка автором исследования</x:v>
      </x:c>
      <x:c r="AS40" s="1" t="s">
        <x:v>562</x:v>
      </x:c>
      <x:c r="AT40" s="8" t="s">
        <x:v>563</x:v>
      </x:c>
      <x:c r="AU40" s="1" t="s">
        <x:v>564</x:v>
      </x:c>
      <x:c r="AV40" s="17">
        <x:v>46321</x:v>
      </x:c>
      <x:c r="AW40" s="1" t="s">
        <x:v>81</x:v>
      </x:c>
      <x:c r="AX40" s="8" t="s">
        <x:v>82</x:v>
      </x:c>
      <x:c r="AY40" s="8"/>
    </x:row>
    <x:row r="41" ht="69.94999694824219" customHeight="1">
      <x:c r="A41" s="1" t="s">
        <x:v>565</x:v>
      </x:c>
      <x:c r="B41" s="8" t="s">
        <x:v>566</x:v>
      </x:c>
      <x:c r="C41" s="1" t="s">
        <x:v>567</x:v>
      </x:c>
      <x:c r="D41" s="8" t="s">
        <x:v>53</x:v>
      </x:c>
      <x:c r="E41" s="1" t="s">
        <x:v>54</x:v>
      </x:c>
      <x:c r="F41" s="8" t="s">
        <x:v>568</x:v>
      </x:c>
      <x:c r="G41" s="1" t="s">
        <x:v>569</x:v>
      </x:c>
      <x:c r="H41" s="8" t="s">
        <x:v>475</x:v>
      </x:c>
      <x:c r="I41" s="4">
        <x:v>2018</x:v>
      </x:c>
      <x:c r="J41" s="8" t="s">
        <x:v>105</x:v>
      </x:c>
      <x:c r="K41" s="1" t="s">
        <x:v>239</x:v>
      </x:c>
      <x:c r="L41" s="8" t="s">
        <x:v>570</x:v>
      </x:c>
      <x:c r="M41" s="1" t="s">
        <x:v>61</x:v>
      </x:c>
      <x:c r="N41" s="8"/>
      <x:c r="O41" s="1"/>
      <x:c r="P41" s="8"/>
      <x:c r="Q41" s="1"/>
      <x:c r="R41" s="8" t="s">
        <x:v>571</x:v>
      </x:c>
      <x:c r="S41" s="3"/>
      <x:c r="T41" s="8" t="s">
        <x:v>63</x:v>
      </x:c>
      <x:c r="U41" s="1" t="s">
        <x:v>572</x:v>
      </x:c>
      <x:c r="V41" s="13">
        <x:v>8</x:v>
      </x:c>
      <x:c r="W41" s="1" t="s">
        <x:v>65</x:v>
      </x:c>
      <x:c r="X41" s="8" t="s">
        <x:v>66</x:v>
      </x:c>
      <x:c r="Y41" s="1" t="str">
        <x:v>Проверено автором исследования</x:v>
      </x:c>
      <x:c r="Z41" s="8" t="s">
        <x:v>573</x:v>
      </x:c>
      <x:c r="AA41" s="1" t="s">
        <x:v>574</x:v>
      </x:c>
      <x:c r="AB41" s="13">
        <x:v>2026</x:v>
      </x:c>
      <x:c r="AC41" s="3">
        <x:v>46322</x:v>
      </x:c>
      <x:c r="AD41" s="8" t="s">
        <x:v>69</x:v>
      </x:c>
      <x:c r="AE41" s="1"/>
      <x:c r="AF41" s="8" t="s">
        <x:v>118</x:v>
      </x:c>
      <x:c r="AG41" s="1" t="s">
        <x:v>575</x:v>
      </x:c>
      <x:c r="AH41" s="8" t="str">
        <x:v>Краткая затекстовая ссылка; повторная документальная сверка выполнена</x:v>
      </x:c>
      <x:c r="AI41" s="1"/>
      <x:c r="AJ41" s="17"/>
      <x:c r="AK41" s="1" t="s">
        <x:v>73</x:v>
      </x:c>
      <x:c r="AL41" s="8" t="s">
        <x:v>74</x:v>
      </x:c>
      <x:c r="AM41" s="1"/>
      <x:c r="AN41" s="8" t="s">
        <x:v>75</x:v>
      </x:c>
      <x:c r="AO41" s="1" t="s">
        <x:v>76</x:v>
      </x:c>
      <x:c r="AP41" s="8"/>
      <x:c r="AQ41" s="1" t="s">
        <x:v>77</x:v>
      </x:c>
      <x:c r="AR41" s="8" t="str">
        <x:v>Проверка автором исследования</x:v>
      </x:c>
      <x:c r="AS41" s="1" t="s">
        <x:v>576</x:v>
      </x:c>
      <x:c r="AT41" s="8" t="s">
        <x:v>577</x:v>
      </x:c>
      <x:c r="AU41" s="1" t="s">
        <x:v>578</x:v>
      </x:c>
      <x:c r="AV41" s="17">
        <x:v>46321</x:v>
      </x:c>
      <x:c r="AW41" s="1" t="s">
        <x:v>81</x:v>
      </x:c>
      <x:c r="AX41" s="8" t="s">
        <x:v>82</x:v>
      </x:c>
      <x:c r="AY41" s="8"/>
    </x:row>
    <x:row r="42" ht="126" customHeight="1">
      <x:c r="A42" s="1" t="s">
        <x:v>579</x:v>
      </x:c>
      <x:c r="B42" s="8" t="s">
        <x:v>580</x:v>
      </x:c>
      <x:c r="C42" s="1" t="s">
        <x:v>581</x:v>
      </x:c>
      <x:c r="D42" s="8" t="s">
        <x:v>53</x:v>
      </x:c>
      <x:c r="E42" s="1" t="s">
        <x:v>54</x:v>
      </x:c>
      <x:c r="F42" s="8" t="s">
        <x:v>582</x:v>
      </x:c>
      <x:c r="G42" s="1" t="s">
        <x:v>583</x:v>
      </x:c>
      <x:c r="H42" s="8" t="s">
        <x:v>584</x:v>
      </x:c>
      <x:c r="I42" s="4">
        <x:v>2023</x:v>
      </x:c>
      <x:c r="J42" s="8">
        <x:v>59</x:v>
      </x:c>
      <x:c r="K42" s="1" t="s">
        <x:v>190</x:v>
      </x:c>
      <x:c r="L42" s="8" t="s">
        <x:v>585</x:v>
      </x:c>
      <x:c r="M42" s="1" t="s">
        <x:v>61</x:v>
      </x:c>
      <x:c r="N42" s="8"/>
      <x:c r="O42" s="1"/>
      <x:c r="P42" s="8"/>
      <x:c r="Q42" s="1"/>
      <x:c r="R42" s="8" t="s">
        <x:v>586</x:v>
      </x:c>
      <x:c r="S42" s="3"/>
      <x:c r="T42" s="8" t="s">
        <x:v>63</x:v>
      </x:c>
      <x:c r="U42" s="1" t="s">
        <x:v>587</x:v>
      </x:c>
      <x:c r="V42" s="13">
        <x:v>8</x:v>
      </x:c>
      <x:c r="W42" s="1" t="s">
        <x:v>588</x:v>
      </x:c>
      <x:c r="X42" s="8" t="s">
        <x:v>66</x:v>
      </x:c>
      <x:c r="Y42" s="1" t="str">
        <x:v>Проверено автором; дополнительно проверено Михаилом Саяпиным</x:v>
      </x:c>
      <x:c r="Z42" s="8" t="s">
        <x:v>589</x:v>
      </x:c>
      <x:c r="AA42" s="1" t="s">
        <x:v>590</x:v>
      </x:c>
      <x:c r="AB42" s="13">
        <x:v>2026</x:v>
      </x:c>
      <x:c r="AC42" s="3">
        <x:v>46322</x:v>
      </x:c>
      <x:c r="AD42" s="8" t="s">
        <x:v>69</x:v>
      </x:c>
      <x:c r="AE42" s="1" t="s">
        <x:v>591</x:v>
      </x:c>
      <x:c r="AF42" s="8" t="s">
        <x:v>118</x:v>
      </x:c>
      <x:c r="AG42" s="1" t="s">
        <x:v>592</x:v>
      </x:c>
      <x:c r="AH42" s="8" t="s">
        <x:v>144</x:v>
      </x:c>
      <x:c r="AI42" s="1" t="s">
        <x:v>145</x:v>
      </x:c>
      <x:c r="AJ42" s="17">
        <x:v>46323</x:v>
      </x:c>
      <x:c r="AK42" s="1" t="s">
        <x:v>73</x:v>
      </x:c>
      <x:c r="AL42" s="8" t="s">
        <x:v>74</x:v>
      </x:c>
      <x:c r="AM42" s="1"/>
      <x:c r="AN42" s="8" t="s">
        <x:v>75</x:v>
      </x:c>
      <x:c r="AO42" s="1" t="s">
        <x:v>76</x:v>
      </x:c>
      <x:c r="AP42" s="8"/>
      <x:c r="AQ42" s="1" t="s">
        <x:v>77</x:v>
      </x:c>
      <x:c r="AR42" s="8" t="str">
        <x:v>Проверка автором исследования; дополнительная проверка Михаилом Саяпиным; согласование 28.10.2026</x:v>
      </x:c>
      <x:c r="AS42" s="1" t="s">
        <x:v>593</x:v>
      </x:c>
      <x:c r="AT42" s="8" t="s">
        <x:v>594</x:v>
      </x:c>
      <x:c r="AU42" s="1" t="s">
        <x:v>595</x:v>
      </x:c>
      <x:c r="AV42" s="17">
        <x:v>46321</x:v>
      </x:c>
      <x:c r="AW42" s="1" t="s">
        <x:v>81</x:v>
      </x:c>
      <x:c r="AX42" s="8" t="s">
        <x:v>146</x:v>
      </x:c>
      <x:c r="AY42" s="8" t="s">
        <x:v>596</x:v>
      </x:c>
    </x:row>
    <x:row r="43" ht="69.94999694824219" customHeight="1">
      <x:c r="A43" s="1" t="s">
        <x:v>597</x:v>
      </x:c>
      <x:c r="B43" s="8" t="s">
        <x:v>598</x:v>
      </x:c>
      <x:c r="C43" s="1" t="s">
        <x:v>599</x:v>
      </x:c>
      <x:c r="D43" s="8" t="s">
        <x:v>73</x:v>
      </x:c>
      <x:c r="E43" s="1" t="s">
        <x:v>76</x:v>
      </x:c>
      <x:c r="F43" s="8" t="s">
        <x:v>600</x:v>
      </x:c>
      <x:c r="G43" s="1" t="s">
        <x:v>601</x:v>
      </x:c>
      <x:c r="H43" s="8" t="s">
        <x:v>602</x:v>
      </x:c>
      <x:c r="I43" s="4">
        <x:v>2021</x:v>
      </x:c>
      <x:c r="J43" s="8"/>
      <x:c r="K43" s="1" t="s">
        <x:v>182</x:v>
      </x:c>
      <x:c r="L43" s="8" t="s">
        <x:v>603</x:v>
      </x:c>
      <x:c r="M43" s="1" t="s">
        <x:v>61</x:v>
      </x:c>
      <x:c r="N43" s="8"/>
      <x:c r="O43" s="1"/>
      <x:c r="P43" s="8"/>
      <x:c r="Q43" s="1"/>
      <x:c r="R43" s="8" t="s">
        <x:v>604</x:v>
      </x:c>
      <x:c r="S43" s="3"/>
      <x:c r="T43" s="8" t="s">
        <x:v>63</x:v>
      </x:c>
      <x:c r="U43" s="1" t="s">
        <x:v>605</x:v>
      </x:c>
      <x:c r="V43" s="13">
        <x:v>1</x:v>
      </x:c>
      <x:c r="W43" s="1" t="s">
        <x:v>65</x:v>
      </x:c>
      <x:c r="X43" s="8" t="s">
        <x:v>66</x:v>
      </x:c>
      <x:c r="Y43" s="1" t="str">
        <x:v>Проверено автором исследования</x:v>
      </x:c>
      <x:c r="Z43" s="8" t="s">
        <x:v>606</x:v>
      </x:c>
      <x:c r="AA43" s="1" t="s">
        <x:v>607</x:v>
      </x:c>
      <x:c r="AB43" s="13">
        <x:v>2026</x:v>
      </x:c>
      <x:c r="AC43" s="3"/>
      <x:c r="AD43" s="8" t="s">
        <x:v>93</x:v>
      </x:c>
      <x:c r="AE43" s="1" t="s">
        <x:v>608</x:v>
      </x:c>
      <x:c r="AF43" s="8" t="s">
        <x:v>71</x:v>
      </x:c>
      <x:c r="AG43" s="1" t="s">
        <x:v>609</x:v>
      </x:c>
      <x:c r="AH43" s="8" t="str">
        <x:v>Краткая затекстовая ссылка; повторная документальная сверка выполнена</x:v>
      </x:c>
      <x:c r="AI43" s="1"/>
      <x:c r="AJ43" s="17"/>
      <x:c r="AK43" s="1" t="s">
        <x:v>73</x:v>
      </x:c>
      <x:c r="AL43" s="8" t="s">
        <x:v>74</x:v>
      </x:c>
      <x:c r="AM43" s="1"/>
      <x:c r="AN43" s="8" t="s">
        <x:v>95</x:v>
      </x:c>
      <x:c r="AO43" s="1" t="s">
        <x:v>76</x:v>
      </x:c>
      <x:c r="AP43" s="8"/>
      <x:c r="AQ43" s="1" t="s">
        <x:v>77</x:v>
      </x:c>
      <x:c r="AR43" s="8" t="str">
        <x:v>Проверка автором исследования</x:v>
      </x:c>
      <x:c r="AS43" s="1"/>
      <x:c r="AT43" s="8" t="s">
        <x:v>96</x:v>
      </x:c>
      <x:c r="AU43" s="1" t="s">
        <x:v>447</x:v>
      </x:c>
      <x:c r="AV43" s="17">
        <x:v>46321</x:v>
      </x:c>
      <x:c r="AW43" s="1" t="s">
        <x:v>81</x:v>
      </x:c>
      <x:c r="AX43" s="8" t="s">
        <x:v>82</x:v>
      </x:c>
      <x:c r="AY43" s="8"/>
    </x:row>
    <x:row r="44" ht="126" customHeight="1">
      <x:c r="A44" s="1" t="s">
        <x:v>610</x:v>
      </x:c>
      <x:c r="B44" s="8" t="s">
        <x:v>611</x:v>
      </x:c>
      <x:c r="C44" s="1" t="s">
        <x:v>612</x:v>
      </x:c>
      <x:c r="D44" s="8" t="s">
        <x:v>53</x:v>
      </x:c>
      <x:c r="E44" s="1" t="s">
        <x:v>54</x:v>
      </x:c>
      <x:c r="F44" s="8" t="s">
        <x:v>613</x:v>
      </x:c>
      <x:c r="G44" s="1" t="s">
        <x:v>614</x:v>
      </x:c>
      <x:c r="H44" s="8" t="s">
        <x:v>615</x:v>
      </x:c>
      <x:c r="I44" s="4">
        <x:v>2017</x:v>
      </x:c>
      <x:c r="J44" s="8" t="s">
        <x:v>190</x:v>
      </x:c>
      <x:c r="K44" s="1" t="s">
        <x:v>239</x:v>
      </x:c>
      <x:c r="L44" s="8" t="s">
        <x:v>616</x:v>
      </x:c>
      <x:c r="M44" s="1" t="s">
        <x:v>61</x:v>
      </x:c>
      <x:c r="N44" s="8"/>
      <x:c r="O44" s="1"/>
      <x:c r="P44" s="8"/>
      <x:c r="Q44" s="1"/>
      <x:c r="R44" s="8" t="s">
        <x:v>617</x:v>
      </x:c>
      <x:c r="S44" s="3"/>
      <x:c r="T44" s="8" t="s">
        <x:v>63</x:v>
      </x:c>
      <x:c r="U44" s="1" t="s">
        <x:v>605</x:v>
      </x:c>
      <x:c r="V44" s="13">
        <x:v>3</x:v>
      </x:c>
      <x:c r="W44" s="1" t="s">
        <x:v>242</x:v>
      </x:c>
      <x:c r="X44" s="8" t="s">
        <x:v>66</x:v>
      </x:c>
      <x:c r="Y44" s="1" t="str">
        <x:v>Проверено автором; дополнительно проверено Михаилом Саяпиным</x:v>
      </x:c>
      <x:c r="Z44" s="8" t="s">
        <x:v>618</x:v>
      </x:c>
      <x:c r="AA44" s="1" t="s">
        <x:v>607</x:v>
      </x:c>
      <x:c r="AB44" s="13">
        <x:v>2026</x:v>
      </x:c>
      <x:c r="AC44" s="3">
        <x:v>46322</x:v>
      </x:c>
      <x:c r="AD44" s="8" t="s">
        <x:v>69</x:v>
      </x:c>
      <x:c r="AE44" s="1" t="s">
        <x:v>619</x:v>
      </x:c>
      <x:c r="AF44" s="8" t="s">
        <x:v>71</x:v>
      </x:c>
      <x:c r="AG44" s="1" t="s">
        <x:v>609</x:v>
      </x:c>
      <x:c r="AH44" s="8" t="s">
        <x:v>144</x:v>
      </x:c>
      <x:c r="AI44" s="1" t="s">
        <x:v>145</x:v>
      </x:c>
      <x:c r="AJ44" s="17">
        <x:v>46323</x:v>
      </x:c>
      <x:c r="AK44" s="1" t="s">
        <x:v>73</x:v>
      </x:c>
      <x:c r="AL44" s="8" t="s">
        <x:v>74</x:v>
      </x:c>
      <x:c r="AM44" s="1"/>
      <x:c r="AN44" s="8" t="s">
        <x:v>75</x:v>
      </x:c>
      <x:c r="AO44" s="1" t="s">
        <x:v>76</x:v>
      </x:c>
      <x:c r="AP44" s="8"/>
      <x:c r="AQ44" s="1" t="s">
        <x:v>77</x:v>
      </x:c>
      <x:c r="AR44" s="8" t="str">
        <x:v>Проверка автором исследования; дополнительная проверка Михаилом Саяпиным; согласование 28.10.2026</x:v>
      </x:c>
      <x:c r="AS44" s="1" t="s">
        <x:v>620</x:v>
      </x:c>
      <x:c r="AT44" s="8" t="s">
        <x:v>621</x:v>
      </x:c>
      <x:c r="AU44" s="1" t="s">
        <x:v>622</x:v>
      </x:c>
      <x:c r="AV44" s="17">
        <x:v>46321</x:v>
      </x:c>
      <x:c r="AW44" s="1" t="s">
        <x:v>81</x:v>
      </x:c>
      <x:c r="AX44" s="8" t="s">
        <x:v>146</x:v>
      </x:c>
      <x:c r="AY44" s="8" t="s">
        <x:v>623</x:v>
      </x:c>
    </x:row>
    <x:row r="45" ht="98.0999984741211" customHeight="1">
      <x:c r="A45" s="1" t="s">
        <x:v>624</x:v>
      </x:c>
      <x:c r="B45" s="8" t="s">
        <x:v>625</x:v>
      </x:c>
      <x:c r="C45" s="1" t="s">
        <x:v>626</x:v>
      </x:c>
      <x:c r="D45" s="8" t="s">
        <x:v>53</x:v>
      </x:c>
      <x:c r="E45" s="1" t="s">
        <x:v>54</x:v>
      </x:c>
      <x:c r="F45" s="8" t="s">
        <x:v>627</x:v>
      </x:c>
      <x:c r="G45" s="1" t="s">
        <x:v>628</x:v>
      </x:c>
      <x:c r="H45" s="8" t="s">
        <x:v>629</x:v>
      </x:c>
      <x:c r="I45" s="4">
        <x:v>2022</x:v>
      </x:c>
      <x:c r="J45" s="8" t="s">
        <x:v>630</x:v>
      </x:c>
      <x:c r="K45" s="1" t="s">
        <x:v>190</x:v>
      </x:c>
      <x:c r="L45" s="8" t="s">
        <x:v>631</x:v>
      </x:c>
      <x:c r="M45" s="1" t="s">
        <x:v>61</x:v>
      </x:c>
      <x:c r="N45" s="8"/>
      <x:c r="O45" s="1"/>
      <x:c r="P45" s="8"/>
      <x:c r="Q45" s="1"/>
      <x:c r="R45" s="8" t="s">
        <x:v>632</x:v>
      </x:c>
      <x:c r="S45" s="3"/>
      <x:c r="T45" s="8" t="s">
        <x:v>63</x:v>
      </x:c>
      <x:c r="U45" s="1" t="s">
        <x:v>605</x:v>
      </x:c>
      <x:c r="V45" s="13">
        <x:v>8</x:v>
      </x:c>
      <x:c r="W45" s="1" t="s">
        <x:v>65</x:v>
      </x:c>
      <x:c r="X45" s="8" t="s">
        <x:v>66</x:v>
      </x:c>
      <x:c r="Y45" s="1" t="str">
        <x:v>Проверено автором исследования</x:v>
      </x:c>
      <x:c r="Z45" s="8" t="s">
        <x:v>633</x:v>
      </x:c>
      <x:c r="AA45" s="1" t="s">
        <x:v>607</x:v>
      </x:c>
      <x:c r="AB45" s="13">
        <x:v>2026</x:v>
      </x:c>
      <x:c r="AC45" s="3">
        <x:v>46322</x:v>
      </x:c>
      <x:c r="AD45" s="8" t="s">
        <x:v>69</x:v>
      </x:c>
      <x:c r="AE45" s="1" t="s">
        <x:v>634</x:v>
      </x:c>
      <x:c r="AF45" s="8" t="s">
        <x:v>71</x:v>
      </x:c>
      <x:c r="AG45" s="1" t="s">
        <x:v>609</x:v>
      </x:c>
      <x:c r="AH45" s="8" t="str">
        <x:v>Краткая затекстовая ссылка; повторная документальная сверка выполнена</x:v>
      </x:c>
      <x:c r="AI45" s="1"/>
      <x:c r="AJ45" s="17"/>
      <x:c r="AK45" s="1" t="s">
        <x:v>73</x:v>
      </x:c>
      <x:c r="AL45" s="8" t="s">
        <x:v>74</x:v>
      </x:c>
      <x:c r="AM45" s="1"/>
      <x:c r="AN45" s="8" t="s">
        <x:v>75</x:v>
      </x:c>
      <x:c r="AO45" s="1" t="s">
        <x:v>76</x:v>
      </x:c>
      <x:c r="AP45" s="8"/>
      <x:c r="AQ45" s="1" t="s">
        <x:v>77</x:v>
      </x:c>
      <x:c r="AR45" s="8" t="str">
        <x:v>Проверка автором исследования</x:v>
      </x:c>
      <x:c r="AS45" s="1" t="s">
        <x:v>635</x:v>
      </x:c>
      <x:c r="AT45" s="8" t="s">
        <x:v>636</x:v>
      </x:c>
      <x:c r="AU45" s="1" t="s">
        <x:v>637</x:v>
      </x:c>
      <x:c r="AV45" s="17">
        <x:v>46321</x:v>
      </x:c>
      <x:c r="AW45" s="1" t="s">
        <x:v>81</x:v>
      </x:c>
      <x:c r="AX45" s="8" t="s">
        <x:v>82</x:v>
      </x:c>
      <x:c r="AY45" s="8"/>
    </x:row>
    <x:row r="46" ht="98.0999984741211" customHeight="1">
      <x:c r="A46" s="1" t="s">
        <x:v>638</x:v>
      </x:c>
      <x:c r="B46" s="8" t="s">
        <x:v>639</x:v>
      </x:c>
      <x:c r="C46" s="1" t="s">
        <x:v>640</x:v>
      </x:c>
      <x:c r="D46" s="8" t="s">
        <x:v>53</x:v>
      </x:c>
      <x:c r="E46" s="1" t="s">
        <x:v>54</x:v>
      </x:c>
      <x:c r="F46" s="8" t="s">
        <x:v>641</x:v>
      </x:c>
      <x:c r="G46" s="1" t="s">
        <x:v>642</x:v>
      </x:c>
      <x:c r="H46" s="8" t="s">
        <x:v>370</x:v>
      </x:c>
      <x:c r="I46" s="4">
        <x:v>2024</x:v>
      </x:c>
      <x:c r="J46" s="8" t="s">
        <x:v>512</x:v>
      </x:c>
      <x:c r="K46" s="1" t="s">
        <x:v>182</x:v>
      </x:c>
      <x:c r="L46" s="8" t="s">
        <x:v>643</x:v>
      </x:c>
      <x:c r="M46" s="1" t="s">
        <x:v>61</x:v>
      </x:c>
      <x:c r="N46" s="8"/>
      <x:c r="O46" s="1"/>
      <x:c r="P46" s="8"/>
      <x:c r="Q46" s="1"/>
      <x:c r="R46" s="8" t="s">
        <x:v>644</x:v>
      </x:c>
      <x:c r="S46" s="3"/>
      <x:c r="T46" s="8" t="s">
        <x:v>63</x:v>
      </x:c>
      <x:c r="U46" s="1" t="s">
        <x:v>645</x:v>
      </x:c>
      <x:c r="V46" s="13">
        <x:v>3</x:v>
      </x:c>
      <x:c r="W46" s="1" t="s">
        <x:v>242</x:v>
      </x:c>
      <x:c r="X46" s="8" t="s">
        <x:v>66</x:v>
      </x:c>
      <x:c r="Y46" s="1" t="str">
        <x:v>Проверено автором; дополнительно проверено Михаилом Саяпиным</x:v>
      </x:c>
      <x:c r="Z46" s="8" t="s">
        <x:v>646</x:v>
      </x:c>
      <x:c r="AA46" s="1" t="s">
        <x:v>647</x:v>
      </x:c>
      <x:c r="AB46" s="13">
        <x:v>2026</x:v>
      </x:c>
      <x:c r="AC46" s="3">
        <x:v>46322</x:v>
      </x:c>
      <x:c r="AD46" s="8" t="s">
        <x:v>69</x:v>
      </x:c>
      <x:c r="AE46" s="1" t="s">
        <x:v>648</x:v>
      </x:c>
      <x:c r="AF46" s="8" t="s">
        <x:v>118</x:v>
      </x:c>
      <x:c r="AG46" s="1" t="s">
        <x:v>649</x:v>
      </x:c>
      <x:c r="AH46" s="8" t="s">
        <x:v>144</x:v>
      </x:c>
      <x:c r="AI46" s="1" t="s">
        <x:v>145</x:v>
      </x:c>
      <x:c r="AJ46" s="17">
        <x:v>46323</x:v>
      </x:c>
      <x:c r="AK46" s="1" t="s">
        <x:v>73</x:v>
      </x:c>
      <x:c r="AL46" s="8" t="s">
        <x:v>74</x:v>
      </x:c>
      <x:c r="AM46" s="1"/>
      <x:c r="AN46" s="8" t="s">
        <x:v>75</x:v>
      </x:c>
      <x:c r="AO46" s="1" t="s">
        <x:v>76</x:v>
      </x:c>
      <x:c r="AP46" s="8"/>
      <x:c r="AQ46" s="1" t="s">
        <x:v>77</x:v>
      </x:c>
      <x:c r="AR46" s="8" t="str">
        <x:v>Проверка автором исследования; дополнительная проверка Михаилом Саяпиным; согласование 28.10.2026</x:v>
      </x:c>
      <x:c r="AS46" s="1" t="s">
        <x:v>650</x:v>
      </x:c>
      <x:c r="AT46" s="8" t="s">
        <x:v>651</x:v>
      </x:c>
      <x:c r="AU46" s="1" t="s">
        <x:v>652</x:v>
      </x:c>
      <x:c r="AV46" s="17">
        <x:v>46321</x:v>
      </x:c>
      <x:c r="AW46" s="1" t="s">
        <x:v>81</x:v>
      </x:c>
      <x:c r="AX46" s="8" t="s">
        <x:v>146</x:v>
      </x:c>
      <x:c r="AY46" s="8" t="s">
        <x:v>653</x:v>
      </x:c>
    </x:row>
    <x:row r="47" ht="111.94999694824219" customHeight="1">
      <x:c r="A47" s="1" t="s">
        <x:v>654</x:v>
      </x:c>
      <x:c r="B47" s="8" t="s">
        <x:v>655</x:v>
      </x:c>
      <x:c r="C47" s="1" t="s">
        <x:v>656</x:v>
      </x:c>
      <x:c r="D47" s="8" t="s">
        <x:v>53</x:v>
      </x:c>
      <x:c r="E47" s="1" t="s">
        <x:v>54</x:v>
      </x:c>
      <x:c r="F47" s="8" t="s">
        <x:v>657</x:v>
      </x:c>
      <x:c r="G47" s="1" t="s">
        <x:v>658</x:v>
      </x:c>
      <x:c r="H47" s="8" t="s">
        <x:v>659</x:v>
      </x:c>
      <x:c r="I47" s="4">
        <x:v>2014</x:v>
      </x:c>
      <x:c r="J47" s="8" t="s">
        <x:v>58</x:v>
      </x:c>
      <x:c r="K47" s="1" t="s">
        <x:v>59</x:v>
      </x:c>
      <x:c r="L47" s="8" t="s">
        <x:v>660</x:v>
      </x:c>
      <x:c r="M47" s="1" t="s">
        <x:v>61</x:v>
      </x:c>
      <x:c r="N47" s="8"/>
      <x:c r="O47" s="1"/>
      <x:c r="P47" s="8"/>
      <x:c r="Q47" s="1"/>
      <x:c r="R47" s="8" t="s">
        <x:v>661</x:v>
      </x:c>
      <x:c r="S47" s="3"/>
      <x:c r="T47" s="8" t="s">
        <x:v>63</x:v>
      </x:c>
      <x:c r="U47" s="1" t="s">
        <x:v>662</x:v>
      </x:c>
      <x:c r="V47" s="13">
        <x:v>6</x:v>
      </x:c>
      <x:c r="W47" s="1" t="s">
        <x:v>65</x:v>
      </x:c>
      <x:c r="X47" s="8" t="s">
        <x:v>66</x:v>
      </x:c>
      <x:c r="Y47" s="1" t="str">
        <x:v>Проверено автором исследования</x:v>
      </x:c>
      <x:c r="Z47" s="8" t="s">
        <x:v>663</x:v>
      </x:c>
      <x:c r="AA47" s="1" t="s">
        <x:v>664</x:v>
      </x:c>
      <x:c r="AB47" s="13">
        <x:v>2026</x:v>
      </x:c>
      <x:c r="AC47" s="3">
        <x:v>46322</x:v>
      </x:c>
      <x:c r="AD47" s="8" t="s">
        <x:v>69</x:v>
      </x:c>
      <x:c r="AE47" s="1"/>
      <x:c r="AF47" s="8" t="s">
        <x:v>71</x:v>
      </x:c>
      <x:c r="AG47" s="1" t="s">
        <x:v>665</x:v>
      </x:c>
      <x:c r="AH47" s="8" t="str">
        <x:v>Краткая затекстовая ссылка; повторная документальная сверка выполнена</x:v>
      </x:c>
      <x:c r="AI47" s="1"/>
      <x:c r="AJ47" s="17"/>
      <x:c r="AK47" s="1" t="s">
        <x:v>73</x:v>
      </x:c>
      <x:c r="AL47" s="8" t="s">
        <x:v>74</x:v>
      </x:c>
      <x:c r="AM47" s="1"/>
      <x:c r="AN47" s="8" t="s">
        <x:v>75</x:v>
      </x:c>
      <x:c r="AO47" s="1" t="s">
        <x:v>76</x:v>
      </x:c>
      <x:c r="AP47" s="8"/>
      <x:c r="AQ47" s="1" t="s">
        <x:v>77</x:v>
      </x:c>
      <x:c r="AR47" s="8" t="str">
        <x:v>Проверка автором исследования</x:v>
      </x:c>
      <x:c r="AS47" s="1" t="s">
        <x:v>666</x:v>
      </x:c>
      <x:c r="AT47" s="8" t="s">
        <x:v>667</x:v>
      </x:c>
      <x:c r="AU47" s="1" t="s">
        <x:v>668</x:v>
      </x:c>
      <x:c r="AV47" s="17">
        <x:v>46321</x:v>
      </x:c>
      <x:c r="AW47" s="1" t="s">
        <x:v>81</x:v>
      </x:c>
      <x:c r="AX47" s="8" t="s">
        <x:v>82</x:v>
      </x:c>
      <x:c r="AY47" s="8"/>
    </x:row>
    <x:row r="48" ht="69.94999694824219" customHeight="1">
      <x:c r="A48" s="1" t="s">
        <x:v>669</x:v>
      </x:c>
      <x:c r="B48" s="8" t="s">
        <x:v>670</x:v>
      </x:c>
      <x:c r="C48" s="1" t="s">
        <x:v>671</x:v>
      </x:c>
      <x:c r="D48" s="8" t="s">
        <x:v>73</x:v>
      </x:c>
      <x:c r="E48" s="1" t="s">
        <x:v>76</x:v>
      </x:c>
      <x:c r="F48" s="8" t="s">
        <x:v>672</x:v>
      </x:c>
      <x:c r="G48" s="1" t="s">
        <x:v>673</x:v>
      </x:c>
      <x:c r="H48" s="8" t="s">
        <x:v>674</x:v>
      </x:c>
      <x:c r="I48" s="4">
        <x:v>2015</x:v>
      </x:c>
      <x:c r="J48" s="8"/>
      <x:c r="K48" s="1" t="s">
        <x:v>675</x:v>
      </x:c>
      <x:c r="L48" s="8" t="s">
        <x:v>676</x:v>
      </x:c>
      <x:c r="M48" s="1" t="s">
        <x:v>61</x:v>
      </x:c>
      <x:c r="N48" s="8"/>
      <x:c r="O48" s="1"/>
      <x:c r="P48" s="8"/>
      <x:c r="Q48" s="1"/>
      <x:c r="R48" s="8"/>
      <x:c r="S48" s="3"/>
      <x:c r="T48" s="8" t="s">
        <x:v>63</x:v>
      </x:c>
      <x:c r="U48" s="1" t="s">
        <x:v>662</x:v>
      </x:c>
      <x:c r="V48" s="13">
        <x:v>11</x:v>
      </x:c>
      <x:c r="W48" s="1" t="s">
        <x:v>65</x:v>
      </x:c>
      <x:c r="X48" s="8" t="s">
        <x:v>66</x:v>
      </x:c>
      <x:c r="Y48" s="1" t="str">
        <x:v>Проверено автором исследования</x:v>
      </x:c>
      <x:c r="Z48" s="8"/>
      <x:c r="AA48" s="1" t="s">
        <x:v>664</x:v>
      </x:c>
      <x:c r="AB48" s="13">
        <x:v>2026</x:v>
      </x:c>
      <x:c r="AC48" s="3"/>
      <x:c r="AD48" s="8" t="s">
        <x:v>93</x:v>
      </x:c>
      <x:c r="AE48" s="1" t="s">
        <x:v>677</x:v>
      </x:c>
      <x:c r="AF48" s="8" t="s">
        <x:v>71</x:v>
      </x:c>
      <x:c r="AG48" s="1" t="s">
        <x:v>665</x:v>
      </x:c>
      <x:c r="AH48" s="8" t="str">
        <x:v>Краткая затекстовая ссылка; повторная документальная сверка выполнена</x:v>
      </x:c>
      <x:c r="AI48" s="1"/>
      <x:c r="AJ48" s="17"/>
      <x:c r="AK48" s="1" t="s">
        <x:v>73</x:v>
      </x:c>
      <x:c r="AL48" s="8" t="s">
        <x:v>74</x:v>
      </x:c>
      <x:c r="AM48" s="1"/>
      <x:c r="AN48" s="8" t="s">
        <x:v>95</x:v>
      </x:c>
      <x:c r="AO48" s="1" t="s">
        <x:v>76</x:v>
      </x:c>
      <x:c r="AP48" s="8"/>
      <x:c r="AQ48" s="1" t="s">
        <x:v>77</x:v>
      </x:c>
      <x:c r="AR48" s="8" t="str">
        <x:v>Проверка автором исследования</x:v>
      </x:c>
      <x:c r="AS48" s="1"/>
      <x:c r="AT48" s="8" t="s">
        <x:v>96</x:v>
      </x:c>
      <x:c r="AU48" s="1" t="s">
        <x:v>97</x:v>
      </x:c>
      <x:c r="AV48" s="17"/>
      <x:c r="AW48" s="1" t="s">
        <x:v>98</x:v>
      </x:c>
      <x:c r="AX48" s="8" t="s">
        <x:v>82</x:v>
      </x:c>
      <x:c r="AY48" s="8"/>
    </x:row>
    <x:row r="49" ht="111.94999694824219" customHeight="1">
      <x:c r="A49" s="1" t="s">
        <x:v>678</x:v>
      </x:c>
      <x:c r="B49" s="8" t="s">
        <x:v>679</x:v>
      </x:c>
      <x:c r="C49" s="1" t="s">
        <x:v>680</x:v>
      </x:c>
      <x:c r="D49" s="8" t="s">
        <x:v>53</x:v>
      </x:c>
      <x:c r="E49" s="1" t="s">
        <x:v>54</x:v>
      </x:c>
      <x:c r="F49" s="8" t="s">
        <x:v>681</x:v>
      </x:c>
      <x:c r="G49" s="1" t="s">
        <x:v>682</x:v>
      </x:c>
      <x:c r="H49" s="8" t="s">
        <x:v>683</x:v>
      </x:c>
      <x:c r="I49" s="4">
        <x:v>2017</x:v>
      </x:c>
      <x:c r="J49" s="8" t="s">
        <x:v>684</x:v>
      </x:c>
      <x:c r="K49" s="1" t="s">
        <x:v>239</x:v>
      </x:c>
      <x:c r="L49" s="8" t="s">
        <x:v>685</x:v>
      </x:c>
      <x:c r="M49" s="1" t="s">
        <x:v>61</x:v>
      </x:c>
      <x:c r="N49" s="8"/>
      <x:c r="O49" s="1"/>
      <x:c r="P49" s="8"/>
      <x:c r="Q49" s="1"/>
      <x:c r="R49" s="8" t="s">
        <x:v>686</x:v>
      </x:c>
      <x:c r="S49" s="3"/>
      <x:c r="T49" s="8" t="s">
        <x:v>63</x:v>
      </x:c>
      <x:c r="U49" s="1" t="s">
        <x:v>662</x:v>
      </x:c>
      <x:c r="V49" s="13">
        <x:v>12</x:v>
      </x:c>
      <x:c r="W49" s="1" t="s">
        <x:v>65</x:v>
      </x:c>
      <x:c r="X49" s="8" t="s">
        <x:v>66</x:v>
      </x:c>
      <x:c r="Y49" s="1" t="str">
        <x:v>Проверено автором исследования</x:v>
      </x:c>
      <x:c r="Z49" s="8" t="s">
        <x:v>687</x:v>
      </x:c>
      <x:c r="AA49" s="1" t="s">
        <x:v>664</x:v>
      </x:c>
      <x:c r="AB49" s="13">
        <x:v>2026</x:v>
      </x:c>
      <x:c r="AC49" s="3">
        <x:v>46322</x:v>
      </x:c>
      <x:c r="AD49" s="8" t="s">
        <x:v>69</x:v>
      </x:c>
      <x:c r="AE49" s="1" t="s">
        <x:v>688</x:v>
      </x:c>
      <x:c r="AF49" s="8" t="s">
        <x:v>71</x:v>
      </x:c>
      <x:c r="AG49" s="1" t="s">
        <x:v>665</x:v>
      </x:c>
      <x:c r="AH49" s="8" t="str">
        <x:v>Краткая затекстовая ссылка; повторная документальная сверка выполнена</x:v>
      </x:c>
      <x:c r="AI49" s="1"/>
      <x:c r="AJ49" s="17"/>
      <x:c r="AK49" s="1" t="s">
        <x:v>73</x:v>
      </x:c>
      <x:c r="AL49" s="8" t="s">
        <x:v>74</x:v>
      </x:c>
      <x:c r="AM49" s="1"/>
      <x:c r="AN49" s="8" t="s">
        <x:v>75</x:v>
      </x:c>
      <x:c r="AO49" s="1" t="s">
        <x:v>76</x:v>
      </x:c>
      <x:c r="AP49" s="8"/>
      <x:c r="AQ49" s="1" t="s">
        <x:v>77</x:v>
      </x:c>
      <x:c r="AR49" s="8" t="str">
        <x:v>Проверка автором исследования</x:v>
      </x:c>
      <x:c r="AS49" s="1" t="s">
        <x:v>689</x:v>
      </x:c>
      <x:c r="AT49" s="8" t="s">
        <x:v>690</x:v>
      </x:c>
      <x:c r="AU49" s="1" t="s">
        <x:v>691</x:v>
      </x:c>
      <x:c r="AV49" s="17">
        <x:v>46321</x:v>
      </x:c>
      <x:c r="AW49" s="1" t="s">
        <x:v>81</x:v>
      </x:c>
      <x:c r="AX49" s="8" t="s">
        <x:v>82</x:v>
      </x:c>
      <x:c r="AY49" s="8"/>
    </x:row>
    <x:row r="50" ht="140.10000610351562" customHeight="1">
      <x:c r="A50" s="1" t="s">
        <x:v>692</x:v>
      </x:c>
      <x:c r="B50" s="8" t="s">
        <x:v>693</x:v>
      </x:c>
      <x:c r="C50" s="1" t="s">
        <x:v>694</x:v>
      </x:c>
      <x:c r="D50" s="8" t="s">
        <x:v>53</x:v>
      </x:c>
      <x:c r="E50" s="1" t="s">
        <x:v>54</x:v>
      </x:c>
      <x:c r="F50" s="8" t="s">
        <x:v>695</x:v>
      </x:c>
      <x:c r="G50" s="1" t="s">
        <x:v>696</x:v>
      </x:c>
      <x:c r="H50" s="8" t="s">
        <x:v>370</x:v>
      </x:c>
      <x:c r="I50" s="4">
        <x:v>2022</x:v>
      </x:c>
      <x:c r="J50" s="8" t="s">
        <x:v>697</x:v>
      </x:c>
      <x:c r="K50" s="1" t="s">
        <x:v>416</x:v>
      </x:c>
      <x:c r="L50" s="8" t="s">
        <x:v>698</x:v>
      </x:c>
      <x:c r="M50" s="1" t="s">
        <x:v>61</x:v>
      </x:c>
      <x:c r="N50" s="8"/>
      <x:c r="O50" s="1"/>
      <x:c r="P50" s="8"/>
      <x:c r="Q50" s="1"/>
      <x:c r="R50" s="8" t="s">
        <x:v>699</x:v>
      </x:c>
      <x:c r="S50" s="3"/>
      <x:c r="T50" s="8" t="s">
        <x:v>63</x:v>
      </x:c>
      <x:c r="U50" s="1" t="s">
        <x:v>662</x:v>
      </x:c>
      <x:c r="V50" s="13">
        <x:v>15</x:v>
      </x:c>
      <x:c r="W50" s="1" t="s">
        <x:v>65</x:v>
      </x:c>
      <x:c r="X50" s="8" t="s">
        <x:v>66</x:v>
      </x:c>
      <x:c r="Y50" s="1" t="str">
        <x:v>Проверено автором исследования</x:v>
      </x:c>
      <x:c r="Z50" s="8" t="s">
        <x:v>700</x:v>
      </x:c>
      <x:c r="AA50" s="1" t="s">
        <x:v>664</x:v>
      </x:c>
      <x:c r="AB50" s="13">
        <x:v>2026</x:v>
      </x:c>
      <x:c r="AC50" s="3">
        <x:v>46322</x:v>
      </x:c>
      <x:c r="AD50" s="8" t="s">
        <x:v>69</x:v>
      </x:c>
      <x:c r="AE50" s="1" t="s">
        <x:v>701</x:v>
      </x:c>
      <x:c r="AF50" s="8" t="s">
        <x:v>71</x:v>
      </x:c>
      <x:c r="AG50" s="1" t="s">
        <x:v>665</x:v>
      </x:c>
      <x:c r="AH50" s="8" t="str">
        <x:v>Краткая затекстовая ссылка; повторная документальная сверка выполнена</x:v>
      </x:c>
      <x:c r="AI50" s="1"/>
      <x:c r="AJ50" s="17"/>
      <x:c r="AK50" s="1" t="s">
        <x:v>73</x:v>
      </x:c>
      <x:c r="AL50" s="8" t="s">
        <x:v>74</x:v>
      </x:c>
      <x:c r="AM50" s="1"/>
      <x:c r="AN50" s="8" t="s">
        <x:v>75</x:v>
      </x:c>
      <x:c r="AO50" s="1" t="s">
        <x:v>76</x:v>
      </x:c>
      <x:c r="AP50" s="8"/>
      <x:c r="AQ50" s="1" t="s">
        <x:v>77</x:v>
      </x:c>
      <x:c r="AR50" s="8" t="str">
        <x:v>Проверка автором исследования</x:v>
      </x:c>
      <x:c r="AS50" s="1" t="s">
        <x:v>702</x:v>
      </x:c>
      <x:c r="AT50" s="8" t="s">
        <x:v>703</x:v>
      </x:c>
      <x:c r="AU50" s="1" t="s">
        <x:v>704</x:v>
      </x:c>
      <x:c r="AV50" s="17">
        <x:v>46321</x:v>
      </x:c>
      <x:c r="AW50" s="1" t="s">
        <x:v>81</x:v>
      </x:c>
      <x:c r="AX50" s="8" t="s">
        <x:v>82</x:v>
      </x:c>
      <x:c r="AY50" s="8"/>
    </x:row>
    <x:row r="51" ht="69.94999694824219" customHeight="1">
      <x:c r="A51" s="1" t="s">
        <x:v>705</x:v>
      </x:c>
      <x:c r="B51" s="8" t="s">
        <x:v>706</x:v>
      </x:c>
      <x:c r="C51" s="1" t="s">
        <x:v>707</x:v>
      </x:c>
      <x:c r="D51" s="8" t="s">
        <x:v>53</x:v>
      </x:c>
      <x:c r="E51" s="1" t="s">
        <x:v>54</x:v>
      </x:c>
      <x:c r="F51" s="8" t="s">
        <x:v>708</x:v>
      </x:c>
      <x:c r="G51" s="1" t="s">
        <x:v>709</x:v>
      </x:c>
      <x:c r="H51" s="8" t="s">
        <x:v>710</x:v>
      </x:c>
      <x:c r="I51" s="4">
        <x:v>2013</x:v>
      </x:c>
      <x:c r="J51" s="8" t="s">
        <x:v>711</x:v>
      </x:c>
      <x:c r="K51" s="1" t="s">
        <x:v>182</x:v>
      </x:c>
      <x:c r="L51" s="8" t="s">
        <x:v>712</x:v>
      </x:c>
      <x:c r="M51" s="1" t="s">
        <x:v>61</x:v>
      </x:c>
      <x:c r="N51" s="8"/>
      <x:c r="O51" s="1"/>
      <x:c r="P51" s="8"/>
      <x:c r="Q51" s="1"/>
      <x:c r="R51" s="8" t="s">
        <x:v>713</x:v>
      </x:c>
      <x:c r="S51" s="3"/>
      <x:c r="T51" s="8" t="s">
        <x:v>63</x:v>
      </x:c>
      <x:c r="U51" s="1" t="s">
        <x:v>714</x:v>
      </x:c>
      <x:c r="V51" s="13">
        <x:v>4</x:v>
      </x:c>
      <x:c r="W51" s="1" t="s">
        <x:v>65</x:v>
      </x:c>
      <x:c r="X51" s="8" t="s">
        <x:v>66</x:v>
      </x:c>
      <x:c r="Y51" s="1" t="str">
        <x:v>Проверено автором исследования</x:v>
      </x:c>
      <x:c r="Z51" s="8" t="s">
        <x:v>715</x:v>
      </x:c>
      <x:c r="AA51" s="1" t="s">
        <x:v>716</x:v>
      </x:c>
      <x:c r="AB51" s="13">
        <x:v>2026</x:v>
      </x:c>
      <x:c r="AC51" s="3">
        <x:v>46322</x:v>
      </x:c>
      <x:c r="AD51" s="8" t="s">
        <x:v>69</x:v>
      </x:c>
      <x:c r="AE51" s="1" t="s">
        <x:v>717</x:v>
      </x:c>
      <x:c r="AF51" s="8" t="s">
        <x:v>118</x:v>
      </x:c>
      <x:c r="AG51" s="1" t="s">
        <x:v>718</x:v>
      </x:c>
      <x:c r="AH51" s="8" t="str">
        <x:v>Краткая затекстовая ссылка; повторная документальная сверка выполнена</x:v>
      </x:c>
      <x:c r="AI51" s="1"/>
      <x:c r="AJ51" s="17"/>
      <x:c r="AK51" s="1" t="s">
        <x:v>73</x:v>
      </x:c>
      <x:c r="AL51" s="8" t="s">
        <x:v>74</x:v>
      </x:c>
      <x:c r="AM51" s="1"/>
      <x:c r="AN51" s="8" t="s">
        <x:v>75</x:v>
      </x:c>
      <x:c r="AO51" s="1" t="s">
        <x:v>76</x:v>
      </x:c>
      <x:c r="AP51" s="8"/>
      <x:c r="AQ51" s="1" t="s">
        <x:v>77</x:v>
      </x:c>
      <x:c r="AR51" s="8" t="str">
        <x:v>Проверка автором исследования</x:v>
      </x:c>
      <x:c r="AS51" s="1" t="s">
        <x:v>719</x:v>
      </x:c>
      <x:c r="AT51" s="8" t="s">
        <x:v>720</x:v>
      </x:c>
      <x:c r="AU51" s="1" t="s">
        <x:v>721</x:v>
      </x:c>
      <x:c r="AV51" s="17">
        <x:v>46321</x:v>
      </x:c>
      <x:c r="AW51" s="1" t="s">
        <x:v>81</x:v>
      </x:c>
      <x:c r="AX51" s="8" t="s">
        <x:v>82</x:v>
      </x:c>
      <x:c r="AY51" s="8"/>
    </x:row>
    <x:row r="52" ht="126" customHeight="1">
      <x:c r="A52" s="1" t="s">
        <x:v>722</x:v>
      </x:c>
      <x:c r="B52" s="8" t="s">
        <x:v>723</x:v>
      </x:c>
      <x:c r="C52" s="1" t="s">
        <x:v>724</x:v>
      </x:c>
      <x:c r="D52" s="8" t="s">
        <x:v>53</x:v>
      </x:c>
      <x:c r="E52" s="1" t="s">
        <x:v>54</x:v>
      </x:c>
      <x:c r="F52" s="8" t="s">
        <x:v>725</x:v>
      </x:c>
      <x:c r="G52" s="1" t="s">
        <x:v>726</x:v>
      </x:c>
      <x:c r="H52" s="8" t="s">
        <x:v>727</x:v>
      </x:c>
      <x:c r="I52" s="4">
        <x:v>2018</x:v>
      </x:c>
      <x:c r="J52" s="8" t="s">
        <x:v>537</x:v>
      </x:c>
      <x:c r="K52" s="1" t="s">
        <x:v>190</x:v>
      </x:c>
      <x:c r="L52" s="8" t="s">
        <x:v>728</x:v>
      </x:c>
      <x:c r="M52" s="1" t="s">
        <x:v>61</x:v>
      </x:c>
      <x:c r="N52" s="8"/>
      <x:c r="O52" s="1"/>
      <x:c r="P52" s="8"/>
      <x:c r="Q52" s="1"/>
      <x:c r="R52" s="8" t="s">
        <x:v>729</x:v>
      </x:c>
      <x:c r="S52" s="3"/>
      <x:c r="T52" s="8" t="s">
        <x:v>63</x:v>
      </x:c>
      <x:c r="U52" s="1" t="s">
        <x:v>714</x:v>
      </x:c>
      <x:c r="V52" s="13">
        <x:v>8</x:v>
      </x:c>
      <x:c r="W52" s="1" t="s">
        <x:v>65</x:v>
      </x:c>
      <x:c r="X52" s="8" t="s">
        <x:v>66</x:v>
      </x:c>
      <x:c r="Y52" s="1" t="str">
        <x:v>Проверено автором исследования</x:v>
      </x:c>
      <x:c r="Z52" s="8" t="s">
        <x:v>730</x:v>
      </x:c>
      <x:c r="AA52" s="1" t="s">
        <x:v>716</x:v>
      </x:c>
      <x:c r="AB52" s="13">
        <x:v>2026</x:v>
      </x:c>
      <x:c r="AC52" s="3">
        <x:v>46322</x:v>
      </x:c>
      <x:c r="AD52" s="8" t="s">
        <x:v>69</x:v>
      </x:c>
      <x:c r="AE52" s="1" t="s">
        <x:v>731</x:v>
      </x:c>
      <x:c r="AF52" s="8" t="s">
        <x:v>118</x:v>
      </x:c>
      <x:c r="AG52" s="1" t="s">
        <x:v>718</x:v>
      </x:c>
      <x:c r="AH52" s="8" t="str">
        <x:v>Краткая затекстовая ссылка; повторная документальная сверка выполнена</x:v>
      </x:c>
      <x:c r="AI52" s="1"/>
      <x:c r="AJ52" s="17"/>
      <x:c r="AK52" s="1" t="s">
        <x:v>73</x:v>
      </x:c>
      <x:c r="AL52" s="8" t="s">
        <x:v>74</x:v>
      </x:c>
      <x:c r="AM52" s="1"/>
      <x:c r="AN52" s="8" t="s">
        <x:v>75</x:v>
      </x:c>
      <x:c r="AO52" s="1" t="s">
        <x:v>76</x:v>
      </x:c>
      <x:c r="AP52" s="8"/>
      <x:c r="AQ52" s="1" t="s">
        <x:v>77</x:v>
      </x:c>
      <x:c r="AR52" s="8" t="str">
        <x:v>Проверка автором исследования</x:v>
      </x:c>
      <x:c r="AS52" s="1" t="s">
        <x:v>732</x:v>
      </x:c>
      <x:c r="AT52" s="8" t="s">
        <x:v>733</x:v>
      </x:c>
      <x:c r="AU52" s="1" t="s">
        <x:v>734</x:v>
      </x:c>
      <x:c r="AV52" s="17">
        <x:v>46321</x:v>
      </x:c>
      <x:c r="AW52" s="1" t="s">
        <x:v>81</x:v>
      </x:c>
      <x:c r="AX52" s="8" t="s">
        <x:v>82</x:v>
      </x:c>
      <x:c r="AY52" s="8"/>
    </x:row>
    <x:row r="53" ht="84" customHeight="1">
      <x:c r="A53" s="1" t="s">
        <x:v>735</x:v>
      </x:c>
      <x:c r="B53" s="8" t="s">
        <x:v>736</x:v>
      </x:c>
      <x:c r="C53" s="1" t="s">
        <x:v>737</x:v>
      </x:c>
      <x:c r="D53" s="8" t="s">
        <x:v>53</x:v>
      </x:c>
      <x:c r="E53" s="1" t="s">
        <x:v>54</x:v>
      </x:c>
      <x:c r="F53" s="8" t="s">
        <x:v>738</x:v>
      </x:c>
      <x:c r="G53" s="1" t="s">
        <x:v>739</x:v>
      </x:c>
      <x:c r="H53" s="8" t="s">
        <x:v>727</x:v>
      </x:c>
      <x:c r="I53" s="4">
        <x:v>2023</x:v>
      </x:c>
      <x:c r="J53" s="8" t="s">
        <x:v>740</x:v>
      </x:c>
      <x:c r="K53" s="1" t="s">
        <x:v>190</x:v>
      </x:c>
      <x:c r="L53" s="8" t="s">
        <x:v>741</x:v>
      </x:c>
      <x:c r="M53" s="1" t="s">
        <x:v>61</x:v>
      </x:c>
      <x:c r="N53" s="8"/>
      <x:c r="O53" s="1"/>
      <x:c r="P53" s="8"/>
      <x:c r="Q53" s="1"/>
      <x:c r="R53" s="8" t="s">
        <x:v>742</x:v>
      </x:c>
      <x:c r="S53" s="3"/>
      <x:c r="T53" s="8" t="s">
        <x:v>63</x:v>
      </x:c>
      <x:c r="U53" s="1" t="s">
        <x:v>714</x:v>
      </x:c>
      <x:c r="V53" s="13">
        <x:v>10</x:v>
      </x:c>
      <x:c r="W53" s="1" t="s">
        <x:v>242</x:v>
      </x:c>
      <x:c r="X53" s="8" t="s">
        <x:v>66</x:v>
      </x:c>
      <x:c r="Y53" s="1" t="str">
        <x:v>Проверено автором; дополнительно проверено Михаилом Саяпиным</x:v>
      </x:c>
      <x:c r="Z53" s="8" t="s">
        <x:v>743</x:v>
      </x:c>
      <x:c r="AA53" s="1" t="s">
        <x:v>716</x:v>
      </x:c>
      <x:c r="AB53" s="13">
        <x:v>2026</x:v>
      </x:c>
      <x:c r="AC53" s="3">
        <x:v>46322</x:v>
      </x:c>
      <x:c r="AD53" s="8" t="s">
        <x:v>69</x:v>
      </x:c>
      <x:c r="AE53" s="1" t="s">
        <x:v>744</x:v>
      </x:c>
      <x:c r="AF53" s="8" t="s">
        <x:v>118</x:v>
      </x:c>
      <x:c r="AG53" s="1" t="s">
        <x:v>718</x:v>
      </x:c>
      <x:c r="AH53" s="8" t="s">
        <x:v>144</x:v>
      </x:c>
      <x:c r="AI53" s="1" t="s">
        <x:v>145</x:v>
      </x:c>
      <x:c r="AJ53" s="17">
        <x:v>46323</x:v>
      </x:c>
      <x:c r="AK53" s="1" t="s">
        <x:v>73</x:v>
      </x:c>
      <x:c r="AL53" s="8" t="s">
        <x:v>74</x:v>
      </x:c>
      <x:c r="AM53" s="1"/>
      <x:c r="AN53" s="8" t="s">
        <x:v>75</x:v>
      </x:c>
      <x:c r="AO53" s="1" t="s">
        <x:v>76</x:v>
      </x:c>
      <x:c r="AP53" s="8"/>
      <x:c r="AQ53" s="1" t="s">
        <x:v>77</x:v>
      </x:c>
      <x:c r="AR53" s="8" t="str">
        <x:v>Проверка автором исследования; дополнительная проверка Михаилом Саяпиным; согласование 28.10.2026</x:v>
      </x:c>
      <x:c r="AS53" s="1" t="s">
        <x:v>745</x:v>
      </x:c>
      <x:c r="AT53" s="8" t="s">
        <x:v>746</x:v>
      </x:c>
      <x:c r="AU53" s="1" t="s">
        <x:v>747</x:v>
      </x:c>
      <x:c r="AV53" s="17">
        <x:v>46321</x:v>
      </x:c>
      <x:c r="AW53" s="1" t="s">
        <x:v>81</x:v>
      </x:c>
      <x:c r="AX53" s="8" t="s">
        <x:v>146</x:v>
      </x:c>
      <x:c r="AY53" s="8" t="s">
        <x:v>748</x:v>
      </x:c>
    </x:row>
    <x:row r="54" ht="98.0999984741211" customHeight="1">
      <x:c r="A54" s="1" t="s">
        <x:v>749</x:v>
      </x:c>
      <x:c r="B54" s="8" t="s">
        <x:v>750</x:v>
      </x:c>
      <x:c r="C54" s="1" t="s">
        <x:v>751</x:v>
      </x:c>
      <x:c r="D54" s="8" t="s">
        <x:v>53</x:v>
      </x:c>
      <x:c r="E54" s="1" t="s">
        <x:v>54</x:v>
      </x:c>
      <x:c r="F54" s="8" t="s">
        <x:v>752</x:v>
      </x:c>
      <x:c r="G54" s="1" t="s">
        <x:v>753</x:v>
      </x:c>
      <x:c r="H54" s="8" t="s">
        <x:v>370</x:v>
      </x:c>
      <x:c r="I54" s="4">
        <x:v>2018</x:v>
      </x:c>
      <x:c r="J54" s="8" t="s">
        <x:v>754</x:v>
      </x:c>
      <x:c r="K54" s="1" t="s">
        <x:v>416</x:v>
      </x:c>
      <x:c r="L54" s="8" t="s">
        <x:v>755</x:v>
      </x:c>
      <x:c r="M54" s="1" t="s">
        <x:v>61</x:v>
      </x:c>
      <x:c r="N54" s="8"/>
      <x:c r="O54" s="1"/>
      <x:c r="P54" s="8"/>
      <x:c r="Q54" s="1"/>
      <x:c r="R54" s="8" t="s">
        <x:v>756</x:v>
      </x:c>
      <x:c r="S54" s="3"/>
      <x:c r="T54" s="8" t="s">
        <x:v>63</x:v>
      </x:c>
      <x:c r="U54" s="1" t="s">
        <x:v>757</x:v>
      </x:c>
      <x:c r="V54" s="13">
        <x:v>6</x:v>
      </x:c>
      <x:c r="W54" s="1" t="s">
        <x:v>65</x:v>
      </x:c>
      <x:c r="X54" s="8" t="s">
        <x:v>66</x:v>
      </x:c>
      <x:c r="Y54" s="1" t="str">
        <x:v>Проверено автором исследования</x:v>
      </x:c>
      <x:c r="Z54" s="8" t="s">
        <x:v>758</x:v>
      </x:c>
      <x:c r="AA54" s="1" t="s">
        <x:v>759</x:v>
      </x:c>
      <x:c r="AB54" s="13">
        <x:v>2026</x:v>
      </x:c>
      <x:c r="AC54" s="3">
        <x:v>46322</x:v>
      </x:c>
      <x:c r="AD54" s="8" t="s">
        <x:v>69</x:v>
      </x:c>
      <x:c r="AE54" s="1" t="s">
        <x:v>760</x:v>
      </x:c>
      <x:c r="AF54" s="8" t="s">
        <x:v>118</x:v>
      </x:c>
      <x:c r="AG54" s="1" t="s">
        <x:v>761</x:v>
      </x:c>
      <x:c r="AH54" s="8" t="str">
        <x:v>Краткая затекстовая ссылка; повторная документальная сверка выполнена</x:v>
      </x:c>
      <x:c r="AI54" s="1"/>
      <x:c r="AJ54" s="17"/>
      <x:c r="AK54" s="1" t="s">
        <x:v>73</x:v>
      </x:c>
      <x:c r="AL54" s="8" t="s">
        <x:v>74</x:v>
      </x:c>
      <x:c r="AM54" s="1"/>
      <x:c r="AN54" s="8" t="s">
        <x:v>75</x:v>
      </x:c>
      <x:c r="AO54" s="1" t="s">
        <x:v>76</x:v>
      </x:c>
      <x:c r="AP54" s="8"/>
      <x:c r="AQ54" s="1" t="s">
        <x:v>77</x:v>
      </x:c>
      <x:c r="AR54" s="8" t="str">
        <x:v>Проверка автором исследования</x:v>
      </x:c>
      <x:c r="AS54" s="1" t="s">
        <x:v>762</x:v>
      </x:c>
      <x:c r="AT54" s="8" t="s">
        <x:v>763</x:v>
      </x:c>
      <x:c r="AU54" s="1" t="s">
        <x:v>764</x:v>
      </x:c>
      <x:c r="AV54" s="17">
        <x:v>46321</x:v>
      </x:c>
      <x:c r="AW54" s="1" t="s">
        <x:v>81</x:v>
      </x:c>
      <x:c r="AX54" s="8" t="s">
        <x:v>82</x:v>
      </x:c>
      <x:c r="AY54" s="8"/>
    </x:row>
    <x:row r="55" ht="69.94999694824219" customHeight="1">
      <x:c r="A55" s="1" t="s">
        <x:v>765</x:v>
      </x:c>
      <x:c r="B55" s="8" t="s">
        <x:v>766</x:v>
      </x:c>
      <x:c r="C55" s="1" t="s">
        <x:v>767</x:v>
      </x:c>
      <x:c r="D55" s="8" t="s">
        <x:v>53</x:v>
      </x:c>
      <x:c r="E55" s="1" t="s">
        <x:v>54</x:v>
      </x:c>
      <x:c r="F55" s="8" t="s">
        <x:v>768</x:v>
      </x:c>
      <x:c r="G55" s="1" t="s">
        <x:v>769</x:v>
      </x:c>
      <x:c r="H55" s="8" t="s">
        <x:v>770</x:v>
      </x:c>
      <x:c r="I55" s="4">
        <x:v>2025</x:v>
      </x:c>
      <x:c r="J55" s="8" t="s">
        <x:v>771</x:v>
      </x:c>
      <x:c r="K55" s="1" t="s">
        <x:v>416</x:v>
      </x:c>
      <x:c r="L55" s="8" t="s">
        <x:v>772</x:v>
      </x:c>
      <x:c r="M55" s="1" t="s">
        <x:v>61</x:v>
      </x:c>
      <x:c r="N55" s="8"/>
      <x:c r="O55" s="1"/>
      <x:c r="P55" s="8"/>
      <x:c r="Q55" s="1"/>
      <x:c r="R55" s="8" t="s">
        <x:v>773</x:v>
      </x:c>
      <x:c r="S55" s="3"/>
      <x:c r="T55" s="8" t="s">
        <x:v>63</x:v>
      </x:c>
      <x:c r="U55" s="1" t="s">
        <x:v>757</x:v>
      </x:c>
      <x:c r="V55" s="13">
        <x:v>16</x:v>
      </x:c>
      <x:c r="W55" s="1" t="s">
        <x:v>65</x:v>
      </x:c>
      <x:c r="X55" s="8" t="s">
        <x:v>66</x:v>
      </x:c>
      <x:c r="Y55" s="1" t="str">
        <x:v>Проверено автором исследования</x:v>
      </x:c>
      <x:c r="Z55" s="8" t="s">
        <x:v>774</x:v>
      </x:c>
      <x:c r="AA55" s="1" t="s">
        <x:v>759</x:v>
      </x:c>
      <x:c r="AB55" s="13">
        <x:v>2026</x:v>
      </x:c>
      <x:c r="AC55" s="3">
        <x:v>46322</x:v>
      </x:c>
      <x:c r="AD55" s="8" t="s">
        <x:v>69</x:v>
      </x:c>
      <x:c r="AE55" s="1" t="s">
        <x:v>775</x:v>
      </x:c>
      <x:c r="AF55" s="8" t="s">
        <x:v>118</x:v>
      </x:c>
      <x:c r="AG55" s="1" t="s">
        <x:v>761</x:v>
      </x:c>
      <x:c r="AH55" s="8" t="str">
        <x:v>Краткая затекстовая ссылка; повторная документальная сверка выполнена</x:v>
      </x:c>
      <x:c r="AI55" s="1"/>
      <x:c r="AJ55" s="17"/>
      <x:c r="AK55" s="1" t="s">
        <x:v>73</x:v>
      </x:c>
      <x:c r="AL55" s="8" t="s">
        <x:v>74</x:v>
      </x:c>
      <x:c r="AM55" s="1"/>
      <x:c r="AN55" s="8" t="s">
        <x:v>75</x:v>
      </x:c>
      <x:c r="AO55" s="1" t="s">
        <x:v>76</x:v>
      </x:c>
      <x:c r="AP55" s="8"/>
      <x:c r="AQ55" s="1" t="s">
        <x:v>77</x:v>
      </x:c>
      <x:c r="AR55" s="8" t="str">
        <x:v>Проверка автором исследования</x:v>
      </x:c>
      <x:c r="AS55" s="1" t="s">
        <x:v>776</x:v>
      </x:c>
      <x:c r="AT55" s="8" t="s">
        <x:v>777</x:v>
      </x:c>
      <x:c r="AU55" s="1" t="s">
        <x:v>778</x:v>
      </x:c>
      <x:c r="AV55" s="17">
        <x:v>46321</x:v>
      </x:c>
      <x:c r="AW55" s="1" t="s">
        <x:v>81</x:v>
      </x:c>
      <x:c r="AX55" s="8" t="s">
        <x:v>82</x:v>
      </x:c>
      <x:c r="AY55" s="8"/>
    </x:row>
    <x:row r="56" ht="84" customHeight="1">
      <x:c r="A56" s="1" t="s">
        <x:v>779</x:v>
      </x:c>
      <x:c r="B56" s="8" t="s">
        <x:v>780</x:v>
      </x:c>
      <x:c r="C56" s="1" t="s">
        <x:v>781</x:v>
      </x:c>
      <x:c r="D56" s="8" t="s">
        <x:v>53</x:v>
      </x:c>
      <x:c r="E56" s="1" t="s">
        <x:v>54</x:v>
      </x:c>
      <x:c r="F56" s="8" t="s">
        <x:v>782</x:v>
      </x:c>
      <x:c r="G56" s="1" t="s">
        <x:v>783</x:v>
      </x:c>
      <x:c r="H56" s="8" t="s">
        <x:v>784</x:v>
      </x:c>
      <x:c r="I56" s="4">
        <x:v>2011</x:v>
      </x:c>
      <x:c r="J56" s="8"/>
      <x:c r="K56" s="1" t="s">
        <x:v>785</x:v>
      </x:c>
      <x:c r="L56" s="8" t="s">
        <x:v>786</x:v>
      </x:c>
      <x:c r="M56" s="1" t="s">
        <x:v>61</x:v>
      </x:c>
      <x:c r="N56" s="8"/>
      <x:c r="O56" s="1"/>
      <x:c r="P56" s="8"/>
      <x:c r="Q56" s="1"/>
      <x:c r="R56" s="8" t="s">
        <x:v>787</x:v>
      </x:c>
      <x:c r="S56" s="3"/>
      <x:c r="T56" s="8" t="s">
        <x:v>63</x:v>
      </x:c>
      <x:c r="U56" s="1" t="s">
        <x:v>788</x:v>
      </x:c>
      <x:c r="V56" s="13">
        <x:v>2</x:v>
      </x:c>
      <x:c r="W56" s="1" t="s">
        <x:v>65</x:v>
      </x:c>
      <x:c r="X56" s="8" t="s">
        <x:v>66</x:v>
      </x:c>
      <x:c r="Y56" s="1" t="str">
        <x:v>Проверено автором исследования</x:v>
      </x:c>
      <x:c r="Z56" s="8" t="s">
        <x:v>789</x:v>
      </x:c>
      <x:c r="AA56" s="1" t="s">
        <x:v>790</x:v>
      </x:c>
      <x:c r="AB56" s="13">
        <x:v>2026</x:v>
      </x:c>
      <x:c r="AC56" s="3">
        <x:v>46322</x:v>
      </x:c>
      <x:c r="AD56" s="8" t="s">
        <x:v>69</x:v>
      </x:c>
      <x:c r="AE56" s="1"/>
      <x:c r="AF56" s="8" t="s">
        <x:v>118</x:v>
      </x:c>
      <x:c r="AG56" s="1" t="s">
        <x:v>791</x:v>
      </x:c>
      <x:c r="AH56" s="8" t="str">
        <x:v>Краткая затекстовая ссылка; повторная документальная сверка выполнена</x:v>
      </x:c>
      <x:c r="AI56" s="1"/>
      <x:c r="AJ56" s="17"/>
      <x:c r="AK56" s="1" t="s">
        <x:v>73</x:v>
      </x:c>
      <x:c r="AL56" s="8" t="s">
        <x:v>74</x:v>
      </x:c>
      <x:c r="AM56" s="1"/>
      <x:c r="AN56" s="8" t="s">
        <x:v>75</x:v>
      </x:c>
      <x:c r="AO56" s="1" t="s">
        <x:v>76</x:v>
      </x:c>
      <x:c r="AP56" s="8"/>
      <x:c r="AQ56" s="1" t="s">
        <x:v>77</x:v>
      </x:c>
      <x:c r="AR56" s="8" t="str">
        <x:v>Проверка автором исследования</x:v>
      </x:c>
      <x:c r="AS56" s="1" t="s">
        <x:v>792</x:v>
      </x:c>
      <x:c r="AT56" s="8" t="s">
        <x:v>793</x:v>
      </x:c>
      <x:c r="AU56" s="1" t="s">
        <x:v>794</x:v>
      </x:c>
      <x:c r="AV56" s="17">
        <x:v>46321</x:v>
      </x:c>
      <x:c r="AW56" s="1" t="s">
        <x:v>81</x:v>
      </x:c>
      <x:c r="AX56" s="8" t="s">
        <x:v>82</x:v>
      </x:c>
      <x:c r="AY56" s="8"/>
    </x:row>
    <x:row r="57" ht="140.10000610351562" customHeight="1">
      <x:c r="A57" s="1" t="s">
        <x:v>795</x:v>
      </x:c>
      <x:c r="B57" s="8" t="s">
        <x:v>796</x:v>
      </x:c>
      <x:c r="C57" s="1" t="s">
        <x:v>797</x:v>
      </x:c>
      <x:c r="D57" s="8" t="s">
        <x:v>53</x:v>
      </x:c>
      <x:c r="E57" s="1" t="s">
        <x:v>54</x:v>
      </x:c>
      <x:c r="F57" s="8" t="s">
        <x:v>798</x:v>
      </x:c>
      <x:c r="G57" s="1" t="s">
        <x:v>799</x:v>
      </x:c>
      <x:c r="H57" s="8" t="s">
        <x:v>800</x:v>
      </x:c>
      <x:c r="I57" s="4">
        <x:v>2023</x:v>
      </x:c>
      <x:c r="J57" s="8" t="s">
        <x:v>785</x:v>
      </x:c>
      <x:c r="K57" s="1" t="s">
        <x:v>801</x:v>
      </x:c>
      <x:c r="L57" s="8" t="s">
        <x:v>802</x:v>
      </x:c>
      <x:c r="M57" s="1" t="s">
        <x:v>61</x:v>
      </x:c>
      <x:c r="N57" s="8"/>
      <x:c r="O57" s="1"/>
      <x:c r="P57" s="8"/>
      <x:c r="Q57" s="1"/>
      <x:c r="R57" s="8" t="s">
        <x:v>803</x:v>
      </x:c>
      <x:c r="S57" s="3"/>
      <x:c r="T57" s="8" t="s">
        <x:v>63</x:v>
      </x:c>
      <x:c r="U57" s="1" t="s">
        <x:v>804</x:v>
      </x:c>
      <x:c r="V57" s="13">
        <x:v>7</x:v>
      </x:c>
      <x:c r="W57" s="1" t="s">
        <x:v>65</x:v>
      </x:c>
      <x:c r="X57" s="8" t="s">
        <x:v>66</x:v>
      </x:c>
      <x:c r="Y57" s="1" t="str">
        <x:v>Проверено автором исследования</x:v>
      </x:c>
      <x:c r="Z57" s="8" t="s">
        <x:v>805</x:v>
      </x:c>
      <x:c r="AA57" s="1" t="s">
        <x:v>806</x:v>
      </x:c>
      <x:c r="AB57" s="13">
        <x:v>2026</x:v>
      </x:c>
      <x:c r="AC57" s="3">
        <x:v>46322</x:v>
      </x:c>
      <x:c r="AD57" s="8" t="s">
        <x:v>69</x:v>
      </x:c>
      <x:c r="AE57" s="1" t="s">
        <x:v>807</x:v>
      </x:c>
      <x:c r="AF57" s="8" t="s">
        <x:v>118</x:v>
      </x:c>
      <x:c r="AG57" s="1" t="s">
        <x:v>808</x:v>
      </x:c>
      <x:c r="AH57" s="8" t="str">
        <x:v>Краткая затекстовая ссылка; повторная документальная сверка выполнена</x:v>
      </x:c>
      <x:c r="AI57" s="1"/>
      <x:c r="AJ57" s="17"/>
      <x:c r="AK57" s="1" t="s">
        <x:v>73</x:v>
      </x:c>
      <x:c r="AL57" s="8" t="s">
        <x:v>74</x:v>
      </x:c>
      <x:c r="AM57" s="1"/>
      <x:c r="AN57" s="8" t="s">
        <x:v>75</x:v>
      </x:c>
      <x:c r="AO57" s="1" t="s">
        <x:v>76</x:v>
      </x:c>
      <x:c r="AP57" s="8"/>
      <x:c r="AQ57" s="1" t="s">
        <x:v>77</x:v>
      </x:c>
      <x:c r="AR57" s="8" t="str">
        <x:v>Проверка автором исследования</x:v>
      </x:c>
      <x:c r="AS57" s="1" t="s">
        <x:v>809</x:v>
      </x:c>
      <x:c r="AT57" s="8" t="s">
        <x:v>810</x:v>
      </x:c>
      <x:c r="AU57" s="1" t="s">
        <x:v>811</x:v>
      </x:c>
      <x:c r="AV57" s="17">
        <x:v>46321</x:v>
      </x:c>
      <x:c r="AW57" s="1" t="s">
        <x:v>81</x:v>
      </x:c>
      <x:c r="AX57" s="8" t="s">
        <x:v>82</x:v>
      </x:c>
      <x:c r="AY57" s="8"/>
    </x:row>
    <x:row r="58" ht="69.94999694824219" customHeight="1">
      <x:c r="A58" s="1" t="s">
        <x:v>812</x:v>
      </x:c>
      <x:c r="B58" s="8" t="s">
        <x:v>813</x:v>
      </x:c>
      <x:c r="C58" s="1" t="s">
        <x:v>814</x:v>
      </x:c>
      <x:c r="D58" s="8" t="s">
        <x:v>73</x:v>
      </x:c>
      <x:c r="E58" s="1" t="s">
        <x:v>76</x:v>
      </x:c>
      <x:c r="F58" s="8" t="s">
        <x:v>815</x:v>
      </x:c>
      <x:c r="G58" s="1" t="s">
        <x:v>816</x:v>
      </x:c>
      <x:c r="H58" s="8" t="s">
        <x:v>817</x:v>
      </x:c>
      <x:c r="I58" s="4">
        <x:v>2017</x:v>
      </x:c>
      <x:c r="J58" s="8"/>
      <x:c r="K58" s="1" t="s">
        <x:v>801</x:v>
      </x:c>
      <x:c r="L58" s="8" t="s">
        <x:v>818</x:v>
      </x:c>
      <x:c r="M58" s="1" t="s">
        <x:v>61</x:v>
      </x:c>
      <x:c r="N58" s="8"/>
      <x:c r="O58" s="1"/>
      <x:c r="P58" s="8"/>
      <x:c r="Q58" s="1"/>
      <x:c r="R58" s="8"/>
      <x:c r="S58" s="3"/>
      <x:c r="T58" s="8" t="s">
        <x:v>63</x:v>
      </x:c>
      <x:c r="U58" s="1" t="s">
        <x:v>804</x:v>
      </x:c>
      <x:c r="V58" s="13">
        <x:v>8</x:v>
      </x:c>
      <x:c r="W58" s="1" t="s">
        <x:v>65</x:v>
      </x:c>
      <x:c r="X58" s="8" t="s">
        <x:v>66</x:v>
      </x:c>
      <x:c r="Y58" s="1" t="str">
        <x:v>Проверено автором исследования</x:v>
      </x:c>
      <x:c r="Z58" s="8"/>
      <x:c r="AA58" s="1" t="s">
        <x:v>806</x:v>
      </x:c>
      <x:c r="AB58" s="13">
        <x:v>2026</x:v>
      </x:c>
      <x:c r="AC58" s="3"/>
      <x:c r="AD58" s="8" t="s">
        <x:v>93</x:v>
      </x:c>
      <x:c r="AE58" s="1" t="s">
        <x:v>819</x:v>
      </x:c>
      <x:c r="AF58" s="8" t="s">
        <x:v>118</x:v>
      </x:c>
      <x:c r="AG58" s="1" t="s">
        <x:v>808</x:v>
      </x:c>
      <x:c r="AH58" s="8" t="str">
        <x:v>Краткая затекстовая ссылка; повторная документальная сверка выполнена</x:v>
      </x:c>
      <x:c r="AI58" s="1"/>
      <x:c r="AJ58" s="17"/>
      <x:c r="AK58" s="1" t="s">
        <x:v>73</x:v>
      </x:c>
      <x:c r="AL58" s="8" t="s">
        <x:v>74</x:v>
      </x:c>
      <x:c r="AM58" s="1"/>
      <x:c r="AN58" s="8" t="s">
        <x:v>95</x:v>
      </x:c>
      <x:c r="AO58" s="1" t="s">
        <x:v>76</x:v>
      </x:c>
      <x:c r="AP58" s="8"/>
      <x:c r="AQ58" s="1" t="s">
        <x:v>77</x:v>
      </x:c>
      <x:c r="AR58" s="8" t="str">
        <x:v>Проверка автором исследования</x:v>
      </x:c>
      <x:c r="AS58" s="1"/>
      <x:c r="AT58" s="8" t="s">
        <x:v>96</x:v>
      </x:c>
      <x:c r="AU58" s="1" t="s">
        <x:v>97</x:v>
      </x:c>
      <x:c r="AV58" s="17"/>
      <x:c r="AW58" s="1" t="s">
        <x:v>98</x:v>
      </x:c>
      <x:c r="AX58" s="8" t="s">
        <x:v>82</x:v>
      </x:c>
      <x:c r="AY58" s="8"/>
    </x:row>
    <x:row r="59" ht="69.94999694824219" customHeight="1">
      <x:c r="A59" s="1" t="s">
        <x:v>820</x:v>
      </x:c>
      <x:c r="B59" s="8" t="s">
        <x:v>821</x:v>
      </x:c>
      <x:c r="C59" s="1" t="s">
        <x:v>822</x:v>
      </x:c>
      <x:c r="D59" s="8" t="s">
        <x:v>73</x:v>
      </x:c>
      <x:c r="E59" s="1" t="s">
        <x:v>76</x:v>
      </x:c>
      <x:c r="F59" s="8" t="s">
        <x:v>823</x:v>
      </x:c>
      <x:c r="G59" s="1" t="s">
        <x:v>824</x:v>
      </x:c>
      <x:c r="H59" s="8" t="s">
        <x:v>825</x:v>
      </x:c>
      <x:c r="I59" s="4">
        <x:v>2025</x:v>
      </x:c>
      <x:c r="J59" s="8"/>
      <x:c r="K59" s="1" t="s">
        <x:v>126</x:v>
      </x:c>
      <x:c r="L59" s="8" t="s">
        <x:v>826</x:v>
      </x:c>
      <x:c r="M59" s="1" t="s">
        <x:v>61</x:v>
      </x:c>
      <x:c r="N59" s="8"/>
      <x:c r="O59" s="1"/>
      <x:c r="P59" s="8"/>
      <x:c r="Q59" s="1"/>
      <x:c r="R59" s="8"/>
      <x:c r="S59" s="3"/>
      <x:c r="T59" s="8" t="s">
        <x:v>63</x:v>
      </x:c>
      <x:c r="U59" s="1" t="s">
        <x:v>827</x:v>
      </x:c>
      <x:c r="V59" s="13">
        <x:v>15</x:v>
      </x:c>
      <x:c r="W59" s="1" t="s">
        <x:v>65</x:v>
      </x:c>
      <x:c r="X59" s="8" t="s">
        <x:v>66</x:v>
      </x:c>
      <x:c r="Y59" s="1" t="str">
        <x:v>Проверено автором исследования</x:v>
      </x:c>
      <x:c r="Z59" s="8"/>
      <x:c r="AA59" s="1" t="s">
        <x:v>828</x:v>
      </x:c>
      <x:c r="AB59" s="13">
        <x:v>2026</x:v>
      </x:c>
      <x:c r="AC59" s="3"/>
      <x:c r="AD59" s="8" t="s">
        <x:v>93</x:v>
      </x:c>
      <x:c r="AE59" s="1" t="s">
        <x:v>829</x:v>
      </x:c>
      <x:c r="AF59" s="8" t="s">
        <x:v>71</x:v>
      </x:c>
      <x:c r="AG59" s="1" t="s">
        <x:v>830</x:v>
      </x:c>
      <x:c r="AH59" s="8" t="str">
        <x:v>Краткая затекстовая ссылка; повторная документальная сверка выполнена</x:v>
      </x:c>
      <x:c r="AI59" s="1"/>
      <x:c r="AJ59" s="17"/>
      <x:c r="AK59" s="1" t="s">
        <x:v>73</x:v>
      </x:c>
      <x:c r="AL59" s="8" t="s">
        <x:v>74</x:v>
      </x:c>
      <x:c r="AM59" s="1"/>
      <x:c r="AN59" s="8" t="s">
        <x:v>95</x:v>
      </x:c>
      <x:c r="AO59" s="1" t="s">
        <x:v>76</x:v>
      </x:c>
      <x:c r="AP59" s="8"/>
      <x:c r="AQ59" s="1" t="s">
        <x:v>77</x:v>
      </x:c>
      <x:c r="AR59" s="8" t="str">
        <x:v>Проверка автором исследования</x:v>
      </x:c>
      <x:c r="AS59" s="1"/>
      <x:c r="AT59" s="8" t="s">
        <x:v>96</x:v>
      </x:c>
      <x:c r="AU59" s="1" t="s">
        <x:v>97</x:v>
      </x:c>
      <x:c r="AV59" s="17"/>
      <x:c r="AW59" s="1" t="s">
        <x:v>98</x:v>
      </x:c>
      <x:c r="AX59" s="8" t="s">
        <x:v>82</x:v>
      </x:c>
      <x:c r="AY59" s="8"/>
    </x:row>
    <x:row r="60" ht="69.94999694824219" customHeight="1">
      <x:c r="A60" s="1" t="s">
        <x:v>831</x:v>
      </x:c>
      <x:c r="B60" s="8" t="s">
        <x:v>832</x:v>
      </x:c>
      <x:c r="C60" s="1" t="s">
        <x:v>833</x:v>
      </x:c>
      <x:c r="D60" s="8" t="s">
        <x:v>73</x:v>
      </x:c>
      <x:c r="E60" s="1" t="s">
        <x:v>76</x:v>
      </x:c>
      <x:c r="F60" s="8" t="s">
        <x:v>834</x:v>
      </x:c>
      <x:c r="G60" s="1" t="s">
        <x:v>835</x:v>
      </x:c>
      <x:c r="H60" s="8" t="s">
        <x:v>836</x:v>
      </x:c>
      <x:c r="I60" s="4">
        <x:v>2022</x:v>
      </x:c>
      <x:c r="J60" s="8"/>
      <x:c r="K60" s="1" t="s">
        <x:v>837</x:v>
      </x:c>
      <x:c r="L60" s="8" t="s">
        <x:v>838</x:v>
      </x:c>
      <x:c r="M60" s="1" t="s">
        <x:v>61</x:v>
      </x:c>
      <x:c r="N60" s="8"/>
      <x:c r="O60" s="1"/>
      <x:c r="P60" s="8"/>
      <x:c r="Q60" s="1"/>
      <x:c r="R60" s="8" t="s">
        <x:v>839</x:v>
      </x:c>
      <x:c r="S60" s="3"/>
      <x:c r="T60" s="8" t="s">
        <x:v>63</x:v>
      </x:c>
      <x:c r="U60" s="1" t="s">
        <x:v>840</x:v>
      </x:c>
      <x:c r="V60" s="13">
        <x:v>4</x:v>
      </x:c>
      <x:c r="W60" s="1" t="s">
        <x:v>65</x:v>
      </x:c>
      <x:c r="X60" s="8" t="s">
        <x:v>66</x:v>
      </x:c>
      <x:c r="Y60" s="1" t="str">
        <x:v>Проверено автором исследования</x:v>
      </x:c>
      <x:c r="Z60" s="8" t="s">
        <x:v>841</x:v>
      </x:c>
      <x:c r="AA60" s="1" t="s">
        <x:v>842</x:v>
      </x:c>
      <x:c r="AB60" s="13">
        <x:v>2026</x:v>
      </x:c>
      <x:c r="AC60" s="3"/>
      <x:c r="AD60" s="8" t="s">
        <x:v>93</x:v>
      </x:c>
      <x:c r="AE60" s="1" t="s">
        <x:v>843</x:v>
      </x:c>
      <x:c r="AF60" s="8" t="s">
        <x:v>118</x:v>
      </x:c>
      <x:c r="AG60" s="1" t="s">
        <x:v>844</x:v>
      </x:c>
      <x:c r="AH60" s="8" t="str">
        <x:v>Краткая затекстовая ссылка; повторная документальная сверка выполнена</x:v>
      </x:c>
      <x:c r="AI60" s="1"/>
      <x:c r="AJ60" s="17"/>
      <x:c r="AK60" s="1" t="s">
        <x:v>73</x:v>
      </x:c>
      <x:c r="AL60" s="8" t="s">
        <x:v>74</x:v>
      </x:c>
      <x:c r="AM60" s="1"/>
      <x:c r="AN60" s="8" t="s">
        <x:v>95</x:v>
      </x:c>
      <x:c r="AO60" s="1" t="s">
        <x:v>76</x:v>
      </x:c>
      <x:c r="AP60" s="8"/>
      <x:c r="AQ60" s="1" t="s">
        <x:v>77</x:v>
      </x:c>
      <x:c r="AR60" s="8" t="str">
        <x:v>Проверка автором исследования</x:v>
      </x:c>
      <x:c r="AS60" s="1"/>
      <x:c r="AT60" s="8" t="s">
        <x:v>96</x:v>
      </x:c>
      <x:c r="AU60" s="1" t="s">
        <x:v>845</x:v>
      </x:c>
      <x:c r="AV60" s="17">
        <x:v>46321</x:v>
      </x:c>
      <x:c r="AW60" s="1" t="s">
        <x:v>81</x:v>
      </x:c>
      <x:c r="AX60" s="8" t="s">
        <x:v>82</x:v>
      </x:c>
      <x:c r="AY60" s="8"/>
    </x:row>
    <x:row r="61" ht="140.10000610351562" customHeight="1">
      <x:c r="A61" s="1" t="s">
        <x:v>846</x:v>
      </x:c>
      <x:c r="B61" s="8" t="s">
        <x:v>847</x:v>
      </x:c>
      <x:c r="C61" s="1" t="s">
        <x:v>848</x:v>
      </x:c>
      <x:c r="D61" s="8" t="s">
        <x:v>53</x:v>
      </x:c>
      <x:c r="E61" s="1" t="s">
        <x:v>54</x:v>
      </x:c>
      <x:c r="F61" s="8" t="s">
        <x:v>849</x:v>
      </x:c>
      <x:c r="G61" s="1" t="s">
        <x:v>850</x:v>
      </x:c>
      <x:c r="H61" s="8" t="s">
        <x:v>851</x:v>
      </x:c>
      <x:c r="I61" s="4">
        <x:v>2018</x:v>
      </x:c>
      <x:c r="J61" s="8" t="s">
        <x:v>754</x:v>
      </x:c>
      <x:c r="K61" s="1" t="s">
        <x:v>239</x:v>
      </x:c>
      <x:c r="L61" s="8" t="s">
        <x:v>852</x:v>
      </x:c>
      <x:c r="M61" s="1" t="s">
        <x:v>61</x:v>
      </x:c>
      <x:c r="N61" s="8"/>
      <x:c r="O61" s="1"/>
      <x:c r="P61" s="8"/>
      <x:c r="Q61" s="1"/>
      <x:c r="R61" s="8" t="s">
        <x:v>853</x:v>
      </x:c>
      <x:c r="S61" s="3"/>
      <x:c r="T61" s="8" t="s">
        <x:v>63</x:v>
      </x:c>
      <x:c r="U61" s="1" t="s">
        <x:v>840</x:v>
      </x:c>
      <x:c r="V61" s="13">
        <x:v>7</x:v>
      </x:c>
      <x:c r="W61" s="1" t="s">
        <x:v>65</x:v>
      </x:c>
      <x:c r="X61" s="8" t="s">
        <x:v>66</x:v>
      </x:c>
      <x:c r="Y61" s="1" t="str">
        <x:v>Проверено автором исследования</x:v>
      </x:c>
      <x:c r="Z61" s="8" t="s">
        <x:v>854</x:v>
      </x:c>
      <x:c r="AA61" s="1" t="s">
        <x:v>842</x:v>
      </x:c>
      <x:c r="AB61" s="13">
        <x:v>2026</x:v>
      </x:c>
      <x:c r="AC61" s="3">
        <x:v>46322</x:v>
      </x:c>
      <x:c r="AD61" s="8" t="s">
        <x:v>69</x:v>
      </x:c>
      <x:c r="AE61" s="1" t="s">
        <x:v>855</x:v>
      </x:c>
      <x:c r="AF61" s="8" t="s">
        <x:v>118</x:v>
      </x:c>
      <x:c r="AG61" s="1" t="s">
        <x:v>844</x:v>
      </x:c>
      <x:c r="AH61" s="8" t="str">
        <x:v>Краткая затекстовая ссылка; повторная документальная сверка выполнена</x:v>
      </x:c>
      <x:c r="AI61" s="1"/>
      <x:c r="AJ61" s="17"/>
      <x:c r="AK61" s="1" t="s">
        <x:v>73</x:v>
      </x:c>
      <x:c r="AL61" s="8" t="s">
        <x:v>74</x:v>
      </x:c>
      <x:c r="AM61" s="1"/>
      <x:c r="AN61" s="8" t="s">
        <x:v>75</x:v>
      </x:c>
      <x:c r="AO61" s="1" t="s">
        <x:v>76</x:v>
      </x:c>
      <x:c r="AP61" s="8"/>
      <x:c r="AQ61" s="1" t="s">
        <x:v>77</x:v>
      </x:c>
      <x:c r="AR61" s="8" t="str">
        <x:v>Проверка автором исследования</x:v>
      </x:c>
      <x:c r="AS61" s="1" t="s">
        <x:v>856</x:v>
      </x:c>
      <x:c r="AT61" s="8" t="s">
        <x:v>857</x:v>
      </x:c>
      <x:c r="AU61" s="1" t="s">
        <x:v>858</x:v>
      </x:c>
      <x:c r="AV61" s="17">
        <x:v>46321</x:v>
      </x:c>
      <x:c r="AW61" s="1" t="s">
        <x:v>81</x:v>
      </x:c>
      <x:c r="AX61" s="8" t="s">
        <x:v>82</x:v>
      </x:c>
      <x:c r="AY61" s="8"/>
    </x:row>
    <x:row r="62" ht="126" customHeight="1">
      <x:c r="A62" s="1" t="s">
        <x:v>859</x:v>
      </x:c>
      <x:c r="B62" s="8" t="s">
        <x:v>860</x:v>
      </x:c>
      <x:c r="C62" s="1" t="s">
        <x:v>861</x:v>
      </x:c>
      <x:c r="D62" s="8" t="s">
        <x:v>53</x:v>
      </x:c>
      <x:c r="E62" s="1" t="s">
        <x:v>54</x:v>
      </x:c>
      <x:c r="F62" s="8" t="s">
        <x:v>862</x:v>
      </x:c>
      <x:c r="G62" s="1" t="s">
        <x:v>863</x:v>
      </x:c>
      <x:c r="H62" s="8" t="s">
        <x:v>864</x:v>
      </x:c>
      <x:c r="I62" s="4">
        <x:v>2021</x:v>
      </x:c>
      <x:c r="J62" s="8"/>
      <x:c r="K62" s="1" t="s">
        <x:v>865</x:v>
      </x:c>
      <x:c r="L62" s="8" t="s">
        <x:v>866</x:v>
      </x:c>
      <x:c r="M62" s="1" t="s">
        <x:v>61</x:v>
      </x:c>
      <x:c r="N62" s="8"/>
      <x:c r="O62" s="1"/>
      <x:c r="P62" s="8"/>
      <x:c r="Q62" s="1"/>
      <x:c r="R62" s="8" t="s">
        <x:v>867</x:v>
      </x:c>
      <x:c r="S62" s="3"/>
      <x:c r="T62" s="8" t="s">
        <x:v>63</x:v>
      </x:c>
      <x:c r="U62" s="1" t="s">
        <x:v>840</x:v>
      </x:c>
      <x:c r="V62" s="13">
        <x:v>11</x:v>
      </x:c>
      <x:c r="W62" s="1" t="s">
        <x:v>242</x:v>
      </x:c>
      <x:c r="X62" s="8" t="s">
        <x:v>66</x:v>
      </x:c>
      <x:c r="Y62" s="1" t="str">
        <x:v>Проверено автором; дополнительно проверено Михаилом Саяпиным</x:v>
      </x:c>
      <x:c r="Z62" s="8" t="s">
        <x:v>868</x:v>
      </x:c>
      <x:c r="AA62" s="1" t="s">
        <x:v>842</x:v>
      </x:c>
      <x:c r="AB62" s="13">
        <x:v>2026</x:v>
      </x:c>
      <x:c r="AC62" s="3">
        <x:v>46322</x:v>
      </x:c>
      <x:c r="AD62" s="8" t="s">
        <x:v>69</x:v>
      </x:c>
      <x:c r="AE62" s="1" t="s">
        <x:v>869</x:v>
      </x:c>
      <x:c r="AF62" s="8" t="s">
        <x:v>118</x:v>
      </x:c>
      <x:c r="AG62" s="1" t="s">
        <x:v>844</x:v>
      </x:c>
      <x:c r="AH62" s="8" t="s">
        <x:v>144</x:v>
      </x:c>
      <x:c r="AI62" s="1" t="s">
        <x:v>145</x:v>
      </x:c>
      <x:c r="AJ62" s="17">
        <x:v>46323</x:v>
      </x:c>
      <x:c r="AK62" s="1" t="s">
        <x:v>73</x:v>
      </x:c>
      <x:c r="AL62" s="8" t="s">
        <x:v>74</x:v>
      </x:c>
      <x:c r="AM62" s="1"/>
      <x:c r="AN62" s="8" t="s">
        <x:v>75</x:v>
      </x:c>
      <x:c r="AO62" s="1" t="s">
        <x:v>76</x:v>
      </x:c>
      <x:c r="AP62" s="8"/>
      <x:c r="AQ62" s="1" t="s">
        <x:v>77</x:v>
      </x:c>
      <x:c r="AR62" s="8" t="str">
        <x:v>Проверка автором исследования; дополнительная проверка Михаилом Саяпиным; согласование 28.10.2026</x:v>
      </x:c>
      <x:c r="AS62" s="1" t="s">
        <x:v>870</x:v>
      </x:c>
      <x:c r="AT62" s="8" t="s">
        <x:v>871</x:v>
      </x:c>
      <x:c r="AU62" s="1" t="s">
        <x:v>872</x:v>
      </x:c>
      <x:c r="AV62" s="17">
        <x:v>46321</x:v>
      </x:c>
      <x:c r="AW62" s="1" t="s">
        <x:v>81</x:v>
      </x:c>
      <x:c r="AX62" s="8" t="s">
        <x:v>146</x:v>
      </x:c>
      <x:c r="AY62" s="8" t="s">
        <x:v>873</x:v>
      </x:c>
    </x:row>
    <x:row r="63" ht="98.0999984741211" customHeight="1">
      <x:c r="A63" s="1" t="s">
        <x:v>874</x:v>
      </x:c>
      <x:c r="B63" s="8" t="s">
        <x:v>875</x:v>
      </x:c>
      <x:c r="C63" s="1" t="s">
        <x:v>876</x:v>
      </x:c>
      <x:c r="D63" s="8" t="s">
        <x:v>53</x:v>
      </x:c>
      <x:c r="E63" s="1" t="s">
        <x:v>54</x:v>
      </x:c>
      <x:c r="F63" s="8" t="s">
        <x:v>877</x:v>
      </x:c>
      <x:c r="G63" s="1" t="s">
        <x:v>878</x:v>
      </x:c>
      <x:c r="H63" s="8" t="s">
        <x:v>879</x:v>
      </x:c>
      <x:c r="I63" s="4">
        <x:v>2025</x:v>
      </x:c>
      <x:c r="J63" s="8" t="s">
        <x:v>771</x:v>
      </x:c>
      <x:c r="K63" s="1" t="s">
        <x:v>182</x:v>
      </x:c>
      <x:c r="L63" s="8" t="s">
        <x:v>880</x:v>
      </x:c>
      <x:c r="M63" s="1" t="s">
        <x:v>61</x:v>
      </x:c>
      <x:c r="N63" s="8"/>
      <x:c r="O63" s="1"/>
      <x:c r="P63" s="8"/>
      <x:c r="Q63" s="1"/>
      <x:c r="R63" s="8" t="s">
        <x:v>881</x:v>
      </x:c>
      <x:c r="S63" s="3"/>
      <x:c r="T63" s="8" t="s">
        <x:v>63</x:v>
      </x:c>
      <x:c r="U63" s="1" t="s">
        <x:v>840</x:v>
      </x:c>
      <x:c r="V63" s="13">
        <x:v>13</x:v>
      </x:c>
      <x:c r="W63" s="1" t="s">
        <x:v>65</x:v>
      </x:c>
      <x:c r="X63" s="8" t="s">
        <x:v>66</x:v>
      </x:c>
      <x:c r="Y63" s="1" t="str">
        <x:v>Проверено автором исследования</x:v>
      </x:c>
      <x:c r="Z63" s="8" t="s">
        <x:v>882</x:v>
      </x:c>
      <x:c r="AA63" s="1" t="s">
        <x:v>842</x:v>
      </x:c>
      <x:c r="AB63" s="13">
        <x:v>2026</x:v>
      </x:c>
      <x:c r="AC63" s="3">
        <x:v>46322</x:v>
      </x:c>
      <x:c r="AD63" s="8" t="s">
        <x:v>69</x:v>
      </x:c>
      <x:c r="AE63" s="1" t="s">
        <x:v>883</x:v>
      </x:c>
      <x:c r="AF63" s="8" t="s">
        <x:v>118</x:v>
      </x:c>
      <x:c r="AG63" s="1" t="s">
        <x:v>844</x:v>
      </x:c>
      <x:c r="AH63" s="8" t="str">
        <x:v>Краткая затекстовая ссылка; повторная документальная сверка выполнена</x:v>
      </x:c>
      <x:c r="AI63" s="1"/>
      <x:c r="AJ63" s="17"/>
      <x:c r="AK63" s="1" t="s">
        <x:v>73</x:v>
      </x:c>
      <x:c r="AL63" s="8" t="s">
        <x:v>74</x:v>
      </x:c>
      <x:c r="AM63" s="1"/>
      <x:c r="AN63" s="8" t="s">
        <x:v>75</x:v>
      </x:c>
      <x:c r="AO63" s="1" t="s">
        <x:v>76</x:v>
      </x:c>
      <x:c r="AP63" s="8"/>
      <x:c r="AQ63" s="1" t="s">
        <x:v>77</x:v>
      </x:c>
      <x:c r="AR63" s="8" t="str">
        <x:v>Проверка автором исследования</x:v>
      </x:c>
      <x:c r="AS63" s="1" t="s">
        <x:v>884</x:v>
      </x:c>
      <x:c r="AT63" s="8" t="s">
        <x:v>885</x:v>
      </x:c>
      <x:c r="AU63" s="1" t="s">
        <x:v>886</x:v>
      </x:c>
      <x:c r="AV63" s="17">
        <x:v>46321</x:v>
      </x:c>
      <x:c r="AW63" s="1" t="s">
        <x:v>81</x:v>
      </x:c>
      <x:c r="AX63" s="8" t="s">
        <x:v>82</x:v>
      </x:c>
      <x:c r="AY63" s="8"/>
    </x:row>
    <x:row r="64" ht="126" customHeight="1">
      <x:c r="A64" s="1" t="s">
        <x:v>887</x:v>
      </x:c>
      <x:c r="B64" s="8" t="s">
        <x:v>888</x:v>
      </x:c>
      <x:c r="C64" s="1" t="s">
        <x:v>889</x:v>
      </x:c>
      <x:c r="D64" s="8" t="s">
        <x:v>53</x:v>
      </x:c>
      <x:c r="E64" s="1" t="s">
        <x:v>54</x:v>
      </x:c>
      <x:c r="F64" s="8" t="s">
        <x:v>890</x:v>
      </x:c>
      <x:c r="G64" s="1" t="s">
        <x:v>891</x:v>
      </x:c>
      <x:c r="H64" s="8" t="s">
        <x:v>851</x:v>
      </x:c>
      <x:c r="I64" s="4">
        <x:v>2024</x:v>
      </x:c>
      <x:c r="J64" s="8" t="s">
        <x:v>512</x:v>
      </x:c>
      <x:c r="K64" s="1" t="s">
        <x:v>416</x:v>
      </x:c>
      <x:c r="L64" s="8" t="s">
        <x:v>892</x:v>
      </x:c>
      <x:c r="M64" s="1" t="s">
        <x:v>61</x:v>
      </x:c>
      <x:c r="N64" s="8"/>
      <x:c r="O64" s="1"/>
      <x:c r="P64" s="8"/>
      <x:c r="Q64" s="1"/>
      <x:c r="R64" s="8" t="s">
        <x:v>893</x:v>
      </x:c>
      <x:c r="S64" s="3"/>
      <x:c r="T64" s="8" t="s">
        <x:v>63</x:v>
      </x:c>
      <x:c r="U64" s="1" t="s">
        <x:v>840</x:v>
      </x:c>
      <x:c r="V64" s="13">
        <x:v>14</x:v>
      </x:c>
      <x:c r="W64" s="1" t="s">
        <x:v>65</x:v>
      </x:c>
      <x:c r="X64" s="8" t="s">
        <x:v>66</x:v>
      </x:c>
      <x:c r="Y64" s="1" t="str">
        <x:v>Проверено автором исследования</x:v>
      </x:c>
      <x:c r="Z64" s="8" t="s">
        <x:v>894</x:v>
      </x:c>
      <x:c r="AA64" s="1" t="s">
        <x:v>842</x:v>
      </x:c>
      <x:c r="AB64" s="13">
        <x:v>2026</x:v>
      </x:c>
      <x:c r="AC64" s="3">
        <x:v>46322</x:v>
      </x:c>
      <x:c r="AD64" s="8" t="s">
        <x:v>69</x:v>
      </x:c>
      <x:c r="AE64" s="1" t="s">
        <x:v>895</x:v>
      </x:c>
      <x:c r="AF64" s="8" t="s">
        <x:v>118</x:v>
      </x:c>
      <x:c r="AG64" s="1" t="s">
        <x:v>844</x:v>
      </x:c>
      <x:c r="AH64" s="8" t="str">
        <x:v>Краткая затекстовая ссылка; повторная документальная сверка выполнена</x:v>
      </x:c>
      <x:c r="AI64" s="1"/>
      <x:c r="AJ64" s="17"/>
      <x:c r="AK64" s="1" t="s">
        <x:v>73</x:v>
      </x:c>
      <x:c r="AL64" s="8" t="s">
        <x:v>74</x:v>
      </x:c>
      <x:c r="AM64" s="1"/>
      <x:c r="AN64" s="8" t="s">
        <x:v>75</x:v>
      </x:c>
      <x:c r="AO64" s="1" t="s">
        <x:v>76</x:v>
      </x:c>
      <x:c r="AP64" s="8"/>
      <x:c r="AQ64" s="1" t="s">
        <x:v>77</x:v>
      </x:c>
      <x:c r="AR64" s="8" t="str">
        <x:v>Проверка автором исследования</x:v>
      </x:c>
      <x:c r="AS64" s="1" t="s">
        <x:v>896</x:v>
      </x:c>
      <x:c r="AT64" s="8" t="s">
        <x:v>897</x:v>
      </x:c>
      <x:c r="AU64" s="1" t="s">
        <x:v>898</x:v>
      </x:c>
      <x:c r="AV64" s="17">
        <x:v>46321</x:v>
      </x:c>
      <x:c r="AW64" s="1" t="s">
        <x:v>81</x:v>
      </x:c>
      <x:c r="AX64" s="8" t="s">
        <x:v>82</x:v>
      </x:c>
      <x:c r="AY64" s="8"/>
    </x:row>
    <x:row r="65" ht="140.10000610351562" customHeight="1">
      <x:c r="A65" s="1" t="s">
        <x:v>899</x:v>
      </x:c>
      <x:c r="B65" s="8" t="s">
        <x:v>900</x:v>
      </x:c>
      <x:c r="C65" s="1" t="s">
        <x:v>901</x:v>
      </x:c>
      <x:c r="D65" s="8" t="s">
        <x:v>53</x:v>
      </x:c>
      <x:c r="E65" s="1" t="s">
        <x:v>54</x:v>
      </x:c>
      <x:c r="F65" s="8" t="s">
        <x:v>902</x:v>
      </x:c>
      <x:c r="G65" s="1" t="s">
        <x:v>903</x:v>
      </x:c>
      <x:c r="H65" s="8" t="s">
        <x:v>904</x:v>
      </x:c>
      <x:c r="I65" s="4">
        <x:v>2023</x:v>
      </x:c>
      <x:c r="J65" s="8"/>
      <x:c r="K65" s="1" t="s">
        <x:v>190</x:v>
      </x:c>
      <x:c r="L65" s="8" t="s">
        <x:v>905</x:v>
      </x:c>
      <x:c r="M65" s="1" t="s">
        <x:v>61</x:v>
      </x:c>
      <x:c r="N65" s="8"/>
      <x:c r="O65" s="1"/>
      <x:c r="P65" s="8"/>
      <x:c r="Q65" s="1"/>
      <x:c r="R65" s="8" t="s">
        <x:v>906</x:v>
      </x:c>
      <x:c r="S65" s="3"/>
      <x:c r="T65" s="8" t="s">
        <x:v>63</x:v>
      </x:c>
      <x:c r="U65" s="1" t="s">
        <x:v>840</x:v>
      </x:c>
      <x:c r="V65" s="13">
        <x:v>15</x:v>
      </x:c>
      <x:c r="W65" s="1" t="s">
        <x:v>65</x:v>
      </x:c>
      <x:c r="X65" s="8" t="s">
        <x:v>66</x:v>
      </x:c>
      <x:c r="Y65" s="1" t="str">
        <x:v>Проверено автором исследования</x:v>
      </x:c>
      <x:c r="Z65" s="8" t="s">
        <x:v>907</x:v>
      </x:c>
      <x:c r="AA65" s="1" t="s">
        <x:v>842</x:v>
      </x:c>
      <x:c r="AB65" s="13">
        <x:v>2026</x:v>
      </x:c>
      <x:c r="AC65" s="3">
        <x:v>46322</x:v>
      </x:c>
      <x:c r="AD65" s="8" t="s">
        <x:v>69</x:v>
      </x:c>
      <x:c r="AE65" s="1" t="s">
        <x:v>908</x:v>
      </x:c>
      <x:c r="AF65" s="8" t="s">
        <x:v>118</x:v>
      </x:c>
      <x:c r="AG65" s="1" t="s">
        <x:v>844</x:v>
      </x:c>
      <x:c r="AH65" s="8" t="str">
        <x:v>Краткая затекстовая ссылка; повторная документальная сверка выполнена</x:v>
      </x:c>
      <x:c r="AI65" s="1"/>
      <x:c r="AJ65" s="17"/>
      <x:c r="AK65" s="1" t="s">
        <x:v>73</x:v>
      </x:c>
      <x:c r="AL65" s="8" t="s">
        <x:v>74</x:v>
      </x:c>
      <x:c r="AM65" s="1"/>
      <x:c r="AN65" s="8" t="s">
        <x:v>75</x:v>
      </x:c>
      <x:c r="AO65" s="1" t="s">
        <x:v>76</x:v>
      </x:c>
      <x:c r="AP65" s="8"/>
      <x:c r="AQ65" s="1" t="s">
        <x:v>77</x:v>
      </x:c>
      <x:c r="AR65" s="8" t="str">
        <x:v>Проверка автором исследования</x:v>
      </x:c>
      <x:c r="AS65" s="1" t="s">
        <x:v>909</x:v>
      </x:c>
      <x:c r="AT65" s="8" t="s">
        <x:v>910</x:v>
      </x:c>
      <x:c r="AU65" s="1" t="s">
        <x:v>911</x:v>
      </x:c>
      <x:c r="AV65" s="17">
        <x:v>46321</x:v>
      </x:c>
      <x:c r="AW65" s="1" t="s">
        <x:v>81</x:v>
      </x:c>
      <x:c r="AX65" s="8" t="s">
        <x:v>82</x:v>
      </x:c>
      <x:c r="AY65" s="8"/>
    </x:row>
    <x:row r="66" ht="69.94999694824219" customHeight="1">
      <x:c r="A66" s="1" t="s">
        <x:v>912</x:v>
      </x:c>
      <x:c r="B66" s="8" t="s">
        <x:v>913</x:v>
      </x:c>
      <x:c r="C66" s="1" t="s">
        <x:v>914</x:v>
      </x:c>
      <x:c r="D66" s="8" t="s">
        <x:v>73</x:v>
      </x:c>
      <x:c r="E66" s="1" t="s">
        <x:v>76</x:v>
      </x:c>
      <x:c r="F66" s="8" t="s">
        <x:v>915</x:v>
      </x:c>
      <x:c r="G66" s="1" t="s">
        <x:v>916</x:v>
      </x:c>
      <x:c r="H66" s="8" t="s">
        <x:v>836</x:v>
      </x:c>
      <x:c r="I66" s="4">
        <x:v>2023</x:v>
      </x:c>
      <x:c r="J66" s="8"/>
      <x:c r="K66" s="1" t="s">
        <x:v>917</x:v>
      </x:c>
      <x:c r="L66" s="8" t="s">
        <x:v>918</x:v>
      </x:c>
      <x:c r="M66" s="1" t="s">
        <x:v>61</x:v>
      </x:c>
      <x:c r="N66" s="8"/>
      <x:c r="O66" s="1"/>
      <x:c r="P66" s="8"/>
      <x:c r="Q66" s="1"/>
      <x:c r="R66" s="8" t="s">
        <x:v>919</x:v>
      </x:c>
      <x:c r="S66" s="3"/>
      <x:c r="T66" s="8" t="s">
        <x:v>63</x:v>
      </x:c>
      <x:c r="U66" s="1" t="s">
        <x:v>920</x:v>
      </x:c>
      <x:c r="V66" s="13">
        <x:v>1</x:v>
      </x:c>
      <x:c r="W66" s="1" t="s">
        <x:v>65</x:v>
      </x:c>
      <x:c r="X66" s="8" t="s">
        <x:v>66</x:v>
      </x:c>
      <x:c r="Y66" s="1" t="str">
        <x:v>Проверено автором исследования</x:v>
      </x:c>
      <x:c r="Z66" s="8" t="s">
        <x:v>921</x:v>
      </x:c>
      <x:c r="AA66" s="1" t="s">
        <x:v>922</x:v>
      </x:c>
      <x:c r="AB66" s="13">
        <x:v>2026</x:v>
      </x:c>
      <x:c r="AC66" s="3"/>
      <x:c r="AD66" s="8" t="s">
        <x:v>93</x:v>
      </x:c>
      <x:c r="AE66" s="1" t="s">
        <x:v>923</x:v>
      </x:c>
      <x:c r="AF66" s="8" t="s">
        <x:v>118</x:v>
      </x:c>
      <x:c r="AG66" s="1" t="s">
        <x:v>924</x:v>
      </x:c>
      <x:c r="AH66" s="8" t="str">
        <x:v>Краткая затекстовая ссылка; повторная документальная сверка выполнена</x:v>
      </x:c>
      <x:c r="AI66" s="1"/>
      <x:c r="AJ66" s="17"/>
      <x:c r="AK66" s="1" t="s">
        <x:v>73</x:v>
      </x:c>
      <x:c r="AL66" s="8" t="s">
        <x:v>74</x:v>
      </x:c>
      <x:c r="AM66" s="1"/>
      <x:c r="AN66" s="8" t="s">
        <x:v>95</x:v>
      </x:c>
      <x:c r="AO66" s="1" t="s">
        <x:v>76</x:v>
      </x:c>
      <x:c r="AP66" s="8"/>
      <x:c r="AQ66" s="1" t="s">
        <x:v>77</x:v>
      </x:c>
      <x:c r="AR66" s="8" t="str">
        <x:v>Проверка автором исследования</x:v>
      </x:c>
      <x:c r="AS66" s="1"/>
      <x:c r="AT66" s="8" t="s">
        <x:v>96</x:v>
      </x:c>
      <x:c r="AU66" s="1" t="s">
        <x:v>845</x:v>
      </x:c>
      <x:c r="AV66" s="17">
        <x:v>46321</x:v>
      </x:c>
      <x:c r="AW66" s="1" t="s">
        <x:v>81</x:v>
      </x:c>
      <x:c r="AX66" s="8" t="s">
        <x:v>82</x:v>
      </x:c>
      <x:c r="AY66" s="8"/>
    </x:row>
    <x:row r="67" ht="111.94999694824219" customHeight="1">
      <x:c r="A67" s="1" t="s">
        <x:v>925</x:v>
      </x:c>
      <x:c r="B67" s="8" t="s">
        <x:v>926</x:v>
      </x:c>
      <x:c r="C67" s="1" t="s">
        <x:v>927</x:v>
      </x:c>
      <x:c r="D67" s="8" t="s">
        <x:v>53</x:v>
      </x:c>
      <x:c r="E67" s="1" t="s">
        <x:v>54</x:v>
      </x:c>
      <x:c r="F67" s="8" t="s">
        <x:v>928</x:v>
      </x:c>
      <x:c r="G67" s="1" t="s">
        <x:v>929</x:v>
      </x:c>
      <x:c r="H67" s="8" t="s">
        <x:v>930</x:v>
      </x:c>
      <x:c r="I67" s="4">
        <x:v>2024</x:v>
      </x:c>
      <x:c r="J67" s="8" t="s">
        <x:v>754</x:v>
      </x:c>
      <x:c r="K67" s="1" t="s">
        <x:v>931</x:v>
      </x:c>
      <x:c r="L67" s="8" t="s">
        <x:v>932</x:v>
      </x:c>
      <x:c r="M67" s="1" t="s">
        <x:v>61</x:v>
      </x:c>
      <x:c r="N67" s="8"/>
      <x:c r="O67" s="1"/>
      <x:c r="P67" s="8"/>
      <x:c r="Q67" s="1"/>
      <x:c r="R67" s="8" t="s">
        <x:v>933</x:v>
      </x:c>
      <x:c r="S67" s="3"/>
      <x:c r="T67" s="8" t="s">
        <x:v>63</x:v>
      </x:c>
      <x:c r="U67" s="1" t="s">
        <x:v>920</x:v>
      </x:c>
      <x:c r="V67" s="13">
        <x:v>6</x:v>
      </x:c>
      <x:c r="W67" s="1" t="s">
        <x:v>65</x:v>
      </x:c>
      <x:c r="X67" s="8" t="s">
        <x:v>66</x:v>
      </x:c>
      <x:c r="Y67" s="1" t="str">
        <x:v>Проверено автором исследования</x:v>
      </x:c>
      <x:c r="Z67" s="8" t="s">
        <x:v>934</x:v>
      </x:c>
      <x:c r="AA67" s="1" t="s">
        <x:v>922</x:v>
      </x:c>
      <x:c r="AB67" s="13">
        <x:v>2026</x:v>
      </x:c>
      <x:c r="AC67" s="3">
        <x:v>46322</x:v>
      </x:c>
      <x:c r="AD67" s="8" t="s">
        <x:v>69</x:v>
      </x:c>
      <x:c r="AE67" s="1" t="s">
        <x:v>935</x:v>
      </x:c>
      <x:c r="AF67" s="8" t="s">
        <x:v>118</x:v>
      </x:c>
      <x:c r="AG67" s="1" t="s">
        <x:v>924</x:v>
      </x:c>
      <x:c r="AH67" s="8" t="str">
        <x:v>Краткая затекстовая ссылка; повторная документальная сверка выполнена</x:v>
      </x:c>
      <x:c r="AI67" s="1"/>
      <x:c r="AJ67" s="17"/>
      <x:c r="AK67" s="1" t="s">
        <x:v>73</x:v>
      </x:c>
      <x:c r="AL67" s="8" t="s">
        <x:v>74</x:v>
      </x:c>
      <x:c r="AM67" s="1"/>
      <x:c r="AN67" s="8" t="s">
        <x:v>75</x:v>
      </x:c>
      <x:c r="AO67" s="1" t="s">
        <x:v>76</x:v>
      </x:c>
      <x:c r="AP67" s="8"/>
      <x:c r="AQ67" s="1" t="s">
        <x:v>77</x:v>
      </x:c>
      <x:c r="AR67" s="8" t="str">
        <x:v>Проверка автором исследования</x:v>
      </x:c>
      <x:c r="AS67" s="1" t="s">
        <x:v>936</x:v>
      </x:c>
      <x:c r="AT67" s="8" t="s">
        <x:v>937</x:v>
      </x:c>
      <x:c r="AU67" s="1" t="s">
        <x:v>938</x:v>
      </x:c>
      <x:c r="AV67" s="17">
        <x:v>46321</x:v>
      </x:c>
      <x:c r="AW67" s="1" t="s">
        <x:v>81</x:v>
      </x:c>
      <x:c r="AX67" s="8" t="s">
        <x:v>82</x:v>
      </x:c>
      <x:c r="AY67" s="8"/>
    </x:row>
    <x:row r="68" ht="126" customHeight="1">
      <x:c r="A68" s="1" t="s">
        <x:v>939</x:v>
      </x:c>
      <x:c r="B68" s="8" t="s">
        <x:v>940</x:v>
      </x:c>
      <x:c r="C68" s="1" t="s">
        <x:v>941</x:v>
      </x:c>
      <x:c r="D68" s="8" t="s">
        <x:v>53</x:v>
      </x:c>
      <x:c r="E68" s="1" t="s">
        <x:v>54</x:v>
      </x:c>
      <x:c r="F68" s="8" t="s">
        <x:v>942</x:v>
      </x:c>
      <x:c r="G68" s="1" t="s">
        <x:v>943</x:v>
      </x:c>
      <x:c r="H68" s="8" t="s">
        <x:v>944</x:v>
      </x:c>
      <x:c r="I68" s="4">
        <x:v>2024</x:v>
      </x:c>
      <x:c r="J68" s="8"/>
      <x:c r="K68" s="1" t="s">
        <x:v>945</x:v>
      </x:c>
      <x:c r="L68" s="8" t="s">
        <x:v>946</x:v>
      </x:c>
      <x:c r="M68" s="1" t="s">
        <x:v>61</x:v>
      </x:c>
      <x:c r="N68" s="8"/>
      <x:c r="O68" s="1"/>
      <x:c r="P68" s="8"/>
      <x:c r="Q68" s="1"/>
      <x:c r="R68" s="8" t="s">
        <x:v>947</x:v>
      </x:c>
      <x:c r="S68" s="3"/>
      <x:c r="T68" s="8" t="s">
        <x:v>63</x:v>
      </x:c>
      <x:c r="U68" s="1" t="s">
        <x:v>920</x:v>
      </x:c>
      <x:c r="V68" s="13">
        <x:v>7</x:v>
      </x:c>
      <x:c r="W68" s="1" t="s">
        <x:v>242</x:v>
      </x:c>
      <x:c r="X68" s="8" t="s">
        <x:v>66</x:v>
      </x:c>
      <x:c r="Y68" s="1" t="str">
        <x:v>Проверено автором; дополнительно проверено Михаилом Саяпиным</x:v>
      </x:c>
      <x:c r="Z68" s="8" t="s">
        <x:v>948</x:v>
      </x:c>
      <x:c r="AA68" s="1" t="s">
        <x:v>922</x:v>
      </x:c>
      <x:c r="AB68" s="13">
        <x:v>2026</x:v>
      </x:c>
      <x:c r="AC68" s="3">
        <x:v>46322</x:v>
      </x:c>
      <x:c r="AD68" s="8" t="s">
        <x:v>69</x:v>
      </x:c>
      <x:c r="AE68" s="1" t="s">
        <x:v>949</x:v>
      </x:c>
      <x:c r="AF68" s="8" t="s">
        <x:v>118</x:v>
      </x:c>
      <x:c r="AG68" s="1" t="s">
        <x:v>924</x:v>
      </x:c>
      <x:c r="AH68" s="8" t="s">
        <x:v>144</x:v>
      </x:c>
      <x:c r="AI68" s="1" t="s">
        <x:v>145</x:v>
      </x:c>
      <x:c r="AJ68" s="17">
        <x:v>46323</x:v>
      </x:c>
      <x:c r="AK68" s="1" t="s">
        <x:v>73</x:v>
      </x:c>
      <x:c r="AL68" s="8" t="s">
        <x:v>74</x:v>
      </x:c>
      <x:c r="AM68" s="1"/>
      <x:c r="AN68" s="8" t="s">
        <x:v>75</x:v>
      </x:c>
      <x:c r="AO68" s="1" t="s">
        <x:v>54</x:v>
      </x:c>
      <x:c r="AP68" s="8"/>
      <x:c r="AQ68" s="1" t="s">
        <x:v>77</x:v>
      </x:c>
      <x:c r="AR68" s="8" t="str">
        <x:v>Проверка автором исследования; дополнительная проверка Михаилом Саяпиным; согласование 28.10.2026</x:v>
      </x:c>
      <x:c r="AS68" s="1" t="s">
        <x:v>950</x:v>
      </x:c>
      <x:c r="AT68" s="8" t="s">
        <x:v>951</x:v>
      </x:c>
      <x:c r="AU68" s="1" t="s">
        <x:v>952</x:v>
      </x:c>
      <x:c r="AV68" s="17">
        <x:v>46321</x:v>
      </x:c>
      <x:c r="AW68" s="1" t="s">
        <x:v>953</x:v>
      </x:c>
      <x:c r="AX68" s="8" t="s">
        <x:v>146</x:v>
      </x:c>
      <x:c r="AY68" s="8" t="s">
        <x:v>954</x:v>
      </x:c>
    </x:row>
    <x:row r="69" ht="69.94999694824219" customHeight="1">
      <x:c r="A69" s="1" t="s">
        <x:v>955</x:v>
      </x:c>
      <x:c r="B69" s="8" t="s">
        <x:v>956</x:v>
      </x:c>
      <x:c r="C69" s="1" t="s">
        <x:v>957</x:v>
      </x:c>
      <x:c r="D69" s="8" t="s">
        <x:v>53</x:v>
      </x:c>
      <x:c r="E69" s="1" t="s">
        <x:v>54</x:v>
      </x:c>
      <x:c r="F69" s="8" t="s">
        <x:v>958</x:v>
      </x:c>
      <x:c r="G69" s="1" t="s">
        <x:v>959</x:v>
      </x:c>
      <x:c r="H69" s="8" t="s">
        <x:v>960</x:v>
      </x:c>
      <x:c r="I69" s="4">
        <x:v>2025</x:v>
      </x:c>
      <x:c r="J69" s="8"/>
      <x:c r="K69" s="1" t="s">
        <x:v>59</x:v>
      </x:c>
      <x:c r="L69" s="8" t="s">
        <x:v>961</x:v>
      </x:c>
      <x:c r="M69" s="1" t="s">
        <x:v>61</x:v>
      </x:c>
      <x:c r="N69" s="8"/>
      <x:c r="O69" s="1"/>
      <x:c r="P69" s="8"/>
      <x:c r="Q69" s="1"/>
      <x:c r="R69" s="8" t="s">
        <x:v>962</x:v>
      </x:c>
      <x:c r="S69" s="3"/>
      <x:c r="T69" s="8" t="s">
        <x:v>63</x:v>
      </x:c>
      <x:c r="U69" s="1" t="s">
        <x:v>920</x:v>
      </x:c>
      <x:c r="V69" s="13">
        <x:v>9</x:v>
      </x:c>
      <x:c r="W69" s="1" t="s">
        <x:v>65</x:v>
      </x:c>
      <x:c r="X69" s="8" t="s">
        <x:v>66</x:v>
      </x:c>
      <x:c r="Y69" s="1" t="str">
        <x:v>Проверено автором исследования</x:v>
      </x:c>
      <x:c r="Z69" s="8" t="s">
        <x:v>963</x:v>
      </x:c>
      <x:c r="AA69" s="1" t="s">
        <x:v>922</x:v>
      </x:c>
      <x:c r="AB69" s="13">
        <x:v>2026</x:v>
      </x:c>
      <x:c r="AC69" s="3">
        <x:v>46322</x:v>
      </x:c>
      <x:c r="AD69" s="8" t="s">
        <x:v>69</x:v>
      </x:c>
      <x:c r="AE69" s="1" t="s">
        <x:v>964</x:v>
      </x:c>
      <x:c r="AF69" s="8" t="s">
        <x:v>118</x:v>
      </x:c>
      <x:c r="AG69" s="1" t="s">
        <x:v>924</x:v>
      </x:c>
      <x:c r="AH69" s="8" t="str">
        <x:v>Краткая затекстовая ссылка; повторная документальная сверка выполнена</x:v>
      </x:c>
      <x:c r="AI69" s="1"/>
      <x:c r="AJ69" s="17"/>
      <x:c r="AK69" s="1" t="s">
        <x:v>73</x:v>
      </x:c>
      <x:c r="AL69" s="8" t="s">
        <x:v>74</x:v>
      </x:c>
      <x:c r="AM69" s="1"/>
      <x:c r="AN69" s="8" t="s">
        <x:v>75</x:v>
      </x:c>
      <x:c r="AO69" s="1" t="s">
        <x:v>76</x:v>
      </x:c>
      <x:c r="AP69" s="8"/>
      <x:c r="AQ69" s="1" t="s">
        <x:v>77</x:v>
      </x:c>
      <x:c r="AR69" s="8" t="str">
        <x:v>Проверка автором исследования</x:v>
      </x:c>
      <x:c r="AS69" s="1" t="s">
        <x:v>965</x:v>
      </x:c>
      <x:c r="AT69" s="8" t="s">
        <x:v>966</x:v>
      </x:c>
      <x:c r="AU69" s="1" t="s">
        <x:v>967</x:v>
      </x:c>
      <x:c r="AV69" s="17">
        <x:v>46321</x:v>
      </x:c>
      <x:c r="AW69" s="1" t="s">
        <x:v>81</x:v>
      </x:c>
      <x:c r="AX69" s="8" t="s">
        <x:v>82</x:v>
      </x:c>
      <x:c r="AY69" s="8"/>
    </x:row>
    <x:row r="70" ht="69.94999694824219" customHeight="1">
      <x:c r="A70" s="1" t="s">
        <x:v>968</x:v>
      </x:c>
      <x:c r="B70" s="8" t="s">
        <x:v>969</x:v>
      </x:c>
      <x:c r="C70" s="1" t="s">
        <x:v>970</x:v>
      </x:c>
      <x:c r="D70" s="8" t="s">
        <x:v>53</x:v>
      </x:c>
      <x:c r="E70" s="1" t="s">
        <x:v>54</x:v>
      </x:c>
      <x:c r="F70" s="8" t="s">
        <x:v>971</x:v>
      </x:c>
      <x:c r="G70" s="1" t="s">
        <x:v>972</x:v>
      </x:c>
      <x:c r="H70" s="8" t="s">
        <x:v>973</x:v>
      </x:c>
      <x:c r="I70" s="4">
        <x:v>2021</x:v>
      </x:c>
      <x:c r="J70" s="8" t="s">
        <x:v>974</x:v>
      </x:c>
      <x:c r="K70" s="1" t="s">
        <x:v>975</x:v>
      </x:c>
      <x:c r="L70" s="8" t="s">
        <x:v>976</x:v>
      </x:c>
      <x:c r="M70" s="1" t="s">
        <x:v>61</x:v>
      </x:c>
      <x:c r="N70" s="8"/>
      <x:c r="O70" s="1"/>
      <x:c r="P70" s="8"/>
      <x:c r="Q70" s="1"/>
      <x:c r="R70" s="8" t="s">
        <x:v>977</x:v>
      </x:c>
      <x:c r="S70" s="3"/>
      <x:c r="T70" s="8" t="s">
        <x:v>63</x:v>
      </x:c>
      <x:c r="U70" s="1" t="s">
        <x:v>920</x:v>
      </x:c>
      <x:c r="V70" s="13">
        <x:v>13</x:v>
      </x:c>
      <x:c r="W70" s="1" t="s">
        <x:v>65</x:v>
      </x:c>
      <x:c r="X70" s="8" t="s">
        <x:v>66</x:v>
      </x:c>
      <x:c r="Y70" s="1" t="str">
        <x:v>Проверено автором исследования</x:v>
      </x:c>
      <x:c r="Z70" s="8" t="s">
        <x:v>978</x:v>
      </x:c>
      <x:c r="AA70" s="1" t="s">
        <x:v>922</x:v>
      </x:c>
      <x:c r="AB70" s="13">
        <x:v>2026</x:v>
      </x:c>
      <x:c r="AC70" s="3">
        <x:v>46322</x:v>
      </x:c>
      <x:c r="AD70" s="8" t="s">
        <x:v>69</x:v>
      </x:c>
      <x:c r="AE70" s="1" t="s">
        <x:v>979</x:v>
      </x:c>
      <x:c r="AF70" s="8" t="s">
        <x:v>118</x:v>
      </x:c>
      <x:c r="AG70" s="1" t="s">
        <x:v>924</x:v>
      </x:c>
      <x:c r="AH70" s="8" t="str">
        <x:v>Краткая затекстовая ссылка; повторная документальная сверка выполнена</x:v>
      </x:c>
      <x:c r="AI70" s="1"/>
      <x:c r="AJ70" s="17"/>
      <x:c r="AK70" s="1" t="s">
        <x:v>73</x:v>
      </x:c>
      <x:c r="AL70" s="8" t="s">
        <x:v>74</x:v>
      </x:c>
      <x:c r="AM70" s="1"/>
      <x:c r="AN70" s="8" t="s">
        <x:v>75</x:v>
      </x:c>
      <x:c r="AO70" s="1" t="s">
        <x:v>76</x:v>
      </x:c>
      <x:c r="AP70" s="8"/>
      <x:c r="AQ70" s="1" t="s">
        <x:v>77</x:v>
      </x:c>
      <x:c r="AR70" s="8" t="str">
        <x:v>Проверка автором исследования</x:v>
      </x:c>
      <x:c r="AS70" s="1" t="s">
        <x:v>980</x:v>
      </x:c>
      <x:c r="AT70" s="8" t="s">
        <x:v>981</x:v>
      </x:c>
      <x:c r="AU70" s="1" t="s">
        <x:v>982</x:v>
      </x:c>
      <x:c r="AV70" s="17">
        <x:v>46321</x:v>
      </x:c>
      <x:c r="AW70" s="1" t="s">
        <x:v>81</x:v>
      </x:c>
      <x:c r="AX70" s="8" t="s">
        <x:v>82</x:v>
      </x:c>
      <x:c r="AY70" s="8"/>
    </x:row>
    <x:row r="71" ht="69.94999694824219" customHeight="1">
      <x:c r="A71" s="1" t="s">
        <x:v>983</x:v>
      </x:c>
      <x:c r="B71" s="8" t="s">
        <x:v>984</x:v>
      </x:c>
      <x:c r="C71" s="1" t="s">
        <x:v>985</x:v>
      </x:c>
      <x:c r="D71" s="8" t="s">
        <x:v>53</x:v>
      </x:c>
      <x:c r="E71" s="1" t="s">
        <x:v>54</x:v>
      </x:c>
      <x:c r="F71" s="8" t="s">
        <x:v>986</x:v>
      </x:c>
      <x:c r="G71" s="1" t="s">
        <x:v>987</x:v>
      </x:c>
      <x:c r="H71" s="8" t="s">
        <x:v>988</x:v>
      </x:c>
      <x:c r="I71" s="4">
        <x:v>2025</x:v>
      </x:c>
      <x:c r="J71" s="8"/>
      <x:c r="K71" s="1" t="s">
        <x:v>975</x:v>
      </x:c>
      <x:c r="L71" s="8" t="s">
        <x:v>989</x:v>
      </x:c>
      <x:c r="M71" s="1" t="s">
        <x:v>61</x:v>
      </x:c>
      <x:c r="N71" s="8"/>
      <x:c r="O71" s="1"/>
      <x:c r="P71" s="8"/>
      <x:c r="Q71" s="1"/>
      <x:c r="R71" s="8" t="s">
        <x:v>990</x:v>
      </x:c>
      <x:c r="S71" s="3"/>
      <x:c r="T71" s="8" t="s">
        <x:v>63</x:v>
      </x:c>
      <x:c r="U71" s="1" t="s">
        <x:v>920</x:v>
      </x:c>
      <x:c r="V71" s="13">
        <x:v>15</x:v>
      </x:c>
      <x:c r="W71" s="1" t="s">
        <x:v>65</x:v>
      </x:c>
      <x:c r="X71" s="8" t="s">
        <x:v>66</x:v>
      </x:c>
      <x:c r="Y71" s="1" t="str">
        <x:v>Проверено автором исследования</x:v>
      </x:c>
      <x:c r="Z71" s="8" t="s">
        <x:v>991</x:v>
      </x:c>
      <x:c r="AA71" s="1" t="s">
        <x:v>922</x:v>
      </x:c>
      <x:c r="AB71" s="13">
        <x:v>2026</x:v>
      </x:c>
      <x:c r="AC71" s="3">
        <x:v>46322</x:v>
      </x:c>
      <x:c r="AD71" s="8" t="s">
        <x:v>69</x:v>
      </x:c>
      <x:c r="AE71" s="1" t="s">
        <x:v>992</x:v>
      </x:c>
      <x:c r="AF71" s="8" t="s">
        <x:v>118</x:v>
      </x:c>
      <x:c r="AG71" s="1" t="s">
        <x:v>924</x:v>
      </x:c>
      <x:c r="AH71" s="8" t="str">
        <x:v>Краткая затекстовая ссылка; повторная документальная сверка выполнена</x:v>
      </x:c>
      <x:c r="AI71" s="1"/>
      <x:c r="AJ71" s="17"/>
      <x:c r="AK71" s="1" t="s">
        <x:v>73</x:v>
      </x:c>
      <x:c r="AL71" s="8" t="s">
        <x:v>74</x:v>
      </x:c>
      <x:c r="AM71" s="1"/>
      <x:c r="AN71" s="8" t="s">
        <x:v>75</x:v>
      </x:c>
      <x:c r="AO71" s="1" t="s">
        <x:v>76</x:v>
      </x:c>
      <x:c r="AP71" s="8"/>
      <x:c r="AQ71" s="1" t="s">
        <x:v>77</x:v>
      </x:c>
      <x:c r="AR71" s="8" t="str">
        <x:v>Проверка автором исследования</x:v>
      </x:c>
      <x:c r="AS71" s="1" t="s">
        <x:v>993</x:v>
      </x:c>
      <x:c r="AT71" s="8" t="s">
        <x:v>994</x:v>
      </x:c>
      <x:c r="AU71" s="1" t="s">
        <x:v>995</x:v>
      </x:c>
      <x:c r="AV71" s="17">
        <x:v>46321</x:v>
      </x:c>
      <x:c r="AW71" s="1" t="s">
        <x:v>81</x:v>
      </x:c>
      <x:c r="AX71" s="8" t="s">
        <x:v>82</x:v>
      </x:c>
      <x:c r="AY71" s="8"/>
    </x:row>
    <x:row r="72" ht="98.0999984741211" customHeight="1">
      <x:c r="A72" s="1" t="s">
        <x:v>996</x:v>
      </x:c>
      <x:c r="B72" s="8" t="s">
        <x:v>997</x:v>
      </x:c>
      <x:c r="C72" s="1" t="s">
        <x:v>998</x:v>
      </x:c>
      <x:c r="D72" s="8" t="s">
        <x:v>53</x:v>
      </x:c>
      <x:c r="E72" s="1" t="s">
        <x:v>54</x:v>
      </x:c>
      <x:c r="F72" s="8" t="s">
        <x:v>999</x:v>
      </x:c>
      <x:c r="G72" s="1" t="s">
        <x:v>1000</x:v>
      </x:c>
      <x:c r="H72" s="8" t="s">
        <x:v>1001</x:v>
      </x:c>
      <x:c r="I72" s="4">
        <x:v>2025</x:v>
      </x:c>
      <x:c r="J72" s="8"/>
      <x:c r="K72" s="1" t="s">
        <x:v>1002</x:v>
      </x:c>
      <x:c r="L72" s="8" t="s">
        <x:v>1003</x:v>
      </x:c>
      <x:c r="M72" s="1" t="s">
        <x:v>61</x:v>
      </x:c>
      <x:c r="N72" s="8"/>
      <x:c r="O72" s="1"/>
      <x:c r="P72" s="8"/>
      <x:c r="Q72" s="1"/>
      <x:c r="R72" s="8" t="s">
        <x:v>1004</x:v>
      </x:c>
      <x:c r="S72" s="3"/>
      <x:c r="T72" s="8" t="s">
        <x:v>63</x:v>
      </x:c>
      <x:c r="U72" s="1" t="s">
        <x:v>1005</x:v>
      </x:c>
      <x:c r="V72" s="13">
        <x:v>1</x:v>
      </x:c>
      <x:c r="W72" s="1" t="s">
        <x:v>65</x:v>
      </x:c>
      <x:c r="X72" s="8" t="s">
        <x:v>66</x:v>
      </x:c>
      <x:c r="Y72" s="1" t="str">
        <x:v>Проверено автором исследования</x:v>
      </x:c>
      <x:c r="Z72" s="8" t="s">
        <x:v>1006</x:v>
      </x:c>
      <x:c r="AA72" s="1" t="s">
        <x:v>1007</x:v>
      </x:c>
      <x:c r="AB72" s="13">
        <x:v>2026</x:v>
      </x:c>
      <x:c r="AC72" s="3">
        <x:v>46322</x:v>
      </x:c>
      <x:c r="AD72" s="8" t="s">
        <x:v>69</x:v>
      </x:c>
      <x:c r="AE72" s="1" t="s">
        <x:v>1008</x:v>
      </x:c>
      <x:c r="AF72" s="8" t="s">
        <x:v>118</x:v>
      </x:c>
      <x:c r="AG72" s="1" t="s">
        <x:v>1009</x:v>
      </x:c>
      <x:c r="AH72" s="8" t="str">
        <x:v>Краткая затекстовая ссылка; повторная документальная сверка выполнена</x:v>
      </x:c>
      <x:c r="AI72" s="1"/>
      <x:c r="AJ72" s="17"/>
      <x:c r="AK72" s="1" t="s">
        <x:v>73</x:v>
      </x:c>
      <x:c r="AL72" s="8" t="s">
        <x:v>74</x:v>
      </x:c>
      <x:c r="AM72" s="1"/>
      <x:c r="AN72" s="8" t="s">
        <x:v>75</x:v>
      </x:c>
      <x:c r="AO72" s="1" t="s">
        <x:v>76</x:v>
      </x:c>
      <x:c r="AP72" s="8"/>
      <x:c r="AQ72" s="1" t="s">
        <x:v>77</x:v>
      </x:c>
      <x:c r="AR72" s="8" t="str">
        <x:v>Проверка автором исследования</x:v>
      </x:c>
      <x:c r="AS72" s="1" t="s">
        <x:v>1010</x:v>
      </x:c>
      <x:c r="AT72" s="8" t="s">
        <x:v>1011</x:v>
      </x:c>
      <x:c r="AU72" s="1" t="s">
        <x:v>1012</x:v>
      </x:c>
      <x:c r="AV72" s="17">
        <x:v>46321</x:v>
      </x:c>
      <x:c r="AW72" s="1" t="s">
        <x:v>81</x:v>
      </x:c>
      <x:c r="AX72" s="8" t="s">
        <x:v>82</x:v>
      </x:c>
      <x:c r="AY72" s="8"/>
    </x:row>
    <x:row r="73" ht="69.94999694824219" customHeight="1">
      <x:c r="A73" s="1" t="s">
        <x:v>1013</x:v>
      </x:c>
      <x:c r="B73" s="8" t="s">
        <x:v>1014</x:v>
      </x:c>
      <x:c r="C73" s="1" t="s">
        <x:v>1015</x:v>
      </x:c>
      <x:c r="D73" s="8" t="s">
        <x:v>73</x:v>
      </x:c>
      <x:c r="E73" s="1" t="s">
        <x:v>76</x:v>
      </x:c>
      <x:c r="F73" s="8" t="s">
        <x:v>1016</x:v>
      </x:c>
      <x:c r="G73" s="1" t="s">
        <x:v>1017</x:v>
      </x:c>
      <x:c r="H73" s="8" t="s">
        <x:v>1018</x:v>
      </x:c>
      <x:c r="I73" s="4">
        <x:v>2015</x:v>
      </x:c>
      <x:c r="J73" s="8"/>
      <x:c r="K73" s="1" t="s">
        <x:v>190</x:v>
      </x:c>
      <x:c r="L73" s="8" t="s">
        <x:v>1019</x:v>
      </x:c>
      <x:c r="M73" s="1" t="s">
        <x:v>61</x:v>
      </x:c>
      <x:c r="N73" s="8"/>
      <x:c r="O73" s="1"/>
      <x:c r="P73" s="8"/>
      <x:c r="Q73" s="1"/>
      <x:c r="R73" s="8"/>
      <x:c r="S73" s="3"/>
      <x:c r="T73" s="8" t="s">
        <x:v>63</x:v>
      </x:c>
      <x:c r="U73" s="1" t="s">
        <x:v>1005</x:v>
      </x:c>
      <x:c r="V73" s="13">
        <x:v>5</x:v>
      </x:c>
      <x:c r="W73" s="1" t="s">
        <x:v>65</x:v>
      </x:c>
      <x:c r="X73" s="8" t="s">
        <x:v>66</x:v>
      </x:c>
      <x:c r="Y73" s="1" t="str">
        <x:v>Проверено автором исследования</x:v>
      </x:c>
      <x:c r="Z73" s="8"/>
      <x:c r="AA73" s="1" t="s">
        <x:v>1007</x:v>
      </x:c>
      <x:c r="AB73" s="13">
        <x:v>2026</x:v>
      </x:c>
      <x:c r="AC73" s="3"/>
      <x:c r="AD73" s="8" t="s">
        <x:v>93</x:v>
      </x:c>
      <x:c r="AE73" s="1" t="s">
        <x:v>1020</x:v>
      </x:c>
      <x:c r="AF73" s="8" t="s">
        <x:v>118</x:v>
      </x:c>
      <x:c r="AG73" s="1" t="s">
        <x:v>1009</x:v>
      </x:c>
      <x:c r="AH73" s="8" t="str">
        <x:v>Краткая затекстовая ссылка; повторная документальная сверка выполнена</x:v>
      </x:c>
      <x:c r="AI73" s="1"/>
      <x:c r="AJ73" s="17"/>
      <x:c r="AK73" s="1" t="s">
        <x:v>73</x:v>
      </x:c>
      <x:c r="AL73" s="8" t="s">
        <x:v>74</x:v>
      </x:c>
      <x:c r="AM73" s="1"/>
      <x:c r="AN73" s="8" t="s">
        <x:v>95</x:v>
      </x:c>
      <x:c r="AO73" s="1" t="s">
        <x:v>76</x:v>
      </x:c>
      <x:c r="AP73" s="8"/>
      <x:c r="AQ73" s="1" t="s">
        <x:v>77</x:v>
      </x:c>
      <x:c r="AR73" s="8" t="str">
        <x:v>Проверка автором исследования</x:v>
      </x:c>
      <x:c r="AS73" s="1"/>
      <x:c r="AT73" s="8" t="s">
        <x:v>96</x:v>
      </x:c>
      <x:c r="AU73" s="1" t="s">
        <x:v>97</x:v>
      </x:c>
      <x:c r="AV73" s="17"/>
      <x:c r="AW73" s="1" t="s">
        <x:v>98</x:v>
      </x:c>
      <x:c r="AX73" s="8" t="s">
        <x:v>82</x:v>
      </x:c>
      <x:c r="AY73" s="8"/>
    </x:row>
    <x:row r="74" ht="69.94999694824219" customHeight="1">
      <x:c r="A74" s="1" t="s">
        <x:v>1021</x:v>
      </x:c>
      <x:c r="B74" s="8" t="s">
        <x:v>1022</x:v>
      </x:c>
      <x:c r="C74" s="1" t="s">
        <x:v>1023</x:v>
      </x:c>
      <x:c r="D74" s="8" t="s">
        <x:v>53</x:v>
      </x:c>
      <x:c r="E74" s="1" t="s">
        <x:v>54</x:v>
      </x:c>
      <x:c r="F74" s="8" t="s">
        <x:v>1024</x:v>
      </x:c>
      <x:c r="G74" s="1" t="s">
        <x:v>1025</x:v>
      </x:c>
      <x:c r="H74" s="8" t="s">
        <x:v>1026</x:v>
      </x:c>
      <x:c r="I74" s="4">
        <x:v>2023</x:v>
      </x:c>
      <x:c r="J74" s="8" t="s">
        <x:v>58</x:v>
      </x:c>
      <x:c r="K74" s="1" t="s">
        <x:v>1027</x:v>
      </x:c>
      <x:c r="L74" s="8" t="s">
        <x:v>1028</x:v>
      </x:c>
      <x:c r="M74" s="1" t="s">
        <x:v>61</x:v>
      </x:c>
      <x:c r="N74" s="8"/>
      <x:c r="O74" s="1"/>
      <x:c r="P74" s="8"/>
      <x:c r="Q74" s="1"/>
      <x:c r="R74" s="8" t="s">
        <x:v>1029</x:v>
      </x:c>
      <x:c r="S74" s="3"/>
      <x:c r="T74" s="8" t="s">
        <x:v>63</x:v>
      </x:c>
      <x:c r="U74" s="1" t="s">
        <x:v>1030</x:v>
      </x:c>
      <x:c r="V74" s="13">
        <x:v>3</x:v>
      </x:c>
      <x:c r="W74" s="1" t="s">
        <x:v>65</x:v>
      </x:c>
      <x:c r="X74" s="8" t="s">
        <x:v>66</x:v>
      </x:c>
      <x:c r="Y74" s="1" t="str">
        <x:v>Проверено автором исследования</x:v>
      </x:c>
      <x:c r="Z74" s="8" t="s">
        <x:v>1031</x:v>
      </x:c>
      <x:c r="AA74" s="1" t="s">
        <x:v>1032</x:v>
      </x:c>
      <x:c r="AB74" s="13">
        <x:v>2026</x:v>
      </x:c>
      <x:c r="AC74" s="3">
        <x:v>46322</x:v>
      </x:c>
      <x:c r="AD74" s="8" t="s">
        <x:v>69</x:v>
      </x:c>
      <x:c r="AE74" s="1" t="s">
        <x:v>1033</x:v>
      </x:c>
      <x:c r="AF74" s="8" t="s">
        <x:v>118</x:v>
      </x:c>
      <x:c r="AG74" s="1" t="s">
        <x:v>1034</x:v>
      </x:c>
      <x:c r="AH74" s="8" t="str">
        <x:v>Краткая затекстовая ссылка; повторная документальная сверка выполнена</x:v>
      </x:c>
      <x:c r="AI74" s="1"/>
      <x:c r="AJ74" s="17"/>
      <x:c r="AK74" s="1" t="s">
        <x:v>73</x:v>
      </x:c>
      <x:c r="AL74" s="8" t="s">
        <x:v>74</x:v>
      </x:c>
      <x:c r="AM74" s="1"/>
      <x:c r="AN74" s="8" t="s">
        <x:v>75</x:v>
      </x:c>
      <x:c r="AO74" s="1" t="s">
        <x:v>76</x:v>
      </x:c>
      <x:c r="AP74" s="8"/>
      <x:c r="AQ74" s="1" t="s">
        <x:v>77</x:v>
      </x:c>
      <x:c r="AR74" s="8" t="str">
        <x:v>Проверка автором исследования</x:v>
      </x:c>
      <x:c r="AS74" s="1" t="s">
        <x:v>1035</x:v>
      </x:c>
      <x:c r="AT74" s="8" t="s">
        <x:v>1036</x:v>
      </x:c>
      <x:c r="AU74" s="1" t="s">
        <x:v>1037</x:v>
      </x:c>
      <x:c r="AV74" s="17">
        <x:v>46321</x:v>
      </x:c>
      <x:c r="AW74" s="1" t="s">
        <x:v>81</x:v>
      </x:c>
      <x:c r="AX74" s="8" t="s">
        <x:v>82</x:v>
      </x:c>
      <x:c r="AY74" s="8"/>
    </x:row>
    <x:row r="75" ht="84" customHeight="1">
      <x:c r="A75" s="1" t="s">
        <x:v>1038</x:v>
      </x:c>
      <x:c r="B75" s="8" t="s">
        <x:v>1039</x:v>
      </x:c>
      <x:c r="C75" s="1" t="s">
        <x:v>1040</x:v>
      </x:c>
      <x:c r="D75" s="8" t="s">
        <x:v>53</x:v>
      </x:c>
      <x:c r="E75" s="1" t="s">
        <x:v>54</x:v>
      </x:c>
      <x:c r="F75" s="8" t="s">
        <x:v>1041</x:v>
      </x:c>
      <x:c r="G75" s="1" t="s">
        <x:v>1042</x:v>
      </x:c>
      <x:c r="H75" s="8" t="s">
        <x:v>1043</x:v>
      </x:c>
      <x:c r="I75" s="4">
        <x:v>2020</x:v>
      </x:c>
      <x:c r="J75" s="8" t="s">
        <x:v>1044</x:v>
      </x:c>
      <x:c r="K75" s="1" t="s">
        <x:v>190</x:v>
      </x:c>
      <x:c r="L75" s="8" t="s">
        <x:v>1045</x:v>
      </x:c>
      <x:c r="M75" s="1" t="s">
        <x:v>61</x:v>
      </x:c>
      <x:c r="N75" s="8"/>
      <x:c r="O75" s="1"/>
      <x:c r="P75" s="8"/>
      <x:c r="Q75" s="1"/>
      <x:c r="R75" s="8" t="s">
        <x:v>1046</x:v>
      </x:c>
      <x:c r="S75" s="3"/>
      <x:c r="T75" s="8" t="s">
        <x:v>63</x:v>
      </x:c>
      <x:c r="U75" s="1" t="s">
        <x:v>1030</x:v>
      </x:c>
      <x:c r="V75" s="13">
        <x:v>5</x:v>
      </x:c>
      <x:c r="W75" s="1" t="s">
        <x:v>65</x:v>
      </x:c>
      <x:c r="X75" s="8" t="s">
        <x:v>66</x:v>
      </x:c>
      <x:c r="Y75" s="1" t="str">
        <x:v>Проверено автором исследования</x:v>
      </x:c>
      <x:c r="Z75" s="8" t="s">
        <x:v>1047</x:v>
      </x:c>
      <x:c r="AA75" s="1" t="s">
        <x:v>1032</x:v>
      </x:c>
      <x:c r="AB75" s="13">
        <x:v>2026</x:v>
      </x:c>
      <x:c r="AC75" s="3">
        <x:v>46322</x:v>
      </x:c>
      <x:c r="AD75" s="8" t="s">
        <x:v>69</x:v>
      </x:c>
      <x:c r="AE75" s="1" t="s">
        <x:v>1048</x:v>
      </x:c>
      <x:c r="AF75" s="8" t="s">
        <x:v>118</x:v>
      </x:c>
      <x:c r="AG75" s="1" t="s">
        <x:v>1034</x:v>
      </x:c>
      <x:c r="AH75" s="8" t="str">
        <x:v>Краткая затекстовая ссылка; повторная документальная сверка выполнена</x:v>
      </x:c>
      <x:c r="AI75" s="1"/>
      <x:c r="AJ75" s="17"/>
      <x:c r="AK75" s="1" t="s">
        <x:v>73</x:v>
      </x:c>
      <x:c r="AL75" s="8" t="s">
        <x:v>74</x:v>
      </x:c>
      <x:c r="AM75" s="1"/>
      <x:c r="AN75" s="8" t="s">
        <x:v>75</x:v>
      </x:c>
      <x:c r="AO75" s="1" t="s">
        <x:v>76</x:v>
      </x:c>
      <x:c r="AP75" s="8"/>
      <x:c r="AQ75" s="1" t="s">
        <x:v>77</x:v>
      </x:c>
      <x:c r="AR75" s="8" t="str">
        <x:v>Проверка автором исследования</x:v>
      </x:c>
      <x:c r="AS75" s="1" t="s">
        <x:v>1049</x:v>
      </x:c>
      <x:c r="AT75" s="8" t="s">
        <x:v>1050</x:v>
      </x:c>
      <x:c r="AU75" s="1" t="s">
        <x:v>1051</x:v>
      </x:c>
      <x:c r="AV75" s="17">
        <x:v>46321</x:v>
      </x:c>
      <x:c r="AW75" s="1" t="s">
        <x:v>81</x:v>
      </x:c>
      <x:c r="AX75" s="8" t="s">
        <x:v>82</x:v>
      </x:c>
      <x:c r="AY75" s="8"/>
    </x:row>
    <x:row r="76" ht="69.94999694824219" customHeight="1">
      <x:c r="A76" s="1" t="s">
        <x:v>1052</x:v>
      </x:c>
      <x:c r="B76" s="8" t="s">
        <x:v>1053</x:v>
      </x:c>
      <x:c r="C76" s="1" t="s">
        <x:v>1054</x:v>
      </x:c>
      <x:c r="D76" s="8" t="s">
        <x:v>53</x:v>
      </x:c>
      <x:c r="E76" s="1" t="s">
        <x:v>54</x:v>
      </x:c>
      <x:c r="F76" s="8" t="s">
        <x:v>1055</x:v>
      </x:c>
      <x:c r="G76" s="1" t="s">
        <x:v>1056</x:v>
      </x:c>
      <x:c r="H76" s="8" t="s">
        <x:v>1026</x:v>
      </x:c>
      <x:c r="I76" s="4">
        <x:v>2025</x:v>
      </x:c>
      <x:c r="J76" s="8" t="s">
        <x:v>1057</x:v>
      </x:c>
      <x:c r="K76" s="1" t="s">
        <x:v>1058</x:v>
      </x:c>
      <x:c r="L76" s="8" t="s">
        <x:v>1059</x:v>
      </x:c>
      <x:c r="M76" s="1" t="s">
        <x:v>61</x:v>
      </x:c>
      <x:c r="N76" s="8"/>
      <x:c r="O76" s="1"/>
      <x:c r="P76" s="8"/>
      <x:c r="Q76" s="1"/>
      <x:c r="R76" s="8" t="s">
        <x:v>1060</x:v>
      </x:c>
      <x:c r="S76" s="3"/>
      <x:c r="T76" s="8" t="s">
        <x:v>63</x:v>
      </x:c>
      <x:c r="U76" s="1" t="s">
        <x:v>1030</x:v>
      </x:c>
      <x:c r="V76" s="13">
        <x:v>8</x:v>
      </x:c>
      <x:c r="W76" s="1" t="s">
        <x:v>65</x:v>
      </x:c>
      <x:c r="X76" s="8" t="s">
        <x:v>66</x:v>
      </x:c>
      <x:c r="Y76" s="1" t="str">
        <x:v>Проверено автором исследования</x:v>
      </x:c>
      <x:c r="Z76" s="8" t="s">
        <x:v>1061</x:v>
      </x:c>
      <x:c r="AA76" s="1" t="s">
        <x:v>1032</x:v>
      </x:c>
      <x:c r="AB76" s="13">
        <x:v>2026</x:v>
      </x:c>
      <x:c r="AC76" s="3">
        <x:v>46322</x:v>
      </x:c>
      <x:c r="AD76" s="8" t="s">
        <x:v>69</x:v>
      </x:c>
      <x:c r="AE76" s="1" t="s">
        <x:v>1062</x:v>
      </x:c>
      <x:c r="AF76" s="8" t="s">
        <x:v>118</x:v>
      </x:c>
      <x:c r="AG76" s="1" t="s">
        <x:v>1034</x:v>
      </x:c>
      <x:c r="AH76" s="8" t="str">
        <x:v>Краткая затекстовая ссылка; повторная документальная сверка выполнена</x:v>
      </x:c>
      <x:c r="AI76" s="1"/>
      <x:c r="AJ76" s="17"/>
      <x:c r="AK76" s="1" t="s">
        <x:v>73</x:v>
      </x:c>
      <x:c r="AL76" s="8" t="s">
        <x:v>74</x:v>
      </x:c>
      <x:c r="AM76" s="1"/>
      <x:c r="AN76" s="8" t="s">
        <x:v>75</x:v>
      </x:c>
      <x:c r="AO76" s="1" t="s">
        <x:v>76</x:v>
      </x:c>
      <x:c r="AP76" s="8"/>
      <x:c r="AQ76" s="1" t="s">
        <x:v>77</x:v>
      </x:c>
      <x:c r="AR76" s="8" t="str">
        <x:v>Проверка автором исследования</x:v>
      </x:c>
      <x:c r="AS76" s="1" t="s">
        <x:v>1063</x:v>
      </x:c>
      <x:c r="AT76" s="8" t="s">
        <x:v>1064</x:v>
      </x:c>
      <x:c r="AU76" s="1" t="s">
        <x:v>1065</x:v>
      </x:c>
      <x:c r="AV76" s="17">
        <x:v>46321</x:v>
      </x:c>
      <x:c r="AW76" s="1" t="s">
        <x:v>81</x:v>
      </x:c>
      <x:c r="AX76" s="8" t="s">
        <x:v>82</x:v>
      </x:c>
      <x:c r="AY76" s="8"/>
    </x:row>
    <x:row r="77" ht="111.94999694824219" customHeight="1">
      <x:c r="A77" s="1" t="s">
        <x:v>1066</x:v>
      </x:c>
      <x:c r="B77" s="8" t="s">
        <x:v>1067</x:v>
      </x:c>
      <x:c r="C77" s="1" t="s">
        <x:v>1068</x:v>
      </x:c>
      <x:c r="D77" s="8" t="s">
        <x:v>53</x:v>
      </x:c>
      <x:c r="E77" s="1" t="s">
        <x:v>54</x:v>
      </x:c>
      <x:c r="F77" s="8" t="s">
        <x:v>1069</x:v>
      </x:c>
      <x:c r="G77" s="1" t="s">
        <x:v>1070</x:v>
      </x:c>
      <x:c r="H77" s="8" t="s">
        <x:v>1071</x:v>
      </x:c>
      <x:c r="I77" s="4">
        <x:v>2025</x:v>
      </x:c>
      <x:c r="J77" s="8"/>
      <x:c r="K77" s="1" t="s">
        <x:v>1072</x:v>
      </x:c>
      <x:c r="L77" s="8" t="s">
        <x:v>1073</x:v>
      </x:c>
      <x:c r="M77" s="1" t="s">
        <x:v>61</x:v>
      </x:c>
      <x:c r="N77" s="8"/>
      <x:c r="O77" s="1"/>
      <x:c r="P77" s="8"/>
      <x:c r="Q77" s="1"/>
      <x:c r="R77" s="8" t="s">
        <x:v>1074</x:v>
      </x:c>
      <x:c r="S77" s="3"/>
      <x:c r="T77" s="8" t="s">
        <x:v>63</x:v>
      </x:c>
      <x:c r="U77" s="1" t="s">
        <x:v>1030</x:v>
      </x:c>
      <x:c r="V77" s="13">
        <x:v>11</x:v>
      </x:c>
      <x:c r="W77" s="1" t="s">
        <x:v>65</x:v>
      </x:c>
      <x:c r="X77" s="8" t="s">
        <x:v>66</x:v>
      </x:c>
      <x:c r="Y77" s="1" t="str">
        <x:v>Проверено автором исследования</x:v>
      </x:c>
      <x:c r="Z77" s="8" t="s">
        <x:v>1075</x:v>
      </x:c>
      <x:c r="AA77" s="1" t="s">
        <x:v>1032</x:v>
      </x:c>
      <x:c r="AB77" s="13">
        <x:v>2026</x:v>
      </x:c>
      <x:c r="AC77" s="3">
        <x:v>46322</x:v>
      </x:c>
      <x:c r="AD77" s="8" t="s">
        <x:v>69</x:v>
      </x:c>
      <x:c r="AE77" s="1" t="s">
        <x:v>1076</x:v>
      </x:c>
      <x:c r="AF77" s="8" t="s">
        <x:v>118</x:v>
      </x:c>
      <x:c r="AG77" s="1" t="s">
        <x:v>1034</x:v>
      </x:c>
      <x:c r="AH77" s="8" t="str">
        <x:v>Краткая затекстовая ссылка; повторная документальная сверка выполнена</x:v>
      </x:c>
      <x:c r="AI77" s="1"/>
      <x:c r="AJ77" s="17"/>
      <x:c r="AK77" s="1" t="s">
        <x:v>73</x:v>
      </x:c>
      <x:c r="AL77" s="8" t="s">
        <x:v>74</x:v>
      </x:c>
      <x:c r="AM77" s="1"/>
      <x:c r="AN77" s="8" t="s">
        <x:v>75</x:v>
      </x:c>
      <x:c r="AO77" s="1" t="s">
        <x:v>76</x:v>
      </x:c>
      <x:c r="AP77" s="8"/>
      <x:c r="AQ77" s="1" t="s">
        <x:v>77</x:v>
      </x:c>
      <x:c r="AR77" s="8" t="str">
        <x:v>Проверка автором исследования</x:v>
      </x:c>
      <x:c r="AS77" s="1" t="s">
        <x:v>1077</x:v>
      </x:c>
      <x:c r="AT77" s="8" t="s">
        <x:v>1078</x:v>
      </x:c>
      <x:c r="AU77" s="1" t="s">
        <x:v>1079</x:v>
      </x:c>
      <x:c r="AV77" s="17">
        <x:v>46321</x:v>
      </x:c>
      <x:c r="AW77" s="1" t="s">
        <x:v>81</x:v>
      </x:c>
      <x:c r="AX77" s="8" t="s">
        <x:v>82</x:v>
      </x:c>
      <x:c r="AY77" s="8"/>
    </x:row>
    <x:row r="78" ht="69.94999694824219" customHeight="1">
      <x:c r="A78" s="1" t="s">
        <x:v>1080</x:v>
      </x:c>
      <x:c r="B78" s="8" t="s">
        <x:v>1081</x:v>
      </x:c>
      <x:c r="C78" s="1" t="s">
        <x:v>1082</x:v>
      </x:c>
      <x:c r="D78" s="8" t="s">
        <x:v>73</x:v>
      </x:c>
      <x:c r="E78" s="1" t="s">
        <x:v>76</x:v>
      </x:c>
      <x:c r="F78" s="8" t="s">
        <x:v>1083</x:v>
      </x:c>
      <x:c r="G78" s="1" t="s">
        <x:v>1084</x:v>
      </x:c>
      <x:c r="H78" s="8" t="s">
        <x:v>1085</x:v>
      </x:c>
      <x:c r="I78" s="4">
        <x:v>2023</x:v>
      </x:c>
      <x:c r="J78" s="8"/>
      <x:c r="K78" s="1" t="s">
        <x:v>239</x:v>
      </x:c>
      <x:c r="L78" s="8" t="s">
        <x:v>1086</x:v>
      </x:c>
      <x:c r="M78" s="1" t="s">
        <x:v>61</x:v>
      </x:c>
      <x:c r="N78" s="8"/>
      <x:c r="O78" s="1"/>
      <x:c r="P78" s="8"/>
      <x:c r="Q78" s="1"/>
      <x:c r="R78" s="8"/>
      <x:c r="S78" s="3"/>
      <x:c r="T78" s="8" t="s">
        <x:v>63</x:v>
      </x:c>
      <x:c r="U78" s="1" t="s">
        <x:v>1030</x:v>
      </x:c>
      <x:c r="V78" s="13">
        <x:v>13</x:v>
      </x:c>
      <x:c r="W78" s="1" t="s">
        <x:v>140</x:v>
      </x:c>
      <x:c r="X78" s="8" t="s">
        <x:v>66</x:v>
      </x:c>
      <x:c r="Y78" s="1" t="str">
        <x:v>Проверено автором; дополнительно проверено Михаилом Саяпиным</x:v>
      </x:c>
      <x:c r="Z78" s="8"/>
      <x:c r="AA78" s="1" t="s">
        <x:v>1032</x:v>
      </x:c>
      <x:c r="AB78" s="13">
        <x:v>2026</x:v>
      </x:c>
      <x:c r="AC78" s="3"/>
      <x:c r="AD78" s="8" t="s">
        <x:v>93</x:v>
      </x:c>
      <x:c r="AE78" s="1" t="s">
        <x:v>1087</x:v>
      </x:c>
      <x:c r="AF78" s="8" t="s">
        <x:v>118</x:v>
      </x:c>
      <x:c r="AG78" s="1" t="s">
        <x:v>1034</x:v>
      </x:c>
      <x:c r="AH78" s="8" t="s">
        <x:v>144</x:v>
      </x:c>
      <x:c r="AI78" s="1" t="s">
        <x:v>145</x:v>
      </x:c>
      <x:c r="AJ78" s="17">
        <x:v>46323</x:v>
      </x:c>
      <x:c r="AK78" s="1" t="s">
        <x:v>73</x:v>
      </x:c>
      <x:c r="AL78" s="8" t="s">
        <x:v>74</x:v>
      </x:c>
      <x:c r="AM78" s="1"/>
      <x:c r="AN78" s="8" t="s">
        <x:v>95</x:v>
      </x:c>
      <x:c r="AO78" s="1" t="s">
        <x:v>76</x:v>
      </x:c>
      <x:c r="AP78" s="8"/>
      <x:c r="AQ78" s="1" t="s">
        <x:v>77</x:v>
      </x:c>
      <x:c r="AR78" s="8" t="str">
        <x:v>Проверка автором исследования; дополнительная проверка Михаилом Саяпиным; согласование 28.10.2026</x:v>
      </x:c>
      <x:c r="AS78" s="1"/>
      <x:c r="AT78" s="8" t="s">
        <x:v>96</x:v>
      </x:c>
      <x:c r="AU78" s="1" t="s">
        <x:v>97</x:v>
      </x:c>
      <x:c r="AV78" s="17"/>
      <x:c r="AW78" s="1" t="s">
        <x:v>98</x:v>
      </x:c>
      <x:c r="AX78" s="8" t="s">
        <x:v>146</x:v>
      </x:c>
      <x:c r="AY78" s="8" t="s">
        <x:v>1088</x:v>
      </x:c>
    </x:row>
    <x:row r="79" ht="69.94999694824219" customHeight="1">
      <x:c r="A79" s="1" t="s">
        <x:v>1089</x:v>
      </x:c>
      <x:c r="B79" s="8" t="s">
        <x:v>1090</x:v>
      </x:c>
      <x:c r="C79" s="1" t="s">
        <x:v>1091</x:v>
      </x:c>
      <x:c r="D79" s="8" t="s">
        <x:v>73</x:v>
      </x:c>
      <x:c r="E79" s="1" t="s">
        <x:v>76</x:v>
      </x:c>
      <x:c r="F79" s="8" t="s">
        <x:v>1092</x:v>
      </x:c>
      <x:c r="G79" s="1" t="s">
        <x:v>1093</x:v>
      </x:c>
      <x:c r="H79" s="8" t="s">
        <x:v>1094</x:v>
      </x:c>
      <x:c r="I79" s="4">
        <x:v>2024</x:v>
      </x:c>
      <x:c r="J79" s="8"/>
      <x:c r="K79" s="1" t="s">
        <x:v>1095</x:v>
      </x:c>
      <x:c r="L79" s="8" t="s">
        <x:v>1096</x:v>
      </x:c>
      <x:c r="M79" s="1" t="s">
        <x:v>61</x:v>
      </x:c>
      <x:c r="N79" s="8"/>
      <x:c r="O79" s="1"/>
      <x:c r="P79" s="8"/>
      <x:c r="Q79" s="1"/>
      <x:c r="R79" s="8"/>
      <x:c r="S79" s="3"/>
      <x:c r="T79" s="8" t="s">
        <x:v>63</x:v>
      </x:c>
      <x:c r="U79" s="1" t="s">
        <x:v>1030</x:v>
      </x:c>
      <x:c r="V79" s="13">
        <x:v>14</x:v>
      </x:c>
      <x:c r="W79" s="1" t="s">
        <x:v>65</x:v>
      </x:c>
      <x:c r="X79" s="8" t="s">
        <x:v>66</x:v>
      </x:c>
      <x:c r="Y79" s="1" t="str">
        <x:v>Проверено автором исследования</x:v>
      </x:c>
      <x:c r="Z79" s="8"/>
      <x:c r="AA79" s="1" t="s">
        <x:v>1032</x:v>
      </x:c>
      <x:c r="AB79" s="13">
        <x:v>2026</x:v>
      </x:c>
      <x:c r="AC79" s="3"/>
      <x:c r="AD79" s="8" t="s">
        <x:v>93</x:v>
      </x:c>
      <x:c r="AE79" s="1" t="s">
        <x:v>1097</x:v>
      </x:c>
      <x:c r="AF79" s="8" t="s">
        <x:v>118</x:v>
      </x:c>
      <x:c r="AG79" s="1" t="s">
        <x:v>1034</x:v>
      </x:c>
      <x:c r="AH79" s="8" t="str">
        <x:v>Краткая затекстовая ссылка; повторная документальная сверка выполнена</x:v>
      </x:c>
      <x:c r="AI79" s="1"/>
      <x:c r="AJ79" s="17"/>
      <x:c r="AK79" s="1" t="s">
        <x:v>73</x:v>
      </x:c>
      <x:c r="AL79" s="8" t="s">
        <x:v>74</x:v>
      </x:c>
      <x:c r="AM79" s="1"/>
      <x:c r="AN79" s="8" t="s">
        <x:v>95</x:v>
      </x:c>
      <x:c r="AO79" s="1" t="s">
        <x:v>76</x:v>
      </x:c>
      <x:c r="AP79" s="8"/>
      <x:c r="AQ79" s="1" t="s">
        <x:v>77</x:v>
      </x:c>
      <x:c r="AR79" s="8" t="str">
        <x:v>Проверка автором исследования</x:v>
      </x:c>
      <x:c r="AS79" s="1"/>
      <x:c r="AT79" s="8" t="s">
        <x:v>96</x:v>
      </x:c>
      <x:c r="AU79" s="1" t="s">
        <x:v>97</x:v>
      </x:c>
      <x:c r="AV79" s="17"/>
      <x:c r="AW79" s="1" t="s">
        <x:v>98</x:v>
      </x:c>
      <x:c r="AX79" s="8" t="s">
        <x:v>82</x:v>
      </x:c>
      <x:c r="AY79" s="8"/>
    </x:row>
    <x:row r="80" ht="84" customHeight="1">
      <x:c r="A80" s="1" t="s">
        <x:v>1098</x:v>
      </x:c>
      <x:c r="B80" s="8" t="s">
        <x:v>1099</x:v>
      </x:c>
      <x:c r="C80" s="1" t="s">
        <x:v>1100</x:v>
      </x:c>
      <x:c r="D80" s="8" t="s">
        <x:v>53</x:v>
      </x:c>
      <x:c r="E80" s="1" t="s">
        <x:v>54</x:v>
      </x:c>
      <x:c r="F80" s="8" t="s">
        <x:v>1101</x:v>
      </x:c>
      <x:c r="G80" s="1" t="s">
        <x:v>1102</x:v>
      </x:c>
      <x:c r="H80" s="8" t="s">
        <x:v>1103</x:v>
      </x:c>
      <x:c r="I80" s="4">
        <x:v>2025</x:v>
      </x:c>
      <x:c r="J80" s="8" t="s">
        <x:v>59</x:v>
      </x:c>
      <x:c r="K80" s="1" t="s">
        <x:v>182</x:v>
      </x:c>
      <x:c r="L80" s="8" t="s">
        <x:v>1104</x:v>
      </x:c>
      <x:c r="M80" s="1" t="s">
        <x:v>61</x:v>
      </x:c>
      <x:c r="N80" s="8"/>
      <x:c r="O80" s="1"/>
      <x:c r="P80" s="8"/>
      <x:c r="Q80" s="1"/>
      <x:c r="R80" s="8" t="s">
        <x:v>1105</x:v>
      </x:c>
      <x:c r="S80" s="3"/>
      <x:c r="T80" s="8" t="s">
        <x:v>63</x:v>
      </x:c>
      <x:c r="U80" s="1" t="s">
        <x:v>1106</x:v>
      </x:c>
      <x:c r="V80" s="13">
        <x:v>1</x:v>
      </x:c>
      <x:c r="W80" s="1" t="s">
        <x:v>242</x:v>
      </x:c>
      <x:c r="X80" s="8" t="s">
        <x:v>66</x:v>
      </x:c>
      <x:c r="Y80" s="1" t="str">
        <x:v>Проверено автором; дополнительно проверено Михаилом Саяпиным</x:v>
      </x:c>
      <x:c r="Z80" s="8" t="s">
        <x:v>1107</x:v>
      </x:c>
      <x:c r="AA80" s="1" t="s">
        <x:v>1108</x:v>
      </x:c>
      <x:c r="AB80" s="13">
        <x:v>2026</x:v>
      </x:c>
      <x:c r="AC80" s="3">
        <x:v>46322</x:v>
      </x:c>
      <x:c r="AD80" s="8" t="s">
        <x:v>69</x:v>
      </x:c>
      <x:c r="AE80" s="1" t="s">
        <x:v>1109</x:v>
      </x:c>
      <x:c r="AF80" s="8" t="s">
        <x:v>118</x:v>
      </x:c>
      <x:c r="AG80" s="1" t="s">
        <x:v>1110</x:v>
      </x:c>
      <x:c r="AH80" s="8" t="s">
        <x:v>144</x:v>
      </x:c>
      <x:c r="AI80" s="1" t="s">
        <x:v>145</x:v>
      </x:c>
      <x:c r="AJ80" s="17">
        <x:v>46323</x:v>
      </x:c>
      <x:c r="AK80" s="1" t="s">
        <x:v>73</x:v>
      </x:c>
      <x:c r="AL80" s="8" t="s">
        <x:v>74</x:v>
      </x:c>
      <x:c r="AM80" s="1"/>
      <x:c r="AN80" s="8" t="s">
        <x:v>75</x:v>
      </x:c>
      <x:c r="AO80" s="1" t="s">
        <x:v>76</x:v>
      </x:c>
      <x:c r="AP80" s="8"/>
      <x:c r="AQ80" s="1" t="s">
        <x:v>77</x:v>
      </x:c>
      <x:c r="AR80" s="8" t="str">
        <x:v>Проверка автором исследования; дополнительная проверка Михаилом Саяпиным; согласование 28.10.2026</x:v>
      </x:c>
      <x:c r="AS80" s="1" t="s">
        <x:v>1111</x:v>
      </x:c>
      <x:c r="AT80" s="8" t="s">
        <x:v>1112</x:v>
      </x:c>
      <x:c r="AU80" s="1" t="s">
        <x:v>1113</x:v>
      </x:c>
      <x:c r="AV80" s="17">
        <x:v>46321</x:v>
      </x:c>
      <x:c r="AW80" s="1" t="s">
        <x:v>81</x:v>
      </x:c>
      <x:c r="AX80" s="8" t="s">
        <x:v>146</x:v>
      </x:c>
      <x:c r="AY80" s="8" t="s">
        <x:v>1114</x:v>
      </x:c>
    </x:row>
    <x:row r="81" ht="69.94999694824219" customHeight="1">
      <x:c r="A81" s="1" t="s">
        <x:v>1115</x:v>
      </x:c>
      <x:c r="B81" s="8" t="s">
        <x:v>1116</x:v>
      </x:c>
      <x:c r="C81" s="1" t="s">
        <x:v>1117</x:v>
      </x:c>
      <x:c r="D81" s="8" t="s">
        <x:v>86</x:v>
      </x:c>
      <x:c r="E81" s="1" t="s">
        <x:v>76</x:v>
      </x:c>
      <x:c r="F81" s="8" t="s">
        <x:v>1118</x:v>
      </x:c>
      <x:c r="G81" s="1" t="s">
        <x:v>1119</x:v>
      </x:c>
      <x:c r="H81" s="8"/>
      <x:c r="I81" s="4">
        <x:v>1994</x:v>
      </x:c>
      <x:c r="J81" s="8"/>
      <x:c r="K81" s="1"/>
      <x:c r="L81" s="8" t="s">
        <x:v>1120</x:v>
      </x:c>
      <x:c r="M81" s="1" t="s">
        <x:v>90</x:v>
      </x:c>
      <x:c r="N81" s="8" t="s">
        <x:v>1121</x:v>
      </x:c>
      <x:c r="O81" s="1" t="s">
        <x:v>1122</x:v>
      </x:c>
      <x:c r="P81" s="8"/>
      <x:c r="Q81" s="1"/>
      <x:c r="R81" s="8"/>
      <x:c r="S81" s="3"/>
      <x:c r="T81" s="8" t="s">
        <x:v>63</x:v>
      </x:c>
      <x:c r="U81" s="1" t="s">
        <x:v>1106</x:v>
      </x:c>
      <x:c r="V81" s="13">
        <x:v>2</x:v>
      </x:c>
      <x:c r="W81" s="1" t="s">
        <x:v>65</x:v>
      </x:c>
      <x:c r="X81" s="8" t="s">
        <x:v>66</x:v>
      </x:c>
      <x:c r="Y81" s="1" t="str">
        <x:v>Проверено автором исследования</x:v>
      </x:c>
      <x:c r="Z81" s="8"/>
      <x:c r="AA81" s="1" t="s">
        <x:v>1108</x:v>
      </x:c>
      <x:c r="AB81" s="13">
        <x:v>2026</x:v>
      </x:c>
      <x:c r="AC81" s="3"/>
      <x:c r="AD81" s="8" t="s">
        <x:v>93</x:v>
      </x:c>
      <x:c r="AE81" s="1"/>
      <x:c r="AF81" s="8" t="s">
        <x:v>118</x:v>
      </x:c>
      <x:c r="AG81" s="1" t="s">
        <x:v>1110</x:v>
      </x:c>
      <x:c r="AH81" s="8" t="str">
        <x:v>Краткая затекстовая ссылка; повторная документальная сверка выполнена</x:v>
      </x:c>
      <x:c r="AI81" s="1"/>
      <x:c r="AJ81" s="17"/>
      <x:c r="AK81" s="1" t="s">
        <x:v>73</x:v>
      </x:c>
      <x:c r="AL81" s="8" t="s">
        <x:v>74</x:v>
      </x:c>
      <x:c r="AM81" s="1"/>
      <x:c r="AN81" s="8" t="s">
        <x:v>95</x:v>
      </x:c>
      <x:c r="AO81" s="1" t="s">
        <x:v>76</x:v>
      </x:c>
      <x:c r="AP81" s="8"/>
      <x:c r="AQ81" s="1" t="s">
        <x:v>77</x:v>
      </x:c>
      <x:c r="AR81" s="8" t="str">
        <x:v>Проверка автором исследования</x:v>
      </x:c>
      <x:c r="AS81" s="1"/>
      <x:c r="AT81" s="8" t="s">
        <x:v>96</x:v>
      </x:c>
      <x:c r="AU81" s="1" t="s">
        <x:v>97</x:v>
      </x:c>
      <x:c r="AV81" s="17"/>
      <x:c r="AW81" s="1" t="s">
        <x:v>98</x:v>
      </x:c>
      <x:c r="AX81" s="8" t="s">
        <x:v>82</x:v>
      </x:c>
      <x:c r="AY81" s="8"/>
    </x:row>
    <x:row r="82" ht="69.94999694824219" customHeight="1">
      <x:c r="A82" s="1" t="s">
        <x:v>1123</x:v>
      </x:c>
      <x:c r="B82" s="8" t="s">
        <x:v>1124</x:v>
      </x:c>
      <x:c r="C82" s="1" t="s">
        <x:v>1125</x:v>
      </x:c>
      <x:c r="D82" s="8" t="s">
        <x:v>73</x:v>
      </x:c>
      <x:c r="E82" s="1" t="s">
        <x:v>76</x:v>
      </x:c>
      <x:c r="F82" s="8" t="s">
        <x:v>1126</x:v>
      </x:c>
      <x:c r="G82" s="1" t="s">
        <x:v>1127</x:v>
      </x:c>
      <x:c r="H82" s="8" t="s">
        <x:v>1128</x:v>
      </x:c>
      <x:c r="I82" s="4">
        <x:v>2013</x:v>
      </x:c>
      <x:c r="J82" s="8"/>
      <x:c r="K82" s="1" t="s">
        <x:v>1129</x:v>
      </x:c>
      <x:c r="L82" s="8" t="s">
        <x:v>1130</x:v>
      </x:c>
      <x:c r="M82" s="1" t="s">
        <x:v>61</x:v>
      </x:c>
      <x:c r="N82" s="8"/>
      <x:c r="O82" s="1"/>
      <x:c r="P82" s="8"/>
      <x:c r="Q82" s="1"/>
      <x:c r="R82" s="8"/>
      <x:c r="S82" s="3"/>
      <x:c r="T82" s="8" t="s">
        <x:v>63</x:v>
      </x:c>
      <x:c r="U82" s="1" t="s">
        <x:v>1106</x:v>
      </x:c>
      <x:c r="V82" s="13">
        <x:v>4</x:v>
      </x:c>
      <x:c r="W82" s="1" t="s">
        <x:v>65</x:v>
      </x:c>
      <x:c r="X82" s="8" t="s">
        <x:v>66</x:v>
      </x:c>
      <x:c r="Y82" s="1" t="str">
        <x:v>Проверено автором исследования</x:v>
      </x:c>
      <x:c r="Z82" s="8"/>
      <x:c r="AA82" s="1" t="s">
        <x:v>1108</x:v>
      </x:c>
      <x:c r="AB82" s="13">
        <x:v>2026</x:v>
      </x:c>
      <x:c r="AC82" s="3"/>
      <x:c r="AD82" s="8" t="s">
        <x:v>93</x:v>
      </x:c>
      <x:c r="AE82" s="1" t="s">
        <x:v>1131</x:v>
      </x:c>
      <x:c r="AF82" s="8" t="s">
        <x:v>118</x:v>
      </x:c>
      <x:c r="AG82" s="1" t="s">
        <x:v>1110</x:v>
      </x:c>
      <x:c r="AH82" s="8" t="str">
        <x:v>Краткая затекстовая ссылка; повторная документальная сверка выполнена</x:v>
      </x:c>
      <x:c r="AI82" s="1"/>
      <x:c r="AJ82" s="17"/>
      <x:c r="AK82" s="1" t="s">
        <x:v>73</x:v>
      </x:c>
      <x:c r="AL82" s="8" t="s">
        <x:v>74</x:v>
      </x:c>
      <x:c r="AM82" s="1"/>
      <x:c r="AN82" s="8" t="s">
        <x:v>95</x:v>
      </x:c>
      <x:c r="AO82" s="1" t="s">
        <x:v>76</x:v>
      </x:c>
      <x:c r="AP82" s="8"/>
      <x:c r="AQ82" s="1" t="s">
        <x:v>77</x:v>
      </x:c>
      <x:c r="AR82" s="8" t="str">
        <x:v>Проверка автором исследования</x:v>
      </x:c>
      <x:c r="AS82" s="1"/>
      <x:c r="AT82" s="8" t="s">
        <x:v>96</x:v>
      </x:c>
      <x:c r="AU82" s="1" t="s">
        <x:v>97</x:v>
      </x:c>
      <x:c r="AV82" s="17"/>
      <x:c r="AW82" s="1" t="s">
        <x:v>98</x:v>
      </x:c>
      <x:c r="AX82" s="8" t="s">
        <x:v>82</x:v>
      </x:c>
      <x:c r="AY82" s="8"/>
    </x:row>
    <x:row r="83" ht="69.94999694824219" customHeight="1">
      <x:c r="A83" s="1" t="s">
        <x:v>1132</x:v>
      </x:c>
      <x:c r="B83" s="8" t="s">
        <x:v>1133</x:v>
      </x:c>
      <x:c r="C83" s="1" t="s">
        <x:v>1134</x:v>
      </x:c>
      <x:c r="D83" s="8" t="s">
        <x:v>73</x:v>
      </x:c>
      <x:c r="E83" s="1" t="s">
        <x:v>76</x:v>
      </x:c>
      <x:c r="F83" s="8" t="s">
        <x:v>1135</x:v>
      </x:c>
      <x:c r="G83" s="1" t="s">
        <x:v>1136</x:v>
      </x:c>
      <x:c r="H83" s="8" t="s">
        <x:v>1137</x:v>
      </x:c>
      <x:c r="I83" s="4">
        <x:v>2011</x:v>
      </x:c>
      <x:c r="J83" s="8"/>
      <x:c r="K83" s="1" t="s">
        <x:v>1138</x:v>
      </x:c>
      <x:c r="L83" s="8" t="s">
        <x:v>1139</x:v>
      </x:c>
      <x:c r="M83" s="1" t="s">
        <x:v>61</x:v>
      </x:c>
      <x:c r="N83" s="8"/>
      <x:c r="O83" s="1"/>
      <x:c r="P83" s="8"/>
      <x:c r="Q83" s="1"/>
      <x:c r="R83" s="8"/>
      <x:c r="S83" s="3"/>
      <x:c r="T83" s="8" t="s">
        <x:v>63</x:v>
      </x:c>
      <x:c r="U83" s="1" t="s">
        <x:v>1106</x:v>
      </x:c>
      <x:c r="V83" s="13">
        <x:v>5</x:v>
      </x:c>
      <x:c r="W83" s="1" t="s">
        <x:v>65</x:v>
      </x:c>
      <x:c r="X83" s="8" t="s">
        <x:v>66</x:v>
      </x:c>
      <x:c r="Y83" s="1" t="str">
        <x:v>Проверено автором исследования</x:v>
      </x:c>
      <x:c r="Z83" s="8"/>
      <x:c r="AA83" s="1" t="s">
        <x:v>1108</x:v>
      </x:c>
      <x:c r="AB83" s="13">
        <x:v>2026</x:v>
      </x:c>
      <x:c r="AC83" s="3"/>
      <x:c r="AD83" s="8" t="s">
        <x:v>93</x:v>
      </x:c>
      <x:c r="AE83" s="1" t="s">
        <x:v>1140</x:v>
      </x:c>
      <x:c r="AF83" s="8" t="s">
        <x:v>118</x:v>
      </x:c>
      <x:c r="AG83" s="1" t="s">
        <x:v>1110</x:v>
      </x:c>
      <x:c r="AH83" s="8" t="str">
        <x:v>Краткая затекстовая ссылка; повторная документальная сверка выполнена</x:v>
      </x:c>
      <x:c r="AI83" s="1"/>
      <x:c r="AJ83" s="17"/>
      <x:c r="AK83" s="1" t="s">
        <x:v>73</x:v>
      </x:c>
      <x:c r="AL83" s="8" t="s">
        <x:v>74</x:v>
      </x:c>
      <x:c r="AM83" s="1"/>
      <x:c r="AN83" s="8" t="s">
        <x:v>95</x:v>
      </x:c>
      <x:c r="AO83" s="1" t="s">
        <x:v>76</x:v>
      </x:c>
      <x:c r="AP83" s="8"/>
      <x:c r="AQ83" s="1" t="s">
        <x:v>77</x:v>
      </x:c>
      <x:c r="AR83" s="8" t="str">
        <x:v>Проверка автором исследования</x:v>
      </x:c>
      <x:c r="AS83" s="1"/>
      <x:c r="AT83" s="8" t="s">
        <x:v>96</x:v>
      </x:c>
      <x:c r="AU83" s="1" t="s">
        <x:v>97</x:v>
      </x:c>
      <x:c r="AV83" s="17"/>
      <x:c r="AW83" s="1" t="s">
        <x:v>98</x:v>
      </x:c>
      <x:c r="AX83" s="8" t="s">
        <x:v>82</x:v>
      </x:c>
      <x:c r="AY83" s="8"/>
    </x:row>
    <x:row r="84" ht="69.94999694824219" customHeight="1">
      <x:c r="A84" s="1" t="s">
        <x:v>1141</x:v>
      </x:c>
      <x:c r="B84" s="8" t="s">
        <x:v>1142</x:v>
      </x:c>
      <x:c r="C84" s="1" t="s">
        <x:v>1143</x:v>
      </x:c>
      <x:c r="D84" s="8" t="s">
        <x:v>73</x:v>
      </x:c>
      <x:c r="E84" s="1" t="s">
        <x:v>76</x:v>
      </x:c>
      <x:c r="F84" s="8" t="s">
        <x:v>1144</x:v>
      </x:c>
      <x:c r="G84" s="1" t="s">
        <x:v>1145</x:v>
      </x:c>
      <x:c r="H84" s="8" t="s">
        <x:v>1146</x:v>
      </x:c>
      <x:c r="I84" s="4">
        <x:v>2025</x:v>
      </x:c>
      <x:c r="J84" s="8"/>
      <x:c r="K84" s="1" t="s">
        <x:v>1147</x:v>
      </x:c>
      <x:c r="L84" s="8" t="s">
        <x:v>1148</x:v>
      </x:c>
      <x:c r="M84" s="1" t="s">
        <x:v>61</x:v>
      </x:c>
      <x:c r="N84" s="8"/>
      <x:c r="O84" s="1"/>
      <x:c r="P84" s="8"/>
      <x:c r="Q84" s="1"/>
      <x:c r="R84" s="8"/>
      <x:c r="S84" s="3"/>
      <x:c r="T84" s="8" t="s">
        <x:v>63</x:v>
      </x:c>
      <x:c r="U84" s="1" t="s">
        <x:v>1106</x:v>
      </x:c>
      <x:c r="V84" s="13">
        <x:v>7</x:v>
      </x:c>
      <x:c r="W84" s="1" t="s">
        <x:v>65</x:v>
      </x:c>
      <x:c r="X84" s="8" t="s">
        <x:v>66</x:v>
      </x:c>
      <x:c r="Y84" s="1" t="str">
        <x:v>Проверено автором исследования</x:v>
      </x:c>
      <x:c r="Z84" s="8"/>
      <x:c r="AA84" s="1" t="s">
        <x:v>1108</x:v>
      </x:c>
      <x:c r="AB84" s="13">
        <x:v>2026</x:v>
      </x:c>
      <x:c r="AC84" s="3"/>
      <x:c r="AD84" s="8" t="s">
        <x:v>93</x:v>
      </x:c>
      <x:c r="AE84" s="1" t="s">
        <x:v>1149</x:v>
      </x:c>
      <x:c r="AF84" s="8" t="s">
        <x:v>118</x:v>
      </x:c>
      <x:c r="AG84" s="1" t="s">
        <x:v>1110</x:v>
      </x:c>
      <x:c r="AH84" s="8" t="str">
        <x:v>Краткая затекстовая ссылка; повторная документальная сверка выполнена</x:v>
      </x:c>
      <x:c r="AI84" s="1"/>
      <x:c r="AJ84" s="17"/>
      <x:c r="AK84" s="1" t="s">
        <x:v>73</x:v>
      </x:c>
      <x:c r="AL84" s="8" t="s">
        <x:v>74</x:v>
      </x:c>
      <x:c r="AM84" s="1"/>
      <x:c r="AN84" s="8" t="s">
        <x:v>95</x:v>
      </x:c>
      <x:c r="AO84" s="1" t="s">
        <x:v>76</x:v>
      </x:c>
      <x:c r="AP84" s="8"/>
      <x:c r="AQ84" s="1" t="s">
        <x:v>77</x:v>
      </x:c>
      <x:c r="AR84" s="8" t="str">
        <x:v>Проверка автором исследования</x:v>
      </x:c>
      <x:c r="AS84" s="1"/>
      <x:c r="AT84" s="8" t="s">
        <x:v>96</x:v>
      </x:c>
      <x:c r="AU84" s="1" t="s">
        <x:v>97</x:v>
      </x:c>
      <x:c r="AV84" s="17"/>
      <x:c r="AW84" s="1" t="s">
        <x:v>98</x:v>
      </x:c>
      <x:c r="AX84" s="8" t="s">
        <x:v>82</x:v>
      </x:c>
      <x:c r="AY84" s="8"/>
    </x:row>
    <x:row r="85" ht="111.94999694824219" customHeight="1">
      <x:c r="A85" s="1" t="s">
        <x:v>1150</x:v>
      </x:c>
      <x:c r="B85" s="8" t="s">
        <x:v>1151</x:v>
      </x:c>
      <x:c r="C85" s="1" t="s">
        <x:v>1152</x:v>
      </x:c>
      <x:c r="D85" s="8" t="s">
        <x:v>53</x:v>
      </x:c>
      <x:c r="E85" s="1" t="s">
        <x:v>54</x:v>
      </x:c>
      <x:c r="F85" s="8" t="s">
        <x:v>1153</x:v>
      </x:c>
      <x:c r="G85" s="1" t="s">
        <x:v>1154</x:v>
      </x:c>
      <x:c r="H85" s="8" t="s">
        <x:v>1155</x:v>
      </x:c>
      <x:c r="I85" s="4">
        <x:v>2023</x:v>
      </x:c>
      <x:c r="J85" s="8"/>
      <x:c r="K85" s="1" t="s">
        <x:v>1156</x:v>
      </x:c>
      <x:c r="L85" s="8" t="s">
        <x:v>1157</x:v>
      </x:c>
      <x:c r="M85" s="1" t="s">
        <x:v>61</x:v>
      </x:c>
      <x:c r="N85" s="8"/>
      <x:c r="O85" s="1"/>
      <x:c r="P85" s="8"/>
      <x:c r="Q85" s="1"/>
      <x:c r="R85" s="8" t="s">
        <x:v>1158</x:v>
      </x:c>
      <x:c r="S85" s="3"/>
      <x:c r="T85" s="8" t="s">
        <x:v>63</x:v>
      </x:c>
      <x:c r="U85" s="1" t="s">
        <x:v>1106</x:v>
      </x:c>
      <x:c r="V85" s="13">
        <x:v>8</x:v>
      </x:c>
      <x:c r="W85" s="1" t="s">
        <x:v>65</x:v>
      </x:c>
      <x:c r="X85" s="8" t="s">
        <x:v>66</x:v>
      </x:c>
      <x:c r="Y85" s="1" t="str">
        <x:v>Проверено автором исследования</x:v>
      </x:c>
      <x:c r="Z85" s="8" t="s">
        <x:v>1159</x:v>
      </x:c>
      <x:c r="AA85" s="1" t="s">
        <x:v>1108</x:v>
      </x:c>
      <x:c r="AB85" s="13">
        <x:v>2026</x:v>
      </x:c>
      <x:c r="AC85" s="3">
        <x:v>46322</x:v>
      </x:c>
      <x:c r="AD85" s="8" t="s">
        <x:v>69</x:v>
      </x:c>
      <x:c r="AE85" s="1" t="s">
        <x:v>1160</x:v>
      </x:c>
      <x:c r="AF85" s="8" t="s">
        <x:v>118</x:v>
      </x:c>
      <x:c r="AG85" s="1" t="s">
        <x:v>1110</x:v>
      </x:c>
      <x:c r="AH85" s="8" t="str">
        <x:v>Краткая затекстовая ссылка; повторная документальная сверка выполнена</x:v>
      </x:c>
      <x:c r="AI85" s="1"/>
      <x:c r="AJ85" s="17"/>
      <x:c r="AK85" s="1" t="s">
        <x:v>73</x:v>
      </x:c>
      <x:c r="AL85" s="8" t="s">
        <x:v>74</x:v>
      </x:c>
      <x:c r="AM85" s="1"/>
      <x:c r="AN85" s="8" t="s">
        <x:v>75</x:v>
      </x:c>
      <x:c r="AO85" s="1" t="s">
        <x:v>76</x:v>
      </x:c>
      <x:c r="AP85" s="8"/>
      <x:c r="AQ85" s="1" t="s">
        <x:v>77</x:v>
      </x:c>
      <x:c r="AR85" s="8" t="str">
        <x:v>Проверка автором исследования</x:v>
      </x:c>
      <x:c r="AS85" s="1" t="s">
        <x:v>1161</x:v>
      </x:c>
      <x:c r="AT85" s="8" t="s">
        <x:v>1162</x:v>
      </x:c>
      <x:c r="AU85" s="1" t="s">
        <x:v>1163</x:v>
      </x:c>
      <x:c r="AV85" s="17">
        <x:v>46321</x:v>
      </x:c>
      <x:c r="AW85" s="1" t="s">
        <x:v>81</x:v>
      </x:c>
      <x:c r="AX85" s="8" t="s">
        <x:v>82</x:v>
      </x:c>
      <x:c r="AY85" s="8"/>
    </x:row>
    <x:row r="86" ht="69.94999694824219" customHeight="1">
      <x:c r="A86" s="1" t="s">
        <x:v>1164</x:v>
      </x:c>
      <x:c r="B86" s="8" t="s">
        <x:v>1165</x:v>
      </x:c>
      <x:c r="C86" s="1" t="s">
        <x:v>1166</x:v>
      </x:c>
      <x:c r="D86" s="8" t="s">
        <x:v>86</x:v>
      </x:c>
      <x:c r="E86" s="1" t="s">
        <x:v>76</x:v>
      </x:c>
      <x:c r="F86" s="8" t="s">
        <x:v>1167</x:v>
      </x:c>
      <x:c r="G86" s="1" t="s">
        <x:v>1168</x:v>
      </x:c>
      <x:c r="H86" s="8"/>
      <x:c r="I86" s="4">
        <x:v>1970</x:v>
      </x:c>
      <x:c r="J86" s="8"/>
      <x:c r="K86" s="1"/>
      <x:c r="L86" s="8" t="s">
        <x:v>1169</x:v>
      </x:c>
      <x:c r="M86" s="1" t="s">
        <x:v>90</x:v>
      </x:c>
      <x:c r="N86" s="8" t="s">
        <x:v>1170</x:v>
      </x:c>
      <x:c r="O86" s="1" t="s">
        <x:v>92</x:v>
      </x:c>
      <x:c r="P86" s="8"/>
      <x:c r="Q86" s="1"/>
      <x:c r="R86" s="8"/>
      <x:c r="S86" s="3"/>
      <x:c r="T86" s="8" t="s">
        <x:v>63</x:v>
      </x:c>
      <x:c r="U86" s="1" t="s">
        <x:v>1171</x:v>
      </x:c>
      <x:c r="V86" s="13">
        <x:v>3</x:v>
      </x:c>
      <x:c r="W86" s="1" t="s">
        <x:v>65</x:v>
      </x:c>
      <x:c r="X86" s="8" t="s">
        <x:v>66</x:v>
      </x:c>
      <x:c r="Y86" s="1" t="str">
        <x:v>Проверено автором исследования</x:v>
      </x:c>
      <x:c r="Z86" s="8"/>
      <x:c r="AA86" s="1" t="s">
        <x:v>1172</x:v>
      </x:c>
      <x:c r="AB86" s="13">
        <x:v>2024</x:v>
      </x:c>
      <x:c r="AC86" s="3"/>
      <x:c r="AD86" s="8" t="s">
        <x:v>93</x:v>
      </x:c>
      <x:c r="AE86" s="1"/>
      <x:c r="AF86" s="8" t="s">
        <x:v>118</x:v>
      </x:c>
      <x:c r="AG86" s="1" t="s">
        <x:v>1173</x:v>
      </x:c>
      <x:c r="AH86" s="8" t="str">
        <x:v>Краткая затекстовая ссылка; повторная документальная сверка выполнена</x:v>
      </x:c>
      <x:c r="AI86" s="1"/>
      <x:c r="AJ86" s="17"/>
      <x:c r="AK86" s="1" t="s">
        <x:v>73</x:v>
      </x:c>
      <x:c r="AL86" s="8" t="s">
        <x:v>74</x:v>
      </x:c>
      <x:c r="AM86" s="1"/>
      <x:c r="AN86" s="8" t="s">
        <x:v>95</x:v>
      </x:c>
      <x:c r="AO86" s="1" t="s">
        <x:v>76</x:v>
      </x:c>
      <x:c r="AP86" s="8"/>
      <x:c r="AQ86" s="1" t="s">
        <x:v>77</x:v>
      </x:c>
      <x:c r="AR86" s="8" t="str">
        <x:v>Проверка автором исследования</x:v>
      </x:c>
      <x:c r="AS86" s="1"/>
      <x:c r="AT86" s="8" t="s">
        <x:v>96</x:v>
      </x:c>
      <x:c r="AU86" s="1" t="s">
        <x:v>97</x:v>
      </x:c>
      <x:c r="AV86" s="17"/>
      <x:c r="AW86" s="1" t="s">
        <x:v>98</x:v>
      </x:c>
      <x:c r="AX86" s="8" t="s">
        <x:v>82</x:v>
      </x:c>
      <x:c r="AY86" s="8"/>
    </x:row>
    <x:row r="87" ht="84" customHeight="1">
      <x:c r="A87" s="1" t="s">
        <x:v>1174</x:v>
      </x:c>
      <x:c r="B87" s="8" t="s">
        <x:v>1175</x:v>
      </x:c>
      <x:c r="C87" s="1" t="s">
        <x:v>1176</x:v>
      </x:c>
      <x:c r="D87" s="8" t="s">
        <x:v>53</x:v>
      </x:c>
      <x:c r="E87" s="1" t="s">
        <x:v>54</x:v>
      </x:c>
      <x:c r="F87" s="8" t="s">
        <x:v>1177</x:v>
      </x:c>
      <x:c r="G87" s="1" t="s">
        <x:v>1178</x:v>
      </x:c>
      <x:c r="H87" s="8" t="s">
        <x:v>1179</x:v>
      </x:c>
      <x:c r="I87" s="4">
        <x:v>2023</x:v>
      </x:c>
      <x:c r="J87" s="8"/>
      <x:c r="K87" s="1"/>
      <x:c r="L87" s="8" t="s">
        <x:v>1180</x:v>
      </x:c>
      <x:c r="M87" s="1" t="s">
        <x:v>61</x:v>
      </x:c>
      <x:c r="N87" s="8"/>
      <x:c r="O87" s="1"/>
      <x:c r="P87" s="8"/>
      <x:c r="Q87" s="1"/>
      <x:c r="R87" s="8" t="s">
        <x:v>1181</x:v>
      </x:c>
      <x:c r="S87" s="3"/>
      <x:c r="T87" s="8" t="s">
        <x:v>63</x:v>
      </x:c>
      <x:c r="U87" s="1" t="s">
        <x:v>1182</x:v>
      </x:c>
      <x:c r="V87" s="13">
        <x:v>13</x:v>
      </x:c>
      <x:c r="W87" s="1" t="s">
        <x:v>65</x:v>
      </x:c>
      <x:c r="X87" s="8" t="s">
        <x:v>66</x:v>
      </x:c>
      <x:c r="Y87" s="1" t="str">
        <x:v>Проверено автором исследования</x:v>
      </x:c>
      <x:c r="Z87" s="8" t="s">
        <x:v>1183</x:v>
      </x:c>
      <x:c r="AA87" s="1" t="s">
        <x:v>1184</x:v>
      </x:c>
      <x:c r="AB87" s="13">
        <x:v>2024</x:v>
      </x:c>
      <x:c r="AC87" s="3">
        <x:v>46322</x:v>
      </x:c>
      <x:c r="AD87" s="8" t="s">
        <x:v>69</x:v>
      </x:c>
      <x:c r="AE87" s="1"/>
      <x:c r="AF87" s="8" t="s">
        <x:v>118</x:v>
      </x:c>
      <x:c r="AG87" s="1" t="s">
        <x:v>1185</x:v>
      </x:c>
      <x:c r="AH87" s="8" t="str">
        <x:v>Краткая затекстовая ссылка; повторная документальная сверка выполнена</x:v>
      </x:c>
      <x:c r="AI87" s="1"/>
      <x:c r="AJ87" s="17"/>
      <x:c r="AK87" s="1" t="s">
        <x:v>73</x:v>
      </x:c>
      <x:c r="AL87" s="8" t="s">
        <x:v>74</x:v>
      </x:c>
      <x:c r="AM87" s="1"/>
      <x:c r="AN87" s="8" t="s">
        <x:v>75</x:v>
      </x:c>
      <x:c r="AO87" s="1" t="s">
        <x:v>76</x:v>
      </x:c>
      <x:c r="AP87" s="8"/>
      <x:c r="AQ87" s="1" t="s">
        <x:v>77</x:v>
      </x:c>
      <x:c r="AR87" s="8" t="str">
        <x:v>Проверка автором исследования</x:v>
      </x:c>
      <x:c r="AS87" s="1" t="s">
        <x:v>1186</x:v>
      </x:c>
      <x:c r="AT87" s="8" t="s">
        <x:v>1187</x:v>
      </x:c>
      <x:c r="AU87" s="1" t="s">
        <x:v>1188</x:v>
      </x:c>
      <x:c r="AV87" s="17">
        <x:v>46321</x:v>
      </x:c>
      <x:c r="AW87" s="1" t="s">
        <x:v>81</x:v>
      </x:c>
      <x:c r="AX87" s="8" t="s">
        <x:v>82</x:v>
      </x:c>
      <x:c r="AY87" s="8"/>
    </x:row>
    <x:row r="88" ht="69.94999694824219" customHeight="1">
      <x:c r="A88" s="1" t="s">
        <x:v>1189</x:v>
      </x:c>
      <x:c r="B88" s="8" t="s">
        <x:v>1190</x:v>
      </x:c>
      <x:c r="C88" s="1" t="s">
        <x:v>1191</x:v>
      </x:c>
      <x:c r="D88" s="8" t="s">
        <x:v>73</x:v>
      </x:c>
      <x:c r="E88" s="1" t="s">
        <x:v>76</x:v>
      </x:c>
      <x:c r="F88" s="8" t="s">
        <x:v>1192</x:v>
      </x:c>
      <x:c r="G88" s="1" t="s">
        <x:v>1193</x:v>
      </x:c>
      <x:c r="H88" s="8" t="s">
        <x:v>1194</x:v>
      </x:c>
      <x:c r="I88" s="4">
        <x:v>2019</x:v>
      </x:c>
      <x:c r="J88" s="8" t="s">
        <x:v>239</x:v>
      </x:c>
      <x:c r="K88" s="1"/>
      <x:c r="L88" s="8" t="s">
        <x:v>1195</x:v>
      </x:c>
      <x:c r="M88" s="1" t="s">
        <x:v>61</x:v>
      </x:c>
      <x:c r="N88" s="8"/>
      <x:c r="O88" s="1"/>
      <x:c r="P88" s="8"/>
      <x:c r="Q88" s="1"/>
      <x:c r="R88" s="8"/>
      <x:c r="S88" s="3"/>
      <x:c r="T88" s="8" t="s">
        <x:v>63</x:v>
      </x:c>
      <x:c r="U88" s="1" t="s">
        <x:v>1196</x:v>
      </x:c>
      <x:c r="V88" s="13">
        <x:v>6</x:v>
      </x:c>
      <x:c r="W88" s="1" t="s">
        <x:v>65</x:v>
      </x:c>
      <x:c r="X88" s="8" t="s">
        <x:v>66</x:v>
      </x:c>
      <x:c r="Y88" s="1" t="str">
        <x:v>Проверено автором исследования</x:v>
      </x:c>
      <x:c r="Z88" s="8"/>
      <x:c r="AA88" s="1" t="s">
        <x:v>1197</x:v>
      </x:c>
      <x:c r="AB88" s="13">
        <x:v>2024</x:v>
      </x:c>
      <x:c r="AC88" s="3"/>
      <x:c r="AD88" s="8" t="s">
        <x:v>93</x:v>
      </x:c>
      <x:c r="AE88" s="1" t="s">
        <x:v>1198</x:v>
      </x:c>
      <x:c r="AF88" s="8" t="s">
        <x:v>118</x:v>
      </x:c>
      <x:c r="AG88" s="1" t="s">
        <x:v>1199</x:v>
      </x:c>
      <x:c r="AH88" s="8" t="str">
        <x:v>Краткая затекстовая ссылка; повторная документальная сверка выполнена</x:v>
      </x:c>
      <x:c r="AI88" s="1"/>
      <x:c r="AJ88" s="17"/>
      <x:c r="AK88" s="1" t="s">
        <x:v>73</x:v>
      </x:c>
      <x:c r="AL88" s="8" t="s">
        <x:v>74</x:v>
      </x:c>
      <x:c r="AM88" s="1"/>
      <x:c r="AN88" s="8" t="s">
        <x:v>95</x:v>
      </x:c>
      <x:c r="AO88" s="1" t="s">
        <x:v>76</x:v>
      </x:c>
      <x:c r="AP88" s="8"/>
      <x:c r="AQ88" s="1" t="s">
        <x:v>77</x:v>
      </x:c>
      <x:c r="AR88" s="8" t="str">
        <x:v>Проверка автором исследования</x:v>
      </x:c>
      <x:c r="AS88" s="1"/>
      <x:c r="AT88" s="8" t="s">
        <x:v>96</x:v>
      </x:c>
      <x:c r="AU88" s="1" t="s">
        <x:v>97</x:v>
      </x:c>
      <x:c r="AV88" s="17"/>
      <x:c r="AW88" s="1" t="s">
        <x:v>98</x:v>
      </x:c>
      <x:c r="AX88" s="8" t="s">
        <x:v>82</x:v>
      </x:c>
      <x:c r="AY88" s="8"/>
    </x:row>
    <x:row r="89" ht="69.94999694824219" customHeight="1">
      <x:c r="A89" s="1" t="s">
        <x:v>1200</x:v>
      </x:c>
      <x:c r="B89" s="8" t="s">
        <x:v>1201</x:v>
      </x:c>
      <x:c r="C89" s="1" t="s">
        <x:v>1202</x:v>
      </x:c>
      <x:c r="D89" s="8" t="s">
        <x:v>53</x:v>
      </x:c>
      <x:c r="E89" s="1" t="s">
        <x:v>54</x:v>
      </x:c>
      <x:c r="F89" s="8" t="s">
        <x:v>1203</x:v>
      </x:c>
      <x:c r="G89" s="1" t="s">
        <x:v>1204</x:v>
      </x:c>
      <x:c r="H89" s="8" t="s">
        <x:v>1205</x:v>
      </x:c>
      <x:c r="I89" s="4">
        <x:v>2021</x:v>
      </x:c>
      <x:c r="J89" s="8" t="s">
        <x:v>106</x:v>
      </x:c>
      <x:c r="K89" s="1" t="s">
        <x:v>239</x:v>
      </x:c>
      <x:c r="L89" s="8" t="s">
        <x:v>59</x:v>
      </x:c>
      <x:c r="M89" s="1" t="s">
        <x:v>61</x:v>
      </x:c>
      <x:c r="N89" s="8"/>
      <x:c r="O89" s="1"/>
      <x:c r="P89" s="8"/>
      <x:c r="Q89" s="1"/>
      <x:c r="R89" s="8" t="s">
        <x:v>1206</x:v>
      </x:c>
      <x:c r="S89" s="3"/>
      <x:c r="T89" s="8" t="s">
        <x:v>63</x:v>
      </x:c>
      <x:c r="U89" s="1" t="s">
        <x:v>1196</x:v>
      </x:c>
      <x:c r="V89" s="13">
        <x:v>9</x:v>
      </x:c>
      <x:c r="W89" s="1" t="s">
        <x:v>65</x:v>
      </x:c>
      <x:c r="X89" s="8" t="s">
        <x:v>66</x:v>
      </x:c>
      <x:c r="Y89" s="1" t="str">
        <x:v>Проверено автором исследования</x:v>
      </x:c>
      <x:c r="Z89" s="8" t="s">
        <x:v>1207</x:v>
      </x:c>
      <x:c r="AA89" s="1" t="s">
        <x:v>1197</x:v>
      </x:c>
      <x:c r="AB89" s="13">
        <x:v>2024</x:v>
      </x:c>
      <x:c r="AC89" s="3">
        <x:v>46322</x:v>
      </x:c>
      <x:c r="AD89" s="8" t="s">
        <x:v>69</x:v>
      </x:c>
      <x:c r="AE89" s="1"/>
      <x:c r="AF89" s="8" t="s">
        <x:v>118</x:v>
      </x:c>
      <x:c r="AG89" s="1" t="s">
        <x:v>1199</x:v>
      </x:c>
      <x:c r="AH89" s="8" t="str">
        <x:v>Краткая затекстовая ссылка; повторная документальная сверка выполнена</x:v>
      </x:c>
      <x:c r="AI89" s="1"/>
      <x:c r="AJ89" s="17"/>
      <x:c r="AK89" s="1" t="s">
        <x:v>73</x:v>
      </x:c>
      <x:c r="AL89" s="8" t="s">
        <x:v>74</x:v>
      </x:c>
      <x:c r="AM89" s="1"/>
      <x:c r="AN89" s="8" t="s">
        <x:v>75</x:v>
      </x:c>
      <x:c r="AO89" s="1" t="s">
        <x:v>76</x:v>
      </x:c>
      <x:c r="AP89" s="8"/>
      <x:c r="AQ89" s="1" t="s">
        <x:v>77</x:v>
      </x:c>
      <x:c r="AR89" s="8" t="str">
        <x:v>Проверка автором исследования</x:v>
      </x:c>
      <x:c r="AS89" s="1" t="s">
        <x:v>1208</x:v>
      </x:c>
      <x:c r="AT89" s="8" t="s">
        <x:v>1209</x:v>
      </x:c>
      <x:c r="AU89" s="1" t="s">
        <x:v>1210</x:v>
      </x:c>
      <x:c r="AV89" s="17">
        <x:v>46321</x:v>
      </x:c>
      <x:c r="AW89" s="1" t="s">
        <x:v>81</x:v>
      </x:c>
      <x:c r="AX89" s="8" t="s">
        <x:v>82</x:v>
      </x:c>
      <x:c r="AY89" s="8"/>
    </x:row>
    <x:row r="90" ht="69.94999694824219" customHeight="1">
      <x:c r="A90" s="1" t="s">
        <x:v>1211</x:v>
      </x:c>
      <x:c r="B90" s="8" t="s">
        <x:v>1212</x:v>
      </x:c>
      <x:c r="C90" s="1" t="s">
        <x:v>1213</x:v>
      </x:c>
      <x:c r="D90" s="8" t="s">
        <x:v>73</x:v>
      </x:c>
      <x:c r="E90" s="1" t="s">
        <x:v>76</x:v>
      </x:c>
      <x:c r="F90" s="8" t="s">
        <x:v>1214</x:v>
      </x:c>
      <x:c r="G90" s="1" t="s">
        <x:v>1215</x:v>
      </x:c>
      <x:c r="H90" s="8" t="s">
        <x:v>1216</x:v>
      </x:c>
      <x:c r="I90" s="4">
        <x:v>2021</x:v>
      </x:c>
      <x:c r="J90" s="8"/>
      <x:c r="K90" s="1" t="s">
        <x:v>1217</x:v>
      </x:c>
      <x:c r="L90" s="8" t="s">
        <x:v>1218</x:v>
      </x:c>
      <x:c r="M90" s="1" t="s">
        <x:v>61</x:v>
      </x:c>
      <x:c r="N90" s="8"/>
      <x:c r="O90" s="1"/>
      <x:c r="P90" s="8"/>
      <x:c r="Q90" s="1"/>
      <x:c r="R90" s="8"/>
      <x:c r="S90" s="3"/>
      <x:c r="T90" s="8" t="s">
        <x:v>63</x:v>
      </x:c>
      <x:c r="U90" s="1" t="s">
        <x:v>1219</x:v>
      </x:c>
      <x:c r="V90" s="13">
        <x:v>5</x:v>
      </x:c>
      <x:c r="W90" s="1" t="s">
        <x:v>140</x:v>
      </x:c>
      <x:c r="X90" s="8" t="s">
        <x:v>66</x:v>
      </x:c>
      <x:c r="Y90" s="1" t="str">
        <x:v>Проверено автором; дополнительно проверено Михаилом Саяпиным</x:v>
      </x:c>
      <x:c r="Z90" s="8"/>
      <x:c r="AA90" s="1" t="s">
        <x:v>1220</x:v>
      </x:c>
      <x:c r="AB90" s="13">
        <x:v>2024</x:v>
      </x:c>
      <x:c r="AC90" s="3"/>
      <x:c r="AD90" s="8" t="s">
        <x:v>93</x:v>
      </x:c>
      <x:c r="AE90" s="1" t="s">
        <x:v>1221</x:v>
      </x:c>
      <x:c r="AF90" s="8" t="s">
        <x:v>118</x:v>
      </x:c>
      <x:c r="AG90" s="1" t="s">
        <x:v>1222</x:v>
      </x:c>
      <x:c r="AH90" s="8" t="s">
        <x:v>144</x:v>
      </x:c>
      <x:c r="AI90" s="1" t="s">
        <x:v>145</x:v>
      </x:c>
      <x:c r="AJ90" s="17">
        <x:v>46323</x:v>
      </x:c>
      <x:c r="AK90" s="1" t="s">
        <x:v>73</x:v>
      </x:c>
      <x:c r="AL90" s="8" t="s">
        <x:v>74</x:v>
      </x:c>
      <x:c r="AM90" s="1"/>
      <x:c r="AN90" s="8" t="s">
        <x:v>95</x:v>
      </x:c>
      <x:c r="AO90" s="1" t="s">
        <x:v>76</x:v>
      </x:c>
      <x:c r="AP90" s="8"/>
      <x:c r="AQ90" s="1" t="s">
        <x:v>77</x:v>
      </x:c>
      <x:c r="AR90" s="8" t="str">
        <x:v>Проверка автором исследования; дополнительная проверка Михаилом Саяпиным; согласование 28.10.2026</x:v>
      </x:c>
      <x:c r="AS90" s="1"/>
      <x:c r="AT90" s="8" t="s">
        <x:v>96</x:v>
      </x:c>
      <x:c r="AU90" s="1" t="s">
        <x:v>97</x:v>
      </x:c>
      <x:c r="AV90" s="17"/>
      <x:c r="AW90" s="1" t="s">
        <x:v>98</x:v>
      </x:c>
      <x:c r="AX90" s="8" t="s">
        <x:v>146</x:v>
      </x:c>
      <x:c r="AY90" s="8" t="s">
        <x:v>1223</x:v>
      </x:c>
    </x:row>
    <x:row r="91" ht="69.94999694824219" customHeight="1">
      <x:c r="A91" s="1" t="s">
        <x:v>1224</x:v>
      </x:c>
      <x:c r="B91" s="8" t="s">
        <x:v>1225</x:v>
      </x:c>
      <x:c r="C91" s="1" t="s">
        <x:v>1226</x:v>
      </x:c>
      <x:c r="D91" s="8" t="s">
        <x:v>86</x:v>
      </x:c>
      <x:c r="E91" s="1" t="s">
        <x:v>76</x:v>
      </x:c>
      <x:c r="F91" s="8" t="s">
        <x:v>1227</x:v>
      </x:c>
      <x:c r="G91" s="1" t="s">
        <x:v>1228</x:v>
      </x:c>
      <x:c r="H91" s="8"/>
      <x:c r="I91" s="4">
        <x:v>2018</x:v>
      </x:c>
      <x:c r="J91" s="8"/>
      <x:c r="K91" s="1"/>
      <x:c r="L91" s="8" t="s">
        <x:v>1169</x:v>
      </x:c>
      <x:c r="M91" s="1" t="s">
        <x:v>90</x:v>
      </x:c>
      <x:c r="N91" s="8" t="s">
        <x:v>1229</x:v>
      </x:c>
      <x:c r="O91" s="1" t="s">
        <x:v>1230</x:v>
      </x:c>
      <x:c r="P91" s="8"/>
      <x:c r="Q91" s="1"/>
      <x:c r="R91" s="8"/>
      <x:c r="S91" s="3"/>
      <x:c r="T91" s="8" t="s">
        <x:v>63</x:v>
      </x:c>
      <x:c r="U91" s="1" t="s">
        <x:v>1219</x:v>
      </x:c>
      <x:c r="V91" s="13">
        <x:v>9</x:v>
      </x:c>
      <x:c r="W91" s="1" t="s">
        <x:v>65</x:v>
      </x:c>
      <x:c r="X91" s="8" t="s">
        <x:v>66</x:v>
      </x:c>
      <x:c r="Y91" s="1" t="str">
        <x:v>Проверено автором исследования</x:v>
      </x:c>
      <x:c r="Z91" s="8"/>
      <x:c r="AA91" s="1" t="s">
        <x:v>1220</x:v>
      </x:c>
      <x:c r="AB91" s="13">
        <x:v>2024</x:v>
      </x:c>
      <x:c r="AC91" s="3"/>
      <x:c r="AD91" s="8" t="s">
        <x:v>93</x:v>
      </x:c>
      <x:c r="AE91" s="1"/>
      <x:c r="AF91" s="8" t="s">
        <x:v>118</x:v>
      </x:c>
      <x:c r="AG91" s="1" t="s">
        <x:v>1222</x:v>
      </x:c>
      <x:c r="AH91" s="8" t="str">
        <x:v>Краткая затекстовая ссылка; повторная документальная сверка выполнена</x:v>
      </x:c>
      <x:c r="AI91" s="1"/>
      <x:c r="AJ91" s="17"/>
      <x:c r="AK91" s="1" t="s">
        <x:v>73</x:v>
      </x:c>
      <x:c r="AL91" s="8" t="s">
        <x:v>74</x:v>
      </x:c>
      <x:c r="AM91" s="1"/>
      <x:c r="AN91" s="8" t="s">
        <x:v>95</x:v>
      </x:c>
      <x:c r="AO91" s="1" t="s">
        <x:v>76</x:v>
      </x:c>
      <x:c r="AP91" s="8"/>
      <x:c r="AQ91" s="1" t="s">
        <x:v>77</x:v>
      </x:c>
      <x:c r="AR91" s="8" t="str">
        <x:v>Проверка автором исследования</x:v>
      </x:c>
      <x:c r="AS91" s="1"/>
      <x:c r="AT91" s="8" t="s">
        <x:v>96</x:v>
      </x:c>
      <x:c r="AU91" s="1" t="s">
        <x:v>97</x:v>
      </x:c>
      <x:c r="AV91" s="17"/>
      <x:c r="AW91" s="1" t="s">
        <x:v>98</x:v>
      </x:c>
      <x:c r="AX91" s="8" t="s">
        <x:v>82</x:v>
      </x:c>
      <x:c r="AY91" s="8"/>
    </x:row>
    <x:row r="92" ht="69.94999694824219" customHeight="1">
      <x:c r="A92" s="1" t="s">
        <x:v>1231</x:v>
      </x:c>
      <x:c r="B92" s="8" t="s">
        <x:v>1232</x:v>
      </x:c>
      <x:c r="C92" s="1" t="s">
        <x:v>1233</x:v>
      </x:c>
      <x:c r="D92" s="8" t="s">
        <x:v>86</x:v>
      </x:c>
      <x:c r="E92" s="1" t="s">
        <x:v>76</x:v>
      </x:c>
      <x:c r="F92" s="8" t="s">
        <x:v>1234</x:v>
      </x:c>
      <x:c r="G92" s="1" t="s">
        <x:v>1235</x:v>
      </x:c>
      <x:c r="H92" s="8"/>
      <x:c r="I92" s="4">
        <x:v>2022</x:v>
      </x:c>
      <x:c r="J92" s="8"/>
      <x:c r="K92" s="1"/>
      <x:c r="L92" s="8" t="s">
        <x:v>1236</x:v>
      </x:c>
      <x:c r="M92" s="1" t="s">
        <x:v>90</x:v>
      </x:c>
      <x:c r="N92" s="8" t="s">
        <x:v>1237</x:v>
      </x:c>
      <x:c r="O92" s="1" t="s">
        <x:v>407</x:v>
      </x:c>
      <x:c r="P92" s="8"/>
      <x:c r="Q92" s="1"/>
      <x:c r="R92" s="8"/>
      <x:c r="S92" s="3"/>
      <x:c r="T92" s="8" t="s">
        <x:v>63</x:v>
      </x:c>
      <x:c r="U92" s="1" t="s">
        <x:v>1219</x:v>
      </x:c>
      <x:c r="V92" s="13">
        <x:v>14</x:v>
      </x:c>
      <x:c r="W92" s="1" t="s">
        <x:v>65</x:v>
      </x:c>
      <x:c r="X92" s="8" t="s">
        <x:v>66</x:v>
      </x:c>
      <x:c r="Y92" s="1" t="str">
        <x:v>Проверено автором исследования</x:v>
      </x:c>
      <x:c r="Z92" s="8"/>
      <x:c r="AA92" s="1" t="s">
        <x:v>1220</x:v>
      </x:c>
      <x:c r="AB92" s="13">
        <x:v>2024</x:v>
      </x:c>
      <x:c r="AC92" s="3"/>
      <x:c r="AD92" s="8" t="s">
        <x:v>93</x:v>
      </x:c>
      <x:c r="AE92" s="1"/>
      <x:c r="AF92" s="8" t="s">
        <x:v>118</x:v>
      </x:c>
      <x:c r="AG92" s="1" t="s">
        <x:v>1222</x:v>
      </x:c>
      <x:c r="AH92" s="8" t="str">
        <x:v>Краткая затекстовая ссылка; повторная документальная сверка выполнена</x:v>
      </x:c>
      <x:c r="AI92" s="1"/>
      <x:c r="AJ92" s="17"/>
      <x:c r="AK92" s="1" t="s">
        <x:v>73</x:v>
      </x:c>
      <x:c r="AL92" s="8" t="s">
        <x:v>74</x:v>
      </x:c>
      <x:c r="AM92" s="1"/>
      <x:c r="AN92" s="8" t="s">
        <x:v>95</x:v>
      </x:c>
      <x:c r="AO92" s="1" t="s">
        <x:v>76</x:v>
      </x:c>
      <x:c r="AP92" s="8"/>
      <x:c r="AQ92" s="1" t="s">
        <x:v>77</x:v>
      </x:c>
      <x:c r="AR92" s="8" t="str">
        <x:v>Проверка автором исследования</x:v>
      </x:c>
      <x:c r="AS92" s="1"/>
      <x:c r="AT92" s="8" t="s">
        <x:v>96</x:v>
      </x:c>
      <x:c r="AU92" s="1" t="s">
        <x:v>97</x:v>
      </x:c>
      <x:c r="AV92" s="17"/>
      <x:c r="AW92" s="1" t="s">
        <x:v>98</x:v>
      </x:c>
      <x:c r="AX92" s="8" t="s">
        <x:v>82</x:v>
      </x:c>
      <x:c r="AY92" s="8"/>
    </x:row>
    <x:row r="93" ht="140.10000610351562" customHeight="1">
      <x:c r="A93" s="1" t="s">
        <x:v>1238</x:v>
      </x:c>
      <x:c r="B93" s="8" t="s">
        <x:v>1239</x:v>
      </x:c>
      <x:c r="C93" s="1" t="s">
        <x:v>1240</x:v>
      </x:c>
      <x:c r="D93" s="8" t="s">
        <x:v>53</x:v>
      </x:c>
      <x:c r="E93" s="1" t="s">
        <x:v>54</x:v>
      </x:c>
      <x:c r="F93" s="8" t="s">
        <x:v>1241</x:v>
      </x:c>
      <x:c r="G93" s="1" t="s">
        <x:v>1242</x:v>
      </x:c>
      <x:c r="H93" s="8" t="s">
        <x:v>1243</x:v>
      </x:c>
      <x:c r="I93" s="4">
        <x:v>2023</x:v>
      </x:c>
      <x:c r="J93" s="8" t="s">
        <x:v>697</x:v>
      </x:c>
      <x:c r="K93" s="1" t="s">
        <x:v>239</x:v>
      </x:c>
      <x:c r="L93" s="8" t="s">
        <x:v>1244</x:v>
      </x:c>
      <x:c r="M93" s="1" t="s">
        <x:v>61</x:v>
      </x:c>
      <x:c r="N93" s="8"/>
      <x:c r="O93" s="1"/>
      <x:c r="P93" s="8"/>
      <x:c r="Q93" s="1"/>
      <x:c r="R93" s="8" t="s">
        <x:v>1245</x:v>
      </x:c>
      <x:c r="S93" s="3"/>
      <x:c r="T93" s="8" t="s">
        <x:v>63</x:v>
      </x:c>
      <x:c r="U93" s="1" t="s">
        <x:v>1246</x:v>
      </x:c>
      <x:c r="V93" s="13">
        <x:v>8</x:v>
      </x:c>
      <x:c r="W93" s="1" t="s">
        <x:v>65</x:v>
      </x:c>
      <x:c r="X93" s="8" t="s">
        <x:v>66</x:v>
      </x:c>
      <x:c r="Y93" s="1" t="str">
        <x:v>Проверено автором исследования</x:v>
      </x:c>
      <x:c r="Z93" s="8" t="s">
        <x:v>1247</x:v>
      </x:c>
      <x:c r="AA93" s="1" t="s">
        <x:v>1248</x:v>
      </x:c>
      <x:c r="AB93" s="13">
        <x:v>2025</x:v>
      </x:c>
      <x:c r="AC93" s="3">
        <x:v>46322</x:v>
      </x:c>
      <x:c r="AD93" s="8" t="s">
        <x:v>69</x:v>
      </x:c>
      <x:c r="AE93" s="1" t="s">
        <x:v>1249</x:v>
      </x:c>
      <x:c r="AF93" s="8" t="s">
        <x:v>71</x:v>
      </x:c>
      <x:c r="AG93" s="1" t="s">
        <x:v>1250</x:v>
      </x:c>
      <x:c r="AH93" s="8" t="str">
        <x:v>Краткая затекстовая ссылка; повторная документальная сверка выполнена</x:v>
      </x:c>
      <x:c r="AI93" s="1"/>
      <x:c r="AJ93" s="17"/>
      <x:c r="AK93" s="1" t="s">
        <x:v>73</x:v>
      </x:c>
      <x:c r="AL93" s="8" t="s">
        <x:v>74</x:v>
      </x:c>
      <x:c r="AM93" s="1"/>
      <x:c r="AN93" s="8" t="s">
        <x:v>75</x:v>
      </x:c>
      <x:c r="AO93" s="1" t="s">
        <x:v>76</x:v>
      </x:c>
      <x:c r="AP93" s="8"/>
      <x:c r="AQ93" s="1" t="s">
        <x:v>77</x:v>
      </x:c>
      <x:c r="AR93" s="8" t="str">
        <x:v>Проверка автором исследования</x:v>
      </x:c>
      <x:c r="AS93" s="1" t="s">
        <x:v>1251</x:v>
      </x:c>
      <x:c r="AT93" s="8" t="s">
        <x:v>1252</x:v>
      </x:c>
      <x:c r="AU93" s="1" t="s">
        <x:v>1253</x:v>
      </x:c>
      <x:c r="AV93" s="17">
        <x:v>46321</x:v>
      </x:c>
      <x:c r="AW93" s="1" t="s">
        <x:v>81</x:v>
      </x:c>
      <x:c r="AX93" s="8" t="s">
        <x:v>82</x:v>
      </x:c>
      <x:c r="AY93" s="8"/>
    </x:row>
    <x:row r="94" ht="153.9499969482422" customHeight="1">
      <x:c r="A94" s="1" t="s">
        <x:v>1254</x:v>
      </x:c>
      <x:c r="B94" s="8" t="s">
        <x:v>1255</x:v>
      </x:c>
      <x:c r="C94" s="1" t="s">
        <x:v>1256</x:v>
      </x:c>
      <x:c r="D94" s="8" t="s">
        <x:v>53</x:v>
      </x:c>
      <x:c r="E94" s="1" t="s">
        <x:v>54</x:v>
      </x:c>
      <x:c r="F94" s="8" t="s">
        <x:v>1257</x:v>
      </x:c>
      <x:c r="G94" s="1" t="s">
        <x:v>1258</x:v>
      </x:c>
      <x:c r="H94" s="8" t="s">
        <x:v>1259</x:v>
      </x:c>
      <x:c r="I94" s="4">
        <x:v>2024</x:v>
      </x:c>
      <x:c r="J94" s="8" t="s">
        <x:v>801</x:v>
      </x:c>
      <x:c r="K94" s="1" t="s">
        <x:v>190</x:v>
      </x:c>
      <x:c r="L94" s="8" t="s">
        <x:v>1260</x:v>
      </x:c>
      <x:c r="M94" s="1" t="s">
        <x:v>61</x:v>
      </x:c>
      <x:c r="N94" s="8"/>
      <x:c r="O94" s="1"/>
      <x:c r="P94" s="8"/>
      <x:c r="Q94" s="1"/>
      <x:c r="R94" s="8" t="s">
        <x:v>1261</x:v>
      </x:c>
      <x:c r="S94" s="3"/>
      <x:c r="T94" s="8" t="s">
        <x:v>63</x:v>
      </x:c>
      <x:c r="U94" s="1" t="s">
        <x:v>1246</x:v>
      </x:c>
      <x:c r="V94" s="13">
        <x:v>13</x:v>
      </x:c>
      <x:c r="W94" s="1" t="s">
        <x:v>65</x:v>
      </x:c>
      <x:c r="X94" s="8" t="s">
        <x:v>66</x:v>
      </x:c>
      <x:c r="Y94" s="1" t="str">
        <x:v>Проверено автором исследования</x:v>
      </x:c>
      <x:c r="Z94" s="8" t="s">
        <x:v>1262</x:v>
      </x:c>
      <x:c r="AA94" s="1" t="s">
        <x:v>1248</x:v>
      </x:c>
      <x:c r="AB94" s="13">
        <x:v>2025</x:v>
      </x:c>
      <x:c r="AC94" s="3">
        <x:v>46322</x:v>
      </x:c>
      <x:c r="AD94" s="8" t="s">
        <x:v>69</x:v>
      </x:c>
      <x:c r="AE94" s="1" t="s">
        <x:v>1263</x:v>
      </x:c>
      <x:c r="AF94" s="8" t="s">
        <x:v>71</x:v>
      </x:c>
      <x:c r="AG94" s="1" t="s">
        <x:v>1250</x:v>
      </x:c>
      <x:c r="AH94" s="8" t="str">
        <x:v>Краткая затекстовая ссылка; повторная документальная сверка выполнена</x:v>
      </x:c>
      <x:c r="AI94" s="1"/>
      <x:c r="AJ94" s="17"/>
      <x:c r="AK94" s="1" t="s">
        <x:v>73</x:v>
      </x:c>
      <x:c r="AL94" s="8" t="s">
        <x:v>74</x:v>
      </x:c>
      <x:c r="AM94" s="1"/>
      <x:c r="AN94" s="8" t="s">
        <x:v>75</x:v>
      </x:c>
      <x:c r="AO94" s="1" t="s">
        <x:v>76</x:v>
      </x:c>
      <x:c r="AP94" s="8"/>
      <x:c r="AQ94" s="1" t="s">
        <x:v>77</x:v>
      </x:c>
      <x:c r="AR94" s="8" t="str">
        <x:v>Проверка автором исследования</x:v>
      </x:c>
      <x:c r="AS94" s="1" t="s">
        <x:v>1264</x:v>
      </x:c>
      <x:c r="AT94" s="8" t="s">
        <x:v>1265</x:v>
      </x:c>
      <x:c r="AU94" s="1" t="s">
        <x:v>1266</x:v>
      </x:c>
      <x:c r="AV94" s="17">
        <x:v>46321</x:v>
      </x:c>
      <x:c r="AW94" s="1" t="s">
        <x:v>81</x:v>
      </x:c>
      <x:c r="AX94" s="8" t="s">
        <x:v>82</x:v>
      </x:c>
      <x:c r="AY94" s="8"/>
    </x:row>
    <x:row r="95" ht="140.10000610351562" customHeight="1">
      <x:c r="A95" s="1" t="s">
        <x:v>1267</x:v>
      </x:c>
      <x:c r="B95" s="8" t="s">
        <x:v>1268</x:v>
      </x:c>
      <x:c r="C95" s="1" t="s">
        <x:v>1269</x:v>
      </x:c>
      <x:c r="D95" s="8" t="s">
        <x:v>53</x:v>
      </x:c>
      <x:c r="E95" s="1" t="s">
        <x:v>54</x:v>
      </x:c>
      <x:c r="F95" s="8" t="s">
        <x:v>1270</x:v>
      </x:c>
      <x:c r="G95" s="1" t="s">
        <x:v>1271</x:v>
      </x:c>
      <x:c r="H95" s="8" t="s">
        <x:v>1272</x:v>
      </x:c>
      <x:c r="I95" s="4">
        <x:v>2024</x:v>
      </x:c>
      <x:c r="J95" s="8"/>
      <x:c r="K95" s="1" t="s">
        <x:v>239</x:v>
      </x:c>
      <x:c r="L95" s="8" t="s">
        <x:v>1273</x:v>
      </x:c>
      <x:c r="M95" s="1" t="s">
        <x:v>61</x:v>
      </x:c>
      <x:c r="N95" s="8"/>
      <x:c r="O95" s="1"/>
      <x:c r="P95" s="8"/>
      <x:c r="Q95" s="1"/>
      <x:c r="R95" s="8" t="s">
        <x:v>1274</x:v>
      </x:c>
      <x:c r="S95" s="3"/>
      <x:c r="T95" s="8" t="s">
        <x:v>63</x:v>
      </x:c>
      <x:c r="U95" s="1" t="s">
        <x:v>1246</x:v>
      </x:c>
      <x:c r="V95" s="13">
        <x:v>16</x:v>
      </x:c>
      <x:c r="W95" s="1" t="s">
        <x:v>65</x:v>
      </x:c>
      <x:c r="X95" s="8" t="s">
        <x:v>66</x:v>
      </x:c>
      <x:c r="Y95" s="1" t="str">
        <x:v>Проверено автором исследования</x:v>
      </x:c>
      <x:c r="Z95" s="8" t="s">
        <x:v>1275</x:v>
      </x:c>
      <x:c r="AA95" s="1" t="s">
        <x:v>1248</x:v>
      </x:c>
      <x:c r="AB95" s="13">
        <x:v>2025</x:v>
      </x:c>
      <x:c r="AC95" s="3">
        <x:v>46322</x:v>
      </x:c>
      <x:c r="AD95" s="8" t="s">
        <x:v>69</x:v>
      </x:c>
      <x:c r="AE95" s="1" t="s">
        <x:v>1276</x:v>
      </x:c>
      <x:c r="AF95" s="8" t="s">
        <x:v>71</x:v>
      </x:c>
      <x:c r="AG95" s="1" t="s">
        <x:v>1250</x:v>
      </x:c>
      <x:c r="AH95" s="8" t="str">
        <x:v>Краткая затекстовая ссылка; повторная документальная сверка выполнена</x:v>
      </x:c>
      <x:c r="AI95" s="1"/>
      <x:c r="AJ95" s="17"/>
      <x:c r="AK95" s="1" t="s">
        <x:v>73</x:v>
      </x:c>
      <x:c r="AL95" s="8" t="s">
        <x:v>74</x:v>
      </x:c>
      <x:c r="AM95" s="1"/>
      <x:c r="AN95" s="8" t="s">
        <x:v>75</x:v>
      </x:c>
      <x:c r="AO95" s="1" t="s">
        <x:v>76</x:v>
      </x:c>
      <x:c r="AP95" s="8"/>
      <x:c r="AQ95" s="1" t="s">
        <x:v>77</x:v>
      </x:c>
      <x:c r="AR95" s="8" t="str">
        <x:v>Проверка автором исследования</x:v>
      </x:c>
      <x:c r="AS95" s="1" t="s">
        <x:v>1277</x:v>
      </x:c>
      <x:c r="AT95" s="8" t="s">
        <x:v>1278</x:v>
      </x:c>
      <x:c r="AU95" s="1" t="s">
        <x:v>1279</x:v>
      </x:c>
      <x:c r="AV95" s="17">
        <x:v>46321</x:v>
      </x:c>
      <x:c r="AW95" s="1" t="s">
        <x:v>81</x:v>
      </x:c>
      <x:c r="AX95" s="8" t="s">
        <x:v>82</x:v>
      </x:c>
      <x:c r="AY95" s="8"/>
    </x:row>
    <x:row r="96" ht="69.94999694824219" customHeight="1">
      <x:c r="A96" s="1" t="s">
        <x:v>1280</x:v>
      </x:c>
      <x:c r="B96" s="8" t="s">
        <x:v>1281</x:v>
      </x:c>
      <x:c r="C96" s="1" t="s">
        <x:v>1282</x:v>
      </x:c>
      <x:c r="D96" s="8" t="s">
        <x:v>86</x:v>
      </x:c>
      <x:c r="E96" s="1" t="s">
        <x:v>76</x:v>
      </x:c>
      <x:c r="F96" s="8" t="s">
        <x:v>1283</x:v>
      </x:c>
      <x:c r="G96" s="1" t="s">
        <x:v>1284</x:v>
      </x:c>
      <x:c r="H96" s="8"/>
      <x:c r="I96" s="4">
        <x:v>2020</x:v>
      </x:c>
      <x:c r="J96" s="8"/>
      <x:c r="K96" s="1"/>
      <x:c r="L96" s="8" t="s">
        <x:v>1285</x:v>
      </x:c>
      <x:c r="M96" s="1" t="s">
        <x:v>90</x:v>
      </x:c>
      <x:c r="N96" s="8" t="s">
        <x:v>1286</x:v>
      </x:c>
      <x:c r="O96" s="1" t="s">
        <x:v>92</x:v>
      </x:c>
      <x:c r="P96" s="8"/>
      <x:c r="Q96" s="1"/>
      <x:c r="R96" s="8" t="s">
        <x:v>1287</x:v>
      </x:c>
      <x:c r="S96" s="3">
        <x:v>45547</x:v>
      </x:c>
      <x:c r="T96" s="8" t="s">
        <x:v>63</x:v>
      </x:c>
      <x:c r="U96" s="1" t="s">
        <x:v>1288</x:v>
      </x:c>
      <x:c r="V96" s="13">
        <x:v>3</x:v>
      </x:c>
      <x:c r="W96" s="1" t="s">
        <x:v>65</x:v>
      </x:c>
      <x:c r="X96" s="8" t="s">
        <x:v>66</x:v>
      </x:c>
      <x:c r="Y96" s="1" t="str">
        <x:v>Проверено автором исследования</x:v>
      </x:c>
      <x:c r="Z96" s="8"/>
      <x:c r="AA96" s="1" t="s">
        <x:v>1289</x:v>
      </x:c>
      <x:c r="AB96" s="13">
        <x:v>2025</x:v>
      </x:c>
      <x:c r="AC96" s="3"/>
      <x:c r="AD96" s="8" t="s">
        <x:v>93</x:v>
      </x:c>
      <x:c r="AE96" s="1"/>
      <x:c r="AF96" s="8" t="s">
        <x:v>71</x:v>
      </x:c>
      <x:c r="AG96" s="1" t="s">
        <x:v>1290</x:v>
      </x:c>
      <x:c r="AH96" s="8" t="str">
        <x:v>Краткая затекстовая ссылка; повторная документальная сверка выполнена</x:v>
      </x:c>
      <x:c r="AI96" s="1"/>
      <x:c r="AJ96" s="17"/>
      <x:c r="AK96" s="1" t="s">
        <x:v>73</x:v>
      </x:c>
      <x:c r="AL96" s="8" t="s">
        <x:v>74</x:v>
      </x:c>
      <x:c r="AM96" s="1"/>
      <x:c r="AN96" s="8" t="s">
        <x:v>95</x:v>
      </x:c>
      <x:c r="AO96" s="1" t="s">
        <x:v>54</x:v>
      </x:c>
      <x:c r="AP96" s="8"/>
      <x:c r="AQ96" s="1" t="s">
        <x:v>77</x:v>
      </x:c>
      <x:c r="AR96" s="8" t="str">
        <x:v>Проверка автором исследования</x:v>
      </x:c>
      <x:c r="AS96" s="1"/>
      <x:c r="AT96" s="8" t="s">
        <x:v>96</x:v>
      </x:c>
      <x:c r="AU96" s="1" t="s">
        <x:v>447</x:v>
      </x:c>
      <x:c r="AV96" s="17">
        <x:v>45547</x:v>
      </x:c>
      <x:c r="AW96" s="1" t="s">
        <x:v>324</x:v>
      </x:c>
      <x:c r="AX96" s="8" t="s">
        <x:v>82</x:v>
      </x:c>
      <x:c r="AY96" s="8"/>
    </x:row>
    <x:row r="97" ht="69.94999694824219" customHeight="1">
      <x:c r="A97" s="1" t="s">
        <x:v>1291</x:v>
      </x:c>
      <x:c r="B97" s="8" t="s">
        <x:v>1292</x:v>
      </x:c>
      <x:c r="C97" s="1" t="s">
        <x:v>1293</x:v>
      </x:c>
      <x:c r="D97" s="8" t="s">
        <x:v>86</x:v>
      </x:c>
      <x:c r="E97" s="1" t="s">
        <x:v>76</x:v>
      </x:c>
      <x:c r="F97" s="8" t="s">
        <x:v>1294</x:v>
      </x:c>
      <x:c r="G97" s="1" t="s">
        <x:v>1295</x:v>
      </x:c>
      <x:c r="H97" s="8"/>
      <x:c r="I97" s="4">
        <x:v>2010</x:v>
      </x:c>
      <x:c r="J97" s="8"/>
      <x:c r="K97" s="1"/>
      <x:c r="L97" s="8" t="s">
        <x:v>1296</x:v>
      </x:c>
      <x:c r="M97" s="1" t="s">
        <x:v>90</x:v>
      </x:c>
      <x:c r="N97" s="8" t="s">
        <x:v>1297</x:v>
      </x:c>
      <x:c r="O97" s="1" t="s">
        <x:v>92</x:v>
      </x:c>
      <x:c r="P97" s="8"/>
      <x:c r="Q97" s="1" t="s">
        <x:v>1298</x:v>
      </x:c>
      <x:c r="R97" s="8"/>
      <x:c r="S97" s="3"/>
      <x:c r="T97" s="8" t="s">
        <x:v>63</x:v>
      </x:c>
      <x:c r="U97" s="1" t="s">
        <x:v>1288</x:v>
      </x:c>
      <x:c r="V97" s="13">
        <x:v>8</x:v>
      </x:c>
      <x:c r="W97" s="1" t="s">
        <x:v>65</x:v>
      </x:c>
      <x:c r="X97" s="8" t="s">
        <x:v>66</x:v>
      </x:c>
      <x:c r="Y97" s="1" t="str">
        <x:v>Проверено автором исследования</x:v>
      </x:c>
      <x:c r="Z97" s="8"/>
      <x:c r="AA97" s="1" t="s">
        <x:v>1289</x:v>
      </x:c>
      <x:c r="AB97" s="13">
        <x:v>2025</x:v>
      </x:c>
      <x:c r="AC97" s="3"/>
      <x:c r="AD97" s="8" t="s">
        <x:v>93</x:v>
      </x:c>
      <x:c r="AE97" s="1" t="s">
        <x:v>1299</x:v>
      </x:c>
      <x:c r="AF97" s="8" t="s">
        <x:v>71</x:v>
      </x:c>
      <x:c r="AG97" s="1" t="s">
        <x:v>1290</x:v>
      </x:c>
      <x:c r="AH97" s="8" t="str">
        <x:v>Краткая затекстовая ссылка; повторная документальная сверка выполнена</x:v>
      </x:c>
      <x:c r="AI97" s="1"/>
      <x:c r="AJ97" s="17"/>
      <x:c r="AK97" s="1" t="s">
        <x:v>73</x:v>
      </x:c>
      <x:c r="AL97" s="8" t="s">
        <x:v>74</x:v>
      </x:c>
      <x:c r="AM97" s="1"/>
      <x:c r="AN97" s="8" t="s">
        <x:v>95</x:v>
      </x:c>
      <x:c r="AO97" s="1" t="s">
        <x:v>76</x:v>
      </x:c>
      <x:c r="AP97" s="8"/>
      <x:c r="AQ97" s="1" t="s">
        <x:v>77</x:v>
      </x:c>
      <x:c r="AR97" s="8" t="str">
        <x:v>Проверка автором исследования</x:v>
      </x:c>
      <x:c r="AS97" s="1"/>
      <x:c r="AT97" s="8" t="s">
        <x:v>96</x:v>
      </x:c>
      <x:c r="AU97" s="1" t="s">
        <x:v>97</x:v>
      </x:c>
      <x:c r="AV97" s="17"/>
      <x:c r="AW97" s="1" t="s">
        <x:v>98</x:v>
      </x:c>
      <x:c r="AX97" s="8" t="s">
        <x:v>82</x:v>
      </x:c>
      <x:c r="AY97" s="8"/>
    </x:row>
    <x:row r="98" ht="69.94999694824219" customHeight="1">
      <x:c r="A98" s="1" t="s">
        <x:v>1300</x:v>
      </x:c>
      <x:c r="B98" s="8" t="s">
        <x:v>1301</x:v>
      </x:c>
      <x:c r="C98" s="1" t="s">
        <x:v>1302</x:v>
      </x:c>
      <x:c r="D98" s="8" t="s">
        <x:v>73</x:v>
      </x:c>
      <x:c r="E98" s="1" t="s">
        <x:v>76</x:v>
      </x:c>
      <x:c r="F98" s="8" t="s">
        <x:v>1303</x:v>
      </x:c>
      <x:c r="G98" s="1" t="s">
        <x:v>1304</x:v>
      </x:c>
      <x:c r="H98" s="8" t="s">
        <x:v>1305</x:v>
      </x:c>
      <x:c r="I98" s="4">
        <x:v>2013</x:v>
      </x:c>
      <x:c r="J98" s="8"/>
      <x:c r="K98" s="1" t="s">
        <x:v>190</x:v>
      </x:c>
      <x:c r="L98" s="8" t="s">
        <x:v>1306</x:v>
      </x:c>
      <x:c r="M98" s="1" t="s">
        <x:v>61</x:v>
      </x:c>
      <x:c r="N98" s="8"/>
      <x:c r="O98" s="1"/>
      <x:c r="P98" s="8"/>
      <x:c r="Q98" s="1"/>
      <x:c r="R98" s="8"/>
      <x:c r="S98" s="3"/>
      <x:c r="T98" s="8" t="s">
        <x:v>63</x:v>
      </x:c>
      <x:c r="U98" s="1" t="s">
        <x:v>1288</x:v>
      </x:c>
      <x:c r="V98" s="13">
        <x:v>12</x:v>
      </x:c>
      <x:c r="W98" s="1" t="s">
        <x:v>140</x:v>
      </x:c>
      <x:c r="X98" s="8" t="s">
        <x:v>66</x:v>
      </x:c>
      <x:c r="Y98" s="1" t="str">
        <x:v>Проверено автором; дополнительно проверено Михаилом Саяпиным</x:v>
      </x:c>
      <x:c r="Z98" s="8"/>
      <x:c r="AA98" s="1" t="s">
        <x:v>1289</x:v>
      </x:c>
      <x:c r="AB98" s="13">
        <x:v>2025</x:v>
      </x:c>
      <x:c r="AC98" s="3"/>
      <x:c r="AD98" s="8" t="s">
        <x:v>93</x:v>
      </x:c>
      <x:c r="AE98" s="1" t="s">
        <x:v>1307</x:v>
      </x:c>
      <x:c r="AF98" s="8" t="s">
        <x:v>71</x:v>
      </x:c>
      <x:c r="AG98" s="1" t="s">
        <x:v>1290</x:v>
      </x:c>
      <x:c r="AH98" s="8" t="s">
        <x:v>144</x:v>
      </x:c>
      <x:c r="AI98" s="1" t="s">
        <x:v>145</x:v>
      </x:c>
      <x:c r="AJ98" s="17">
        <x:v>46323</x:v>
      </x:c>
      <x:c r="AK98" s="1" t="s">
        <x:v>73</x:v>
      </x:c>
      <x:c r="AL98" s="8" t="s">
        <x:v>74</x:v>
      </x:c>
      <x:c r="AM98" s="1"/>
      <x:c r="AN98" s="8" t="s">
        <x:v>95</x:v>
      </x:c>
      <x:c r="AO98" s="1" t="s">
        <x:v>76</x:v>
      </x:c>
      <x:c r="AP98" s="8"/>
      <x:c r="AQ98" s="1" t="s">
        <x:v>77</x:v>
      </x:c>
      <x:c r="AR98" s="8" t="str">
        <x:v>Проверка автором исследования; дополнительная проверка Михаилом Саяпиным; согласование 28.10.2026</x:v>
      </x:c>
      <x:c r="AS98" s="1"/>
      <x:c r="AT98" s="8" t="s">
        <x:v>96</x:v>
      </x:c>
      <x:c r="AU98" s="1" t="s">
        <x:v>97</x:v>
      </x:c>
      <x:c r="AV98" s="17"/>
      <x:c r="AW98" s="1" t="s">
        <x:v>98</x:v>
      </x:c>
      <x:c r="AX98" s="8" t="s">
        <x:v>146</x:v>
      </x:c>
      <x:c r="AY98" s="8" t="s">
        <x:v>1308</x:v>
      </x:c>
    </x:row>
    <x:row r="99" ht="69.94999694824219" customHeight="1">
      <x:c r="A99" s="1" t="s">
        <x:v>1309</x:v>
      </x:c>
      <x:c r="B99" s="8" t="s">
        <x:v>1310</x:v>
      </x:c>
      <x:c r="C99" s="1" t="s">
        <x:v>1311</x:v>
      </x:c>
      <x:c r="D99" s="8" t="s">
        <x:v>73</x:v>
      </x:c>
      <x:c r="E99" s="1" t="s">
        <x:v>76</x:v>
      </x:c>
      <x:c r="F99" s="8" t="s">
        <x:v>1312</x:v>
      </x:c>
      <x:c r="G99" s="1" t="s">
        <x:v>1313</x:v>
      </x:c>
      <x:c r="H99" s="8" t="s">
        <x:v>1314</x:v>
      </x:c>
      <x:c r="I99" s="4">
        <x:v>2012</x:v>
      </x:c>
      <x:c r="J99" s="8"/>
      <x:c r="K99" s="1" t="s">
        <x:v>106</x:v>
      </x:c>
      <x:c r="L99" s="8" t="s">
        <x:v>1315</x:v>
      </x:c>
      <x:c r="M99" s="1" t="s">
        <x:v>61</x:v>
      </x:c>
      <x:c r="N99" s="8"/>
      <x:c r="O99" s="1"/>
      <x:c r="P99" s="8"/>
      <x:c r="Q99" s="1"/>
      <x:c r="R99" s="8"/>
      <x:c r="S99" s="3"/>
      <x:c r="T99" s="8" t="s">
        <x:v>63</x:v>
      </x:c>
      <x:c r="U99" s="1" t="s">
        <x:v>1316</x:v>
      </x:c>
      <x:c r="V99" s="13">
        <x:v>1</x:v>
      </x:c>
      <x:c r="W99" s="1" t="s">
        <x:v>140</x:v>
      </x:c>
      <x:c r="X99" s="8" t="s">
        <x:v>66</x:v>
      </x:c>
      <x:c r="Y99" s="1" t="str">
        <x:v>Проверено автором; дополнительно проверено Михаилом Саяпиным</x:v>
      </x:c>
      <x:c r="Z99" s="8"/>
      <x:c r="AA99" s="1" t="s">
        <x:v>1317</x:v>
      </x:c>
      <x:c r="AB99" s="13">
        <x:v>2025</x:v>
      </x:c>
      <x:c r="AC99" s="3"/>
      <x:c r="AD99" s="8" t="s">
        <x:v>93</x:v>
      </x:c>
      <x:c r="AE99" s="1" t="s">
        <x:v>1318</x:v>
      </x:c>
      <x:c r="AF99" s="8" t="s">
        <x:v>118</x:v>
      </x:c>
      <x:c r="AG99" s="1" t="s">
        <x:v>1319</x:v>
      </x:c>
      <x:c r="AH99" s="8" t="s">
        <x:v>144</x:v>
      </x:c>
      <x:c r="AI99" s="1" t="s">
        <x:v>145</x:v>
      </x:c>
      <x:c r="AJ99" s="17">
        <x:v>46323</x:v>
      </x:c>
      <x:c r="AK99" s="1" t="s">
        <x:v>73</x:v>
      </x:c>
      <x:c r="AL99" s="8" t="s">
        <x:v>74</x:v>
      </x:c>
      <x:c r="AM99" s="1"/>
      <x:c r="AN99" s="8" t="s">
        <x:v>95</x:v>
      </x:c>
      <x:c r="AO99" s="1" t="s">
        <x:v>76</x:v>
      </x:c>
      <x:c r="AP99" s="8"/>
      <x:c r="AQ99" s="1" t="s">
        <x:v>77</x:v>
      </x:c>
      <x:c r="AR99" s="8" t="str">
        <x:v>Проверка автором исследования; дополнительная проверка Михаилом Саяпиным; согласование 28.10.2026</x:v>
      </x:c>
      <x:c r="AS99" s="1"/>
      <x:c r="AT99" s="8" t="s">
        <x:v>96</x:v>
      </x:c>
      <x:c r="AU99" s="1" t="s">
        <x:v>97</x:v>
      </x:c>
      <x:c r="AV99" s="17"/>
      <x:c r="AW99" s="1" t="s">
        <x:v>98</x:v>
      </x:c>
      <x:c r="AX99" s="8" t="s">
        <x:v>146</x:v>
      </x:c>
      <x:c r="AY99" s="8" t="s">
        <x:v>1320</x:v>
      </x:c>
    </x:row>
    <x:row r="100" ht="69.94999694824219" customHeight="1">
      <x:c r="A100" s="1" t="s">
        <x:v>1321</x:v>
      </x:c>
      <x:c r="B100" s="8" t="s">
        <x:v>1322</x:v>
      </x:c>
      <x:c r="C100" s="1" t="s">
        <x:v>1323</x:v>
      </x:c>
      <x:c r="D100" s="8" t="s">
        <x:v>73</x:v>
      </x:c>
      <x:c r="E100" s="1" t="s">
        <x:v>76</x:v>
      </x:c>
      <x:c r="F100" s="8" t="s">
        <x:v>1324</x:v>
      </x:c>
      <x:c r="G100" s="1" t="s">
        <x:v>1325</x:v>
      </x:c>
      <x:c r="H100" s="8" t="s">
        <x:v>1326</x:v>
      </x:c>
      <x:c r="I100" s="4">
        <x:v>2030</x:v>
      </x:c>
      <x:c r="J100" s="8"/>
      <x:c r="K100" s="1"/>
      <x:c r="L100" s="8" t="s">
        <x:v>1327</x:v>
      </x:c>
      <x:c r="M100" s="1" t="s">
        <x:v>61</x:v>
      </x:c>
      <x:c r="N100" s="8"/>
      <x:c r="O100" s="1"/>
      <x:c r="P100" s="8"/>
      <x:c r="Q100" s="1"/>
      <x:c r="R100" s="8"/>
      <x:c r="S100" s="3"/>
      <x:c r="T100" s="8" t="s">
        <x:v>63</x:v>
      </x:c>
      <x:c r="U100" s="1" t="s">
        <x:v>1316</x:v>
      </x:c>
      <x:c r="V100" s="13">
        <x:v>24</x:v>
      </x:c>
      <x:c r="W100" s="1" t="s">
        <x:v>65</x:v>
      </x:c>
      <x:c r="X100" s="8" t="s">
        <x:v>66</x:v>
      </x:c>
      <x:c r="Y100" s="1" t="str">
        <x:v>Проверено автором исследования</x:v>
      </x:c>
      <x:c r="Z100" s="8"/>
      <x:c r="AA100" s="1" t="s">
        <x:v>1317</x:v>
      </x:c>
      <x:c r="AB100" s="13">
        <x:v>2025</x:v>
      </x:c>
      <x:c r="AC100" s="3"/>
      <x:c r="AD100" s="8" t="s">
        <x:v>93</x:v>
      </x:c>
      <x:c r="AE100" s="1" t="s">
        <x:v>1328</x:v>
      </x:c>
      <x:c r="AF100" s="8" t="s">
        <x:v>118</x:v>
      </x:c>
      <x:c r="AG100" s="1" t="s">
        <x:v>1319</x:v>
      </x:c>
      <x:c r="AH100" s="8" t="str">
        <x:v>Краткая затекстовая ссылка; повторная документальная сверка выполнена</x:v>
      </x:c>
      <x:c r="AI100" s="1"/>
      <x:c r="AJ100" s="17"/>
      <x:c r="AK100" s="1" t="s">
        <x:v>73</x:v>
      </x:c>
      <x:c r="AL100" s="8" t="s">
        <x:v>74</x:v>
      </x:c>
      <x:c r="AM100" s="1"/>
      <x:c r="AN100" s="8" t="s">
        <x:v>95</x:v>
      </x:c>
      <x:c r="AO100" s="1" t="s">
        <x:v>76</x:v>
      </x:c>
      <x:c r="AP100" s="8"/>
      <x:c r="AQ100" s="1" t="s">
        <x:v>77</x:v>
      </x:c>
      <x:c r="AR100" s="8" t="str">
        <x:v>Проверка автором исследования</x:v>
      </x:c>
      <x:c r="AS100" s="1"/>
      <x:c r="AT100" s="8" t="s">
        <x:v>96</x:v>
      </x:c>
      <x:c r="AU100" s="1" t="s">
        <x:v>97</x:v>
      </x:c>
      <x:c r="AV100" s="17"/>
      <x:c r="AW100" s="1" t="s">
        <x:v>98</x:v>
      </x:c>
      <x:c r="AX100" s="8" t="s">
        <x:v>82</x:v>
      </x:c>
      <x:c r="AY100" s="8"/>
    </x:row>
    <x:row r="101" ht="69.94999694824219" customHeight="1">
      <x:c r="A101" s="1" t="s">
        <x:v>1329</x:v>
      </x:c>
      <x:c r="B101" s="8" t="s">
        <x:v>1330</x:v>
      </x:c>
      <x:c r="C101" s="1" t="s">
        <x:v>1331</x:v>
      </x:c>
      <x:c r="D101" s="8" t="s">
        <x:v>73</x:v>
      </x:c>
      <x:c r="E101" s="1" t="s">
        <x:v>76</x:v>
      </x:c>
      <x:c r="F101" s="8" t="s">
        <x:v>1332</x:v>
      </x:c>
      <x:c r="G101" s="1" t="s">
        <x:v>1333</x:v>
      </x:c>
      <x:c r="H101" s="8" t="s">
        <x:v>1334</x:v>
      </x:c>
      <x:c r="I101" s="4">
        <x:v>1985</x:v>
      </x:c>
      <x:c r="J101" s="8"/>
      <x:c r="K101" s="1" t="s">
        <x:v>1335</x:v>
      </x:c>
      <x:c r="L101" s="8" t="s">
        <x:v>1336</x:v>
      </x:c>
      <x:c r="M101" s="1" t="s">
        <x:v>61</x:v>
      </x:c>
      <x:c r="N101" s="8"/>
      <x:c r="O101" s="1"/>
      <x:c r="P101" s="8"/>
      <x:c r="Q101" s="1"/>
      <x:c r="R101" s="8"/>
      <x:c r="S101" s="3"/>
      <x:c r="T101" s="8" t="s">
        <x:v>63</x:v>
      </x:c>
      <x:c r="U101" s="1" t="s">
        <x:v>1337</x:v>
      </x:c>
      <x:c r="V101" s="13">
        <x:v>14</x:v>
      </x:c>
      <x:c r="W101" s="1" t="s">
        <x:v>65</x:v>
      </x:c>
      <x:c r="X101" s="8" t="s">
        <x:v>66</x:v>
      </x:c>
      <x:c r="Y101" s="1" t="str">
        <x:v>Проверено автором исследования</x:v>
      </x:c>
      <x:c r="Z101" s="8"/>
      <x:c r="AA101" s="1" t="s">
        <x:v>1338</x:v>
      </x:c>
      <x:c r="AB101" s="13">
        <x:v>2025</x:v>
      </x:c>
      <x:c r="AC101" s="3"/>
      <x:c r="AD101" s="8" t="s">
        <x:v>93</x:v>
      </x:c>
      <x:c r="AE101" s="1"/>
      <x:c r="AF101" s="8" t="s">
        <x:v>71</x:v>
      </x:c>
      <x:c r="AG101" s="1" t="s">
        <x:v>1339</x:v>
      </x:c>
      <x:c r="AH101" s="8" t="str">
        <x:v>Краткая затекстовая ссылка; повторная документальная сверка выполнена</x:v>
      </x:c>
      <x:c r="AI101" s="1"/>
      <x:c r="AJ101" s="17"/>
      <x:c r="AK101" s="1" t="s">
        <x:v>73</x:v>
      </x:c>
      <x:c r="AL101" s="8" t="s">
        <x:v>74</x:v>
      </x:c>
      <x:c r="AM101" s="1"/>
      <x:c r="AN101" s="8" t="s">
        <x:v>95</x:v>
      </x:c>
      <x:c r="AO101" s="1" t="s">
        <x:v>76</x:v>
      </x:c>
      <x:c r="AP101" s="8"/>
      <x:c r="AQ101" s="1" t="s">
        <x:v>77</x:v>
      </x:c>
      <x:c r="AR101" s="8" t="str">
        <x:v>Проверка автором исследования</x:v>
      </x:c>
      <x:c r="AS101" s="1"/>
      <x:c r="AT101" s="8" t="s">
        <x:v>96</x:v>
      </x:c>
      <x:c r="AU101" s="1" t="s">
        <x:v>97</x:v>
      </x:c>
      <x:c r="AV101" s="17"/>
      <x:c r="AW101" s="1" t="s">
        <x:v>98</x:v>
      </x:c>
      <x:c r="AX101" s="8" t="s">
        <x:v>82</x:v>
      </x:c>
      <x:c r="AY101" s="8"/>
    </x:row>
    <x:row r="102" ht="69.94999694824219" customHeight="1">
      <x:c r="A102" s="1" t="s">
        <x:v>1340</x:v>
      </x:c>
      <x:c r="B102" s="8" t="s">
        <x:v>1341</x:v>
      </x:c>
      <x:c r="C102" s="1" t="s">
        <x:v>1342</x:v>
      </x:c>
      <x:c r="D102" s="8" t="s">
        <x:v>73</x:v>
      </x:c>
      <x:c r="E102" s="1" t="s">
        <x:v>76</x:v>
      </x:c>
      <x:c r="F102" s="8" t="s">
        <x:v>1343</x:v>
      </x:c>
      <x:c r="G102" s="1" t="s">
        <x:v>1344</x:v>
      </x:c>
      <x:c r="H102" s="8" t="s">
        <x:v>1345</x:v>
      </x:c>
      <x:c r="I102" s="4">
        <x:v>2023</x:v>
      </x:c>
      <x:c r="J102" s="8" t="s">
        <x:v>1346</x:v>
      </x:c>
      <x:c r="K102" s="1" t="s">
        <x:v>1347</x:v>
      </x:c>
      <x:c r="L102" s="8" t="s">
        <x:v>1348</x:v>
      </x:c>
      <x:c r="M102" s="1" t="s">
        <x:v>61</x:v>
      </x:c>
      <x:c r="N102" s="8"/>
      <x:c r="O102" s="1"/>
      <x:c r="P102" s="8"/>
      <x:c r="Q102" s="1"/>
      <x:c r="R102" s="8" t="s">
        <x:v>1349</x:v>
      </x:c>
      <x:c r="S102" s="3"/>
      <x:c r="T102" s="8" t="s">
        <x:v>63</x:v>
      </x:c>
      <x:c r="U102" s="1" t="s">
        <x:v>1350</x:v>
      </x:c>
      <x:c r="V102" s="13">
        <x:v>4</x:v>
      </x:c>
      <x:c r="W102" s="1" t="s">
        <x:v>65</x:v>
      </x:c>
      <x:c r="X102" s="8" t="s">
        <x:v>66</x:v>
      </x:c>
      <x:c r="Y102" s="1" t="str">
        <x:v>Проверено автором исследования</x:v>
      </x:c>
      <x:c r="Z102" s="8" t="s">
        <x:v>1351</x:v>
      </x:c>
      <x:c r="AA102" s="1" t="s">
        <x:v>1352</x:v>
      </x:c>
      <x:c r="AB102" s="13">
        <x:v>2025</x:v>
      </x:c>
      <x:c r="AC102" s="3"/>
      <x:c r="AD102" s="8" t="s">
        <x:v>93</x:v>
      </x:c>
      <x:c r="AE102" s="1" t="s">
        <x:v>1353</x:v>
      </x:c>
      <x:c r="AF102" s="8" t="s">
        <x:v>118</x:v>
      </x:c>
      <x:c r="AG102" s="1" t="s">
        <x:v>1354</x:v>
      </x:c>
      <x:c r="AH102" s="8" t="str">
        <x:v>Краткая затекстовая ссылка; повторная документальная сверка выполнена</x:v>
      </x:c>
      <x:c r="AI102" s="1"/>
      <x:c r="AJ102" s="17"/>
      <x:c r="AK102" s="1" t="s">
        <x:v>73</x:v>
      </x:c>
      <x:c r="AL102" s="8" t="s">
        <x:v>74</x:v>
      </x:c>
      <x:c r="AM102" s="1"/>
      <x:c r="AN102" s="8" t="s">
        <x:v>95</x:v>
      </x:c>
      <x:c r="AO102" s="1" t="s">
        <x:v>76</x:v>
      </x:c>
      <x:c r="AP102" s="8"/>
      <x:c r="AQ102" s="1" t="s">
        <x:v>77</x:v>
      </x:c>
      <x:c r="AR102" s="8" t="str">
        <x:v>Проверка автором исследования</x:v>
      </x:c>
      <x:c r="AS102" s="1"/>
      <x:c r="AT102" s="8" t="s">
        <x:v>96</x:v>
      </x:c>
      <x:c r="AU102" s="1" t="s">
        <x:v>447</x:v>
      </x:c>
      <x:c r="AV102" s="17">
        <x:v>46321</x:v>
      </x:c>
      <x:c r="AW102" s="1" t="s">
        <x:v>81</x:v>
      </x:c>
      <x:c r="AX102" s="8" t="s">
        <x:v>82</x:v>
      </x:c>
      <x:c r="AY102" s="8"/>
    </x:row>
    <x:row r="103" ht="153.9499969482422" customHeight="1">
      <x:c r="A103" s="1" t="s">
        <x:v>1355</x:v>
      </x:c>
      <x:c r="B103" s="8" t="s">
        <x:v>1356</x:v>
      </x:c>
      <x:c r="C103" s="1" t="s">
        <x:v>1357</x:v>
      </x:c>
      <x:c r="D103" s="8" t="s">
        <x:v>53</x:v>
      </x:c>
      <x:c r="E103" s="1" t="s">
        <x:v>54</x:v>
      </x:c>
      <x:c r="F103" s="8" t="s">
        <x:v>1358</x:v>
      </x:c>
      <x:c r="G103" s="1" t="s">
        <x:v>1359</x:v>
      </x:c>
      <x:c r="H103" s="8" t="s">
        <x:v>1360</x:v>
      </x:c>
      <x:c r="I103" s="4">
        <x:v>2006</x:v>
      </x:c>
      <x:c r="J103" s="8"/>
      <x:c r="K103" s="1" t="s">
        <x:v>182</x:v>
      </x:c>
      <x:c r="L103" s="8" t="s">
        <x:v>1361</x:v>
      </x:c>
      <x:c r="M103" s="1" t="s">
        <x:v>61</x:v>
      </x:c>
      <x:c r="N103" s="8"/>
      <x:c r="O103" s="1"/>
      <x:c r="P103" s="8"/>
      <x:c r="Q103" s="1"/>
      <x:c r="R103" s="8" t="s">
        <x:v>1362</x:v>
      </x:c>
      <x:c r="S103" s="3">
        <x:v>45608</x:v>
      </x:c>
      <x:c r="T103" s="8" t="s">
        <x:v>63</x:v>
      </x:c>
      <x:c r="U103" s="1" t="s">
        <x:v>1350</x:v>
      </x:c>
      <x:c r="V103" s="13">
        <x:v>5</x:v>
      </x:c>
      <x:c r="W103" s="1" t="s">
        <x:v>65</x:v>
      </x:c>
      <x:c r="X103" s="8" t="s">
        <x:v>66</x:v>
      </x:c>
      <x:c r="Y103" s="1" t="str">
        <x:v>Проверено автором исследования</x:v>
      </x:c>
      <x:c r="Z103" s="8"/>
      <x:c r="AA103" s="1" t="s">
        <x:v>1352</x:v>
      </x:c>
      <x:c r="AB103" s="13">
        <x:v>2025</x:v>
      </x:c>
      <x:c r="AC103" s="3">
        <x:v>46322</x:v>
      </x:c>
      <x:c r="AD103" s="8" t="s">
        <x:v>69</x:v>
      </x:c>
      <x:c r="AE103" s="1"/>
      <x:c r="AF103" s="8" t="s">
        <x:v>118</x:v>
      </x:c>
      <x:c r="AG103" s="1" t="s">
        <x:v>1354</x:v>
      </x:c>
      <x:c r="AH103" s="8" t="str">
        <x:v>Краткая затекстовая ссылка; повторная документальная сверка выполнена</x:v>
      </x:c>
      <x:c r="AI103" s="1"/>
      <x:c r="AJ103" s="17"/>
      <x:c r="AK103" s="1" t="s">
        <x:v>73</x:v>
      </x:c>
      <x:c r="AL103" s="8" t="s">
        <x:v>74</x:v>
      </x:c>
      <x:c r="AM103" s="1"/>
      <x:c r="AN103" s="8" t="s">
        <x:v>75</x:v>
      </x:c>
      <x:c r="AO103" s="1" t="s">
        <x:v>54</x:v>
      </x:c>
      <x:c r="AP103" s="8"/>
      <x:c r="AQ103" s="1" t="s">
        <x:v>77</x:v>
      </x:c>
      <x:c r="AR103" s="8" t="str">
        <x:v>Проверка автором исследования</x:v>
      </x:c>
      <x:c r="AS103" s="1" t="s">
        <x:v>1362</x:v>
      </x:c>
      <x:c r="AT103" s="8" t="s">
        <x:v>1363</x:v>
      </x:c>
      <x:c r="AU103" s="1" t="s">
        <x:v>1364</x:v>
      </x:c>
      <x:c r="AV103" s="17">
        <x:v>45608</x:v>
      </x:c>
      <x:c r="AW103" s="1" t="s">
        <x:v>324</x:v>
      </x:c>
      <x:c r="AX103" s="8" t="s">
        <x:v>82</x:v>
      </x:c>
      <x:c r="AY103" s="8"/>
    </x:row>
    <x:row r="104" ht="69.94999694824219" customHeight="1">
      <x:c r="A104" s="1" t="s">
        <x:v>1365</x:v>
      </x:c>
      <x:c r="B104" s="8" t="s">
        <x:v>1366</x:v>
      </x:c>
      <x:c r="C104" s="1" t="s">
        <x:v>1367</x:v>
      </x:c>
      <x:c r="D104" s="8" t="s">
        <x:v>1368</x:v>
      </x:c>
      <x:c r="E104" s="1" t="s">
        <x:v>76</x:v>
      </x:c>
      <x:c r="F104" s="8" t="s">
        <x:v>1369</x:v>
      </x:c>
      <x:c r="G104" s="1" t="s">
        <x:v>1370</x:v>
      </x:c>
      <x:c r="H104" s="8" t="s">
        <x:v>1371</x:v>
      </x:c>
      <x:c r="I104" s="4">
        <x:v>2023</x:v>
      </x:c>
      <x:c r="J104" s="8"/>
      <x:c r="K104" s="1"/>
      <x:c r="L104" s="8" t="s">
        <x:v>1372</x:v>
      </x:c>
      <x:c r="M104" s="1" t="s">
        <x:v>61</x:v>
      </x:c>
      <x:c r="N104" s="8"/>
      <x:c r="O104" s="1"/>
      <x:c r="P104" s="8"/>
      <x:c r="Q104" s="1"/>
      <x:c r="R104" s="8" t="s">
        <x:v>1373</x:v>
      </x:c>
      <x:c r="S104" s="3">
        <x:v>45608</x:v>
      </x:c>
      <x:c r="T104" s="8" t="s">
        <x:v>63</x:v>
      </x:c>
      <x:c r="U104" s="1" t="s">
        <x:v>1350</x:v>
      </x:c>
      <x:c r="V104" s="13">
        <x:v>6</x:v>
      </x:c>
      <x:c r="W104" s="1" t="s">
        <x:v>1374</x:v>
      </x:c>
      <x:c r="X104" s="8" t="s">
        <x:v>66</x:v>
      </x:c>
      <x:c r="Y104" s="1" t="str">
        <x:v>Проверено автором; дополнительно проверено Михаилом Саяпиным</x:v>
      </x:c>
      <x:c r="Z104" s="8"/>
      <x:c r="AA104" s="1" t="s">
        <x:v>1352</x:v>
      </x:c>
      <x:c r="AB104" s="13">
        <x:v>2025</x:v>
      </x:c>
      <x:c r="AC104" s="3"/>
      <x:c r="AD104" s="8" t="s">
        <x:v>93</x:v>
      </x:c>
      <x:c r="AE104" s="1"/>
      <x:c r="AF104" s="8" t="s">
        <x:v>118</x:v>
      </x:c>
      <x:c r="AG104" s="1" t="s">
        <x:v>1354</x:v>
      </x:c>
      <x:c r="AH104" s="8" t="s">
        <x:v>1375</x:v>
      </x:c>
      <x:c r="AI104" s="1" t="s">
        <x:v>145</x:v>
      </x:c>
      <x:c r="AJ104" s="17">
        <x:v>46323</x:v>
      </x:c>
      <x:c r="AK104" s="1" t="s">
        <x:v>73</x:v>
      </x:c>
      <x:c r="AL104" s="8" t="s">
        <x:v>74</x:v>
      </x:c>
      <x:c r="AM104" s="1"/>
      <x:c r="AN104" s="8" t="s">
        <x:v>95</x:v>
      </x:c>
      <x:c r="AO104" s="1" t="s">
        <x:v>54</x:v>
      </x:c>
      <x:c r="AP104" s="8"/>
      <x:c r="AQ104" s="1" t="s">
        <x:v>77</x:v>
      </x:c>
      <x:c r="AR104" s="8" t="str">
        <x:v>Проверка автором исследования; дополнительная проверка Михаилом Саяпиным; согласование 28.10.2026</x:v>
      </x:c>
      <x:c r="AS104" s="1"/>
      <x:c r="AT104" s="8" t="s">
        <x:v>96</x:v>
      </x:c>
      <x:c r="AU104" s="1" t="s">
        <x:v>1376</x:v>
      </x:c>
      <x:c r="AV104" s="17">
        <x:v>45608</x:v>
      </x:c>
      <x:c r="AW104" s="1" t="s">
        <x:v>324</x:v>
      </x:c>
      <x:c r="AX104" s="8" t="s">
        <x:v>146</x:v>
      </x:c>
      <x:c r="AY104" s="8" t="s">
        <x:v>1377</x:v>
      </x:c>
    </x:row>
    <x:row r="105" ht="69.94999694824219" customHeight="1">
      <x:c r="A105" s="1" t="s">
        <x:v>1378</x:v>
      </x:c>
      <x:c r="B105" s="8" t="s">
        <x:v>1379</x:v>
      </x:c>
      <x:c r="C105" s="1" t="s">
        <x:v>1380</x:v>
      </x:c>
      <x:c r="D105" s="8" t="s">
        <x:v>73</x:v>
      </x:c>
      <x:c r="E105" s="1" t="s">
        <x:v>76</x:v>
      </x:c>
      <x:c r="F105" s="8" t="s">
        <x:v>1381</x:v>
      </x:c>
      <x:c r="G105" s="1" t="s">
        <x:v>1382</x:v>
      </x:c>
      <x:c r="H105" s="8" t="s">
        <x:v>1383</x:v>
      </x:c>
      <x:c r="I105" s="4">
        <x:v>2019</x:v>
      </x:c>
      <x:c r="J105" s="8" t="s">
        <x:v>340</x:v>
      </x:c>
      <x:c r="K105" s="1" t="s">
        <x:v>190</x:v>
      </x:c>
      <x:c r="L105" s="8" t="s">
        <x:v>372</x:v>
      </x:c>
      <x:c r="M105" s="1" t="s">
        <x:v>61</x:v>
      </x:c>
      <x:c r="N105" s="8"/>
      <x:c r="O105" s="1"/>
      <x:c r="P105" s="8"/>
      <x:c r="Q105" s="1"/>
      <x:c r="R105" s="8" t="s">
        <x:v>1384</x:v>
      </x:c>
      <x:c r="S105" s="3"/>
      <x:c r="T105" s="8" t="s">
        <x:v>63</x:v>
      </x:c>
      <x:c r="U105" s="1" t="s">
        <x:v>1350</x:v>
      </x:c>
      <x:c r="V105" s="13">
        <x:v>12</x:v>
      </x:c>
      <x:c r="W105" s="1" t="s">
        <x:v>65</x:v>
      </x:c>
      <x:c r="X105" s="8" t="s">
        <x:v>66</x:v>
      </x:c>
      <x:c r="Y105" s="1" t="str">
        <x:v>Проверено автором исследования</x:v>
      </x:c>
      <x:c r="Z105" s="8" t="s">
        <x:v>1385</x:v>
      </x:c>
      <x:c r="AA105" s="1" t="s">
        <x:v>1352</x:v>
      </x:c>
      <x:c r="AB105" s="13">
        <x:v>2025</x:v>
      </x:c>
      <x:c r="AC105" s="3"/>
      <x:c r="AD105" s="8" t="s">
        <x:v>93</x:v>
      </x:c>
      <x:c r="AE105" s="1" t="s">
        <x:v>1386</x:v>
      </x:c>
      <x:c r="AF105" s="8" t="s">
        <x:v>118</x:v>
      </x:c>
      <x:c r="AG105" s="1" t="s">
        <x:v>1354</x:v>
      </x:c>
      <x:c r="AH105" s="8" t="str">
        <x:v>Краткая затекстовая ссылка; повторная документальная сверка выполнена</x:v>
      </x:c>
      <x:c r="AI105" s="1"/>
      <x:c r="AJ105" s="17"/>
      <x:c r="AK105" s="1" t="s">
        <x:v>73</x:v>
      </x:c>
      <x:c r="AL105" s="8" t="s">
        <x:v>74</x:v>
      </x:c>
      <x:c r="AM105" s="1"/>
      <x:c r="AN105" s="8" t="s">
        <x:v>95</x:v>
      </x:c>
      <x:c r="AO105" s="1" t="s">
        <x:v>76</x:v>
      </x:c>
      <x:c r="AP105" s="8"/>
      <x:c r="AQ105" s="1" t="s">
        <x:v>77</x:v>
      </x:c>
      <x:c r="AR105" s="8" t="str">
        <x:v>Проверка автором исследования</x:v>
      </x:c>
      <x:c r="AS105" s="1"/>
      <x:c r="AT105" s="8" t="s">
        <x:v>96</x:v>
      </x:c>
      <x:c r="AU105" s="1" t="s">
        <x:v>1387</x:v>
      </x:c>
      <x:c r="AV105" s="17">
        <x:v>46321</x:v>
      </x:c>
      <x:c r="AW105" s="1" t="s">
        <x:v>81</x:v>
      </x:c>
      <x:c r="AX105" s="8" t="s">
        <x:v>82</x:v>
      </x:c>
      <x:c r="AY105" s="8"/>
    </x:row>
    <x:row r="106" ht="69.94999694824219" customHeight="1">
      <x:c r="A106" s="1" t="s">
        <x:v>1388</x:v>
      </x:c>
      <x:c r="B106" s="8" t="s">
        <x:v>1389</x:v>
      </x:c>
      <x:c r="C106" s="1" t="s">
        <x:v>1390</x:v>
      </x:c>
      <x:c r="D106" s="8" t="s">
        <x:v>1391</x:v>
      </x:c>
      <x:c r="E106" s="1" t="s">
        <x:v>54</x:v>
      </x:c>
      <x:c r="F106" s="8" t="s">
        <x:v>1392</x:v>
      </x:c>
      <x:c r="G106" s="1" t="s">
        <x:v>1393</x:v>
      </x:c>
      <x:c r="H106" s="8"/>
      <x:c r="I106" s="4">
        <x:v>1985</x:v>
      </x:c>
      <x:c r="J106" s="8"/>
      <x:c r="K106" s="1"/>
      <x:c r="L106" s="8" t="s">
        <x:v>1394</x:v>
      </x:c>
      <x:c r="M106" s="1" t="s">
        <x:v>90</x:v>
      </x:c>
      <x:c r="N106" s="8" t="s">
        <x:v>388</x:v>
      </x:c>
      <x:c r="O106" s="1" t="s">
        <x:v>92</x:v>
      </x:c>
      <x:c r="P106" s="8"/>
      <x:c r="Q106" s="1"/>
      <x:c r="R106" s="8" t="s">
        <x:v>1395</x:v>
      </x:c>
      <x:c r="S106" s="3">
        <x:v>45617</x:v>
      </x:c>
      <x:c r="T106" s="8" t="s">
        <x:v>63</x:v>
      </x:c>
      <x:c r="U106" s="1" t="s">
        <x:v>1350</x:v>
      </x:c>
      <x:c r="V106" s="13">
        <x:v>18</x:v>
      </x:c>
      <x:c r="W106" s="1" t="s">
        <x:v>65</x:v>
      </x:c>
      <x:c r="X106" s="8" t="s">
        <x:v>66</x:v>
      </x:c>
      <x:c r="Y106" s="1" t="str">
        <x:v>Проверено автором исследования</x:v>
      </x:c>
      <x:c r="Z106" s="8"/>
      <x:c r="AA106" s="1" t="s">
        <x:v>1352</x:v>
      </x:c>
      <x:c r="AB106" s="13">
        <x:v>2025</x:v>
      </x:c>
      <x:c r="AC106" s="3">
        <x:v>46322</x:v>
      </x:c>
      <x:c r="AD106" s="8" t="s">
        <x:v>69</x:v>
      </x:c>
      <x:c r="AE106" s="1"/>
      <x:c r="AF106" s="8" t="s">
        <x:v>118</x:v>
      </x:c>
      <x:c r="AG106" s="1" t="s">
        <x:v>1354</x:v>
      </x:c>
      <x:c r="AH106" s="8" t="str">
        <x:v>Краткая затекстовая ссылка; повторная документальная сверка выполнена</x:v>
      </x:c>
      <x:c r="AI106" s="1"/>
      <x:c r="AJ106" s="17"/>
      <x:c r="AK106" s="1" t="s">
        <x:v>73</x:v>
      </x:c>
      <x:c r="AL106" s="8" t="s">
        <x:v>74</x:v>
      </x:c>
      <x:c r="AM106" s="1"/>
      <x:c r="AN106" s="8" t="s">
        <x:v>75</x:v>
      </x:c>
      <x:c r="AO106" s="1" t="s">
        <x:v>54</x:v>
      </x:c>
      <x:c r="AP106" s="8"/>
      <x:c r="AQ106" s="1" t="s">
        <x:v>77</x:v>
      </x:c>
      <x:c r="AR106" s="8" t="str">
        <x:v>Проверка автором исследования</x:v>
      </x:c>
      <x:c r="AS106" s="1" t="s">
        <x:v>1395</x:v>
      </x:c>
      <x:c r="AT106" s="8" t="s">
        <x:v>1396</x:v>
      </x:c>
      <x:c r="AU106" s="1" t="s">
        <x:v>1397</x:v>
      </x:c>
      <x:c r="AV106" s="17">
        <x:v>45617</x:v>
      </x:c>
      <x:c r="AW106" s="1" t="s">
        <x:v>324</x:v>
      </x:c>
      <x:c r="AX106" s="8" t="s">
        <x:v>82</x:v>
      </x:c>
      <x:c r="AY106" s="8"/>
    </x:row>
    <x:row r="107" ht="84" customHeight="1">
      <x:c r="A107" s="1" t="s">
        <x:v>1398</x:v>
      </x:c>
      <x:c r="B107" s="8" t="s">
        <x:v>1399</x:v>
      </x:c>
      <x:c r="C107" s="1" t="s">
        <x:v>1400</x:v>
      </x:c>
      <x:c r="D107" s="8" t="s">
        <x:v>53</x:v>
      </x:c>
      <x:c r="E107" s="1" t="s">
        <x:v>54</x:v>
      </x:c>
      <x:c r="F107" s="8" t="s">
        <x:v>1401</x:v>
      </x:c>
      <x:c r="G107" s="1" t="s">
        <x:v>1402</x:v>
      </x:c>
      <x:c r="H107" s="8" t="s">
        <x:v>1403</x:v>
      </x:c>
      <x:c r="I107" s="4">
        <x:v>2022</x:v>
      </x:c>
      <x:c r="J107" s="8"/>
      <x:c r="K107" s="1" t="s">
        <x:v>182</x:v>
      </x:c>
      <x:c r="L107" s="8" t="s">
        <x:v>1404</x:v>
      </x:c>
      <x:c r="M107" s="1" t="s">
        <x:v>61</x:v>
      </x:c>
      <x:c r="N107" s="8"/>
      <x:c r="O107" s="1"/>
      <x:c r="P107" s="8"/>
      <x:c r="Q107" s="1"/>
      <x:c r="R107" s="8" t="s">
        <x:v>1405</x:v>
      </x:c>
      <x:c r="S107" s="3"/>
      <x:c r="T107" s="8" t="s">
        <x:v>63</x:v>
      </x:c>
      <x:c r="U107" s="1" t="s">
        <x:v>1406</x:v>
      </x:c>
      <x:c r="V107" s="13">
        <x:v>3</x:v>
      </x:c>
      <x:c r="W107" s="1" t="s">
        <x:v>65</x:v>
      </x:c>
      <x:c r="X107" s="8" t="s">
        <x:v>66</x:v>
      </x:c>
      <x:c r="Y107" s="1" t="str">
        <x:v>Проверено автором исследования</x:v>
      </x:c>
      <x:c r="Z107" s="8" t="s">
        <x:v>1407</x:v>
      </x:c>
      <x:c r="AA107" s="1" t="s">
        <x:v>1408</x:v>
      </x:c>
      <x:c r="AB107" s="13">
        <x:v>2025</x:v>
      </x:c>
      <x:c r="AC107" s="3">
        <x:v>46322</x:v>
      </x:c>
      <x:c r="AD107" s="8" t="s">
        <x:v>69</x:v>
      </x:c>
      <x:c r="AE107" s="1" t="s">
        <x:v>1409</x:v>
      </x:c>
      <x:c r="AF107" s="8" t="s">
        <x:v>118</x:v>
      </x:c>
      <x:c r="AG107" s="1" t="s">
        <x:v>1410</x:v>
      </x:c>
      <x:c r="AH107" s="8" t="str">
        <x:v>Краткая затекстовая ссылка; повторная документальная сверка выполнена</x:v>
      </x:c>
      <x:c r="AI107" s="1"/>
      <x:c r="AJ107" s="17"/>
      <x:c r="AK107" s="1" t="s">
        <x:v>73</x:v>
      </x:c>
      <x:c r="AL107" s="8" t="s">
        <x:v>74</x:v>
      </x:c>
      <x:c r="AM107" s="1"/>
      <x:c r="AN107" s="8" t="s">
        <x:v>75</x:v>
      </x:c>
      <x:c r="AO107" s="1" t="s">
        <x:v>76</x:v>
      </x:c>
      <x:c r="AP107" s="8"/>
      <x:c r="AQ107" s="1" t="s">
        <x:v>77</x:v>
      </x:c>
      <x:c r="AR107" s="8" t="str">
        <x:v>Проверка автором исследования</x:v>
      </x:c>
      <x:c r="AS107" s="1" t="s">
        <x:v>1411</x:v>
      </x:c>
      <x:c r="AT107" s="8" t="s">
        <x:v>1412</x:v>
      </x:c>
      <x:c r="AU107" s="1" t="s">
        <x:v>1413</x:v>
      </x:c>
      <x:c r="AV107" s="17">
        <x:v>46321</x:v>
      </x:c>
      <x:c r="AW107" s="1" t="s">
        <x:v>81</x:v>
      </x:c>
      <x:c r="AX107" s="8" t="s">
        <x:v>82</x:v>
      </x:c>
      <x:c r="AY107" s="8"/>
    </x:row>
    <x:row r="108" ht="69.94999694824219" customHeight="1">
      <x:c r="A108" s="1" t="s">
        <x:v>1414</x:v>
      </x:c>
      <x:c r="B108" s="8" t="s">
        <x:v>1415</x:v>
      </x:c>
      <x:c r="C108" s="1" t="s">
        <x:v>1416</x:v>
      </x:c>
      <x:c r="D108" s="8" t="s">
        <x:v>86</x:v>
      </x:c>
      <x:c r="E108" s="1" t="s">
        <x:v>76</x:v>
      </x:c>
      <x:c r="F108" s="8" t="s">
        <x:v>1417</x:v>
      </x:c>
      <x:c r="G108" s="1" t="s">
        <x:v>1418</x:v>
      </x:c>
      <x:c r="H108" s="8"/>
      <x:c r="I108" s="4">
        <x:v>2013</x:v>
      </x:c>
      <x:c r="J108" s="8"/>
      <x:c r="K108" s="1"/>
      <x:c r="L108" s="8" t="s">
        <x:v>1419</x:v>
      </x:c>
      <x:c r="M108" s="1" t="s">
        <x:v>90</x:v>
      </x:c>
      <x:c r="N108" s="8" t="s">
        <x:v>1420</x:v>
      </x:c>
      <x:c r="O108" s="1" t="s">
        <x:v>1421</x:v>
      </x:c>
      <x:c r="P108" s="8"/>
      <x:c r="Q108" s="1" t="s">
        <x:v>1422</x:v>
      </x:c>
      <x:c r="R108" s="8"/>
      <x:c r="S108" s="3"/>
      <x:c r="T108" s="8" t="s">
        <x:v>63</x:v>
      </x:c>
      <x:c r="U108" s="1" t="s">
        <x:v>1406</x:v>
      </x:c>
      <x:c r="V108" s="13">
        <x:v>13</x:v>
      </x:c>
      <x:c r="W108" s="1" t="s">
        <x:v>1423</x:v>
      </x:c>
      <x:c r="X108" s="8" t="s">
        <x:v>66</x:v>
      </x:c>
      <x:c r="Y108" s="1" t="str">
        <x:v>Проверено автором; дополнительно проверено Михаилом Саяпиным</x:v>
      </x:c>
      <x:c r="Z108" s="8"/>
      <x:c r="AA108" s="1" t="s">
        <x:v>1408</x:v>
      </x:c>
      <x:c r="AB108" s="13">
        <x:v>2025</x:v>
      </x:c>
      <x:c r="AC108" s="3"/>
      <x:c r="AD108" s="8" t="s">
        <x:v>93</x:v>
      </x:c>
      <x:c r="AE108" s="1"/>
      <x:c r="AF108" s="8" t="s">
        <x:v>118</x:v>
      </x:c>
      <x:c r="AG108" s="1" t="s">
        <x:v>1410</x:v>
      </x:c>
      <x:c r="AH108" s="8" t="s">
        <x:v>144</x:v>
      </x:c>
      <x:c r="AI108" s="1" t="s">
        <x:v>145</x:v>
      </x:c>
      <x:c r="AJ108" s="17">
        <x:v>46323</x:v>
      </x:c>
      <x:c r="AK108" s="1" t="s">
        <x:v>73</x:v>
      </x:c>
      <x:c r="AL108" s="8" t="s">
        <x:v>74</x:v>
      </x:c>
      <x:c r="AM108" s="1"/>
      <x:c r="AN108" s="8" t="s">
        <x:v>95</x:v>
      </x:c>
      <x:c r="AO108" s="1" t="s">
        <x:v>76</x:v>
      </x:c>
      <x:c r="AP108" s="8"/>
      <x:c r="AQ108" s="1" t="s">
        <x:v>77</x:v>
      </x:c>
      <x:c r="AR108" s="8" t="str">
        <x:v>Проверка автором исследования; дополнительная проверка Михаилом Саяпиным; согласование 28.10.2026</x:v>
      </x:c>
      <x:c r="AS108" s="1"/>
      <x:c r="AT108" s="8" t="s">
        <x:v>96</x:v>
      </x:c>
      <x:c r="AU108" s="1" t="s">
        <x:v>97</x:v>
      </x:c>
      <x:c r="AV108" s="17"/>
      <x:c r="AW108" s="1" t="s">
        <x:v>98</x:v>
      </x:c>
      <x:c r="AX108" s="8" t="s">
        <x:v>146</x:v>
      </x:c>
      <x:c r="AY108" s="8" t="s">
        <x:v>1424</x:v>
      </x:c>
    </x:row>
    <x:row r="109" ht="140.10000610351562" customHeight="1">
      <x:c r="A109" s="1" t="s">
        <x:v>1425</x:v>
      </x:c>
      <x:c r="B109" s="8" t="s">
        <x:v>1426</x:v>
      </x:c>
      <x:c r="C109" s="1" t="s">
        <x:v>1427</x:v>
      </x:c>
      <x:c r="D109" s="8" t="s">
        <x:v>53</x:v>
      </x:c>
      <x:c r="E109" s="1" t="s">
        <x:v>54</x:v>
      </x:c>
      <x:c r="F109" s="8" t="s">
        <x:v>1428</x:v>
      </x:c>
      <x:c r="G109" s="1" t="s">
        <x:v>1429</x:v>
      </x:c>
      <x:c r="H109" s="8" t="s">
        <x:v>1430</x:v>
      </x:c>
      <x:c r="I109" s="4">
        <x:v>2021</x:v>
      </x:c>
      <x:c r="J109" s="8" t="s">
        <x:v>630</x:v>
      </x:c>
      <x:c r="K109" s="1" t="s">
        <x:v>239</x:v>
      </x:c>
      <x:c r="L109" s="8" t="s">
        <x:v>1431</x:v>
      </x:c>
      <x:c r="M109" s="1" t="s">
        <x:v>61</x:v>
      </x:c>
      <x:c r="N109" s="8"/>
      <x:c r="O109" s="1"/>
      <x:c r="P109" s="8"/>
      <x:c r="Q109" s="1"/>
      <x:c r="R109" s="8" t="s">
        <x:v>1432</x:v>
      </x:c>
      <x:c r="S109" s="3"/>
      <x:c r="T109" s="8" t="s">
        <x:v>63</x:v>
      </x:c>
      <x:c r="U109" s="1" t="s">
        <x:v>1433</x:v>
      </x:c>
      <x:c r="V109" s="13">
        <x:v>1</x:v>
      </x:c>
      <x:c r="W109" s="1" t="s">
        <x:v>65</x:v>
      </x:c>
      <x:c r="X109" s="8" t="s">
        <x:v>66</x:v>
      </x:c>
      <x:c r="Y109" s="1" t="str">
        <x:v>Проверено автором исследования</x:v>
      </x:c>
      <x:c r="Z109" s="8" t="s">
        <x:v>1434</x:v>
      </x:c>
      <x:c r="AA109" s="1" t="s">
        <x:v>1435</x:v>
      </x:c>
      <x:c r="AB109" s="13">
        <x:v>2025</x:v>
      </x:c>
      <x:c r="AC109" s="3">
        <x:v>46322</x:v>
      </x:c>
      <x:c r="AD109" s="8" t="s">
        <x:v>69</x:v>
      </x:c>
      <x:c r="AE109" s="1" t="s">
        <x:v>1436</x:v>
      </x:c>
      <x:c r="AF109" s="8" t="s">
        <x:v>118</x:v>
      </x:c>
      <x:c r="AG109" s="1" t="s">
        <x:v>1437</x:v>
      </x:c>
      <x:c r="AH109" s="8" t="str">
        <x:v>Краткая затекстовая ссылка; повторная документальная сверка выполнена</x:v>
      </x:c>
      <x:c r="AI109" s="1"/>
      <x:c r="AJ109" s="17"/>
      <x:c r="AK109" s="1" t="s">
        <x:v>73</x:v>
      </x:c>
      <x:c r="AL109" s="8" t="s">
        <x:v>74</x:v>
      </x:c>
      <x:c r="AM109" s="1"/>
      <x:c r="AN109" s="8" t="s">
        <x:v>75</x:v>
      </x:c>
      <x:c r="AO109" s="1" t="s">
        <x:v>76</x:v>
      </x:c>
      <x:c r="AP109" s="8"/>
      <x:c r="AQ109" s="1" t="s">
        <x:v>77</x:v>
      </x:c>
      <x:c r="AR109" s="8" t="str">
        <x:v>Проверка автором исследования</x:v>
      </x:c>
      <x:c r="AS109" s="1" t="s">
        <x:v>1438</x:v>
      </x:c>
      <x:c r="AT109" s="8" t="s">
        <x:v>1439</x:v>
      </x:c>
      <x:c r="AU109" s="1" t="s">
        <x:v>1440</x:v>
      </x:c>
      <x:c r="AV109" s="17">
        <x:v>46321</x:v>
      </x:c>
      <x:c r="AW109" s="1" t="s">
        <x:v>81</x:v>
      </x:c>
      <x:c r="AX109" s="8" t="s">
        <x:v>82</x:v>
      </x:c>
      <x:c r="AY109" s="8"/>
    </x:row>
    <x:row r="110" ht="84" customHeight="1">
      <x:c r="A110" s="1" t="s">
        <x:v>1441</x:v>
      </x:c>
      <x:c r="B110" s="8" t="s">
        <x:v>1442</x:v>
      </x:c>
      <x:c r="C110" s="1" t="s">
        <x:v>1443</x:v>
      </x:c>
      <x:c r="D110" s="8" t="s">
        <x:v>73</x:v>
      </x:c>
      <x:c r="E110" s="1" t="s">
        <x:v>76</x:v>
      </x:c>
      <x:c r="F110" s="8" t="s">
        <x:v>1444</x:v>
      </x:c>
      <x:c r="G110" s="1" t="s">
        <x:v>1445</x:v>
      </x:c>
      <x:c r="H110" s="8" t="s">
        <x:v>1383</x:v>
      </x:c>
      <x:c r="I110" s="4">
        <x:v>2024</x:v>
      </x:c>
      <x:c r="J110" s="8" t="s">
        <x:v>1057</x:v>
      </x:c>
      <x:c r="K110" s="1" t="s">
        <x:v>182</x:v>
      </x:c>
      <x:c r="L110" s="8" t="s">
        <x:v>1446</x:v>
      </x:c>
      <x:c r="M110" s="1" t="s">
        <x:v>61</x:v>
      </x:c>
      <x:c r="N110" s="8"/>
      <x:c r="O110" s="1"/>
      <x:c r="P110" s="8"/>
      <x:c r="Q110" s="1"/>
      <x:c r="R110" s="8" t="s">
        <x:v>1447</x:v>
      </x:c>
      <x:c r="S110" s="3"/>
      <x:c r="T110" s="8" t="s">
        <x:v>63</x:v>
      </x:c>
      <x:c r="U110" s="1" t="s">
        <x:v>1433</x:v>
      </x:c>
      <x:c r="V110" s="13">
        <x:v>17</x:v>
      </x:c>
      <x:c r="W110" s="1" t="s">
        <x:v>65</x:v>
      </x:c>
      <x:c r="X110" s="8" t="s">
        <x:v>66</x:v>
      </x:c>
      <x:c r="Y110" s="1" t="str">
        <x:v>Проверено автором исследования</x:v>
      </x:c>
      <x:c r="Z110" s="8" t="s">
        <x:v>1448</x:v>
      </x:c>
      <x:c r="AA110" s="1" t="s">
        <x:v>1435</x:v>
      </x:c>
      <x:c r="AB110" s="13">
        <x:v>2025</x:v>
      </x:c>
      <x:c r="AC110" s="3"/>
      <x:c r="AD110" s="8" t="s">
        <x:v>93</x:v>
      </x:c>
      <x:c r="AE110" s="1" t="s">
        <x:v>1449</x:v>
      </x:c>
      <x:c r="AF110" s="8" t="s">
        <x:v>118</x:v>
      </x:c>
      <x:c r="AG110" s="1" t="s">
        <x:v>1437</x:v>
      </x:c>
      <x:c r="AH110" s="8" t="str">
        <x:v>Краткая затекстовая ссылка; повторная документальная сверка выполнена</x:v>
      </x:c>
      <x:c r="AI110" s="1"/>
      <x:c r="AJ110" s="17"/>
      <x:c r="AK110" s="1" t="s">
        <x:v>73</x:v>
      </x:c>
      <x:c r="AL110" s="8" t="s">
        <x:v>74</x:v>
      </x:c>
      <x:c r="AM110" s="1"/>
      <x:c r="AN110" s="8" t="s">
        <x:v>95</x:v>
      </x:c>
      <x:c r="AO110" s="1" t="s">
        <x:v>76</x:v>
      </x:c>
      <x:c r="AP110" s="8"/>
      <x:c r="AQ110" s="1" t="s">
        <x:v>77</x:v>
      </x:c>
      <x:c r="AR110" s="8" t="str">
        <x:v>Проверка автором исследования</x:v>
      </x:c>
      <x:c r="AS110" s="1"/>
      <x:c r="AT110" s="8" t="s">
        <x:v>96</x:v>
      </x:c>
      <x:c r="AU110" s="1" t="s">
        <x:v>1387</x:v>
      </x:c>
      <x:c r="AV110" s="17">
        <x:v>46321</x:v>
      </x:c>
      <x:c r="AW110" s="1" t="s">
        <x:v>81</x:v>
      </x:c>
      <x:c r="AX110" s="8" t="s">
        <x:v>82</x:v>
      </x:c>
      <x:c r="AY110" s="8"/>
    </x:row>
    <x:row r="111" ht="69.94999694824219" customHeight="1">
      <x:c r="A111" s="1" t="s">
        <x:v>1450</x:v>
      </x:c>
      <x:c r="B111" s="8" t="s">
        <x:v>1451</x:v>
      </x:c>
      <x:c r="C111" s="1" t="s">
        <x:v>1452</x:v>
      </x:c>
      <x:c r="D111" s="8" t="s">
        <x:v>86</x:v>
      </x:c>
      <x:c r="E111" s="1" t="s">
        <x:v>76</x:v>
      </x:c>
      <x:c r="F111" s="8" t="s">
        <x:v>1453</x:v>
      </x:c>
      <x:c r="G111" s="1" t="s">
        <x:v>1454</x:v>
      </x:c>
      <x:c r="H111" s="8"/>
      <x:c r="I111" s="4">
        <x:v>1978</x:v>
      </x:c>
      <x:c r="J111" s="8"/>
      <x:c r="K111" s="1"/>
      <x:c r="L111" s="8" t="s">
        <x:v>1455</x:v>
      </x:c>
      <x:c r="M111" s="1" t="s">
        <x:v>90</x:v>
      </x:c>
      <x:c r="N111" s="8" t="s">
        <x:v>1456</x:v>
      </x:c>
      <x:c r="O111" s="1" t="s">
        <x:v>92</x:v>
      </x:c>
      <x:c r="P111" s="8"/>
      <x:c r="Q111" s="1"/>
      <x:c r="R111" s="8" t="s">
        <x:v>1457</x:v>
      </x:c>
      <x:c r="S111" s="3">
        <x:v>45700</x:v>
      </x:c>
      <x:c r="T111" s="8" t="s">
        <x:v>63</x:v>
      </x:c>
      <x:c r="U111" s="1" t="s">
        <x:v>1458</x:v>
      </x:c>
      <x:c r="V111" s="13">
        <x:v>1</x:v>
      </x:c>
      <x:c r="W111" s="1" t="s">
        <x:v>140</x:v>
      </x:c>
      <x:c r="X111" s="8" t="s">
        <x:v>66</x:v>
      </x:c>
      <x:c r="Y111" s="1" t="str">
        <x:v>Проверено автором; дополнительно проверено Михаилом Саяпиным</x:v>
      </x:c>
      <x:c r="Z111" s="8"/>
      <x:c r="AA111" s="1" t="s">
        <x:v>1459</x:v>
      </x:c>
      <x:c r="AB111" s="13">
        <x:v>2025</x:v>
      </x:c>
      <x:c r="AC111" s="3"/>
      <x:c r="AD111" s="8" t="s">
        <x:v>93</x:v>
      </x:c>
      <x:c r="AE111" s="1"/>
      <x:c r="AF111" s="8" t="s">
        <x:v>118</x:v>
      </x:c>
      <x:c r="AG111" s="1" t="s">
        <x:v>1460</x:v>
      </x:c>
      <x:c r="AH111" s="8" t="s">
        <x:v>144</x:v>
      </x:c>
      <x:c r="AI111" s="1" t="s">
        <x:v>145</x:v>
      </x:c>
      <x:c r="AJ111" s="17">
        <x:v>46323</x:v>
      </x:c>
      <x:c r="AK111" s="1" t="s">
        <x:v>73</x:v>
      </x:c>
      <x:c r="AL111" s="8" t="s">
        <x:v>74</x:v>
      </x:c>
      <x:c r="AM111" s="1"/>
      <x:c r="AN111" s="8" t="s">
        <x:v>95</x:v>
      </x:c>
      <x:c r="AO111" s="1" t="s">
        <x:v>54</x:v>
      </x:c>
      <x:c r="AP111" s="8"/>
      <x:c r="AQ111" s="1" t="s">
        <x:v>77</x:v>
      </x:c>
      <x:c r="AR111" s="8" t="str">
        <x:v>Проверка автором исследования; дополнительная проверка Михаилом Саяпиным; согласование 28.10.2026</x:v>
      </x:c>
      <x:c r="AS111" s="1"/>
      <x:c r="AT111" s="8" t="s">
        <x:v>96</x:v>
      </x:c>
      <x:c r="AU111" s="1" t="s">
        <x:v>447</x:v>
      </x:c>
      <x:c r="AV111" s="17">
        <x:v>45700</x:v>
      </x:c>
      <x:c r="AW111" s="1" t="s">
        <x:v>324</x:v>
      </x:c>
      <x:c r="AX111" s="8" t="s">
        <x:v>146</x:v>
      </x:c>
      <x:c r="AY111" s="8" t="s">
        <x:v>1461</x:v>
      </x:c>
    </x:row>
    <x:row r="112" ht="69.94999694824219" customHeight="1">
      <x:c r="A112" s="1" t="s">
        <x:v>1462</x:v>
      </x:c>
      <x:c r="B112" s="8" t="s">
        <x:v>1463</x:v>
      </x:c>
      <x:c r="C112" s="1" t="s">
        <x:v>1464</x:v>
      </x:c>
      <x:c r="D112" s="8" t="s">
        <x:v>86</x:v>
      </x:c>
      <x:c r="E112" s="1" t="s">
        <x:v>76</x:v>
      </x:c>
      <x:c r="F112" s="8" t="s">
        <x:v>1465</x:v>
      </x:c>
      <x:c r="G112" s="1" t="s">
        <x:v>1466</x:v>
      </x:c>
      <x:c r="H112" s="8"/>
      <x:c r="I112" s="4">
        <x:v>2010</x:v>
      </x:c>
      <x:c r="J112" s="8"/>
      <x:c r="K112" s="1"/>
      <x:c r="L112" s="8" t="s">
        <x:v>1467</x:v>
      </x:c>
      <x:c r="M112" s="1" t="s">
        <x:v>90</x:v>
      </x:c>
      <x:c r="N112" s="8" t="s">
        <x:v>1468</x:v>
      </x:c>
      <x:c r="O112" s="1" t="s">
        <x:v>92</x:v>
      </x:c>
      <x:c r="P112" s="8"/>
      <x:c r="Q112" s="1"/>
      <x:c r="R112" s="8" t="s">
        <x:v>1469</x:v>
      </x:c>
      <x:c r="S112" s="3">
        <x:v>45700</x:v>
      </x:c>
      <x:c r="T112" s="8" t="s">
        <x:v>63</x:v>
      </x:c>
      <x:c r="U112" s="1" t="s">
        <x:v>1458</x:v>
      </x:c>
      <x:c r="V112" s="13">
        <x:v>2</x:v>
      </x:c>
      <x:c r="W112" s="1" t="s">
        <x:v>65</x:v>
      </x:c>
      <x:c r="X112" s="8" t="s">
        <x:v>66</x:v>
      </x:c>
      <x:c r="Y112" s="1" t="str">
        <x:v>Проверено автором исследования</x:v>
      </x:c>
      <x:c r="Z112" s="8"/>
      <x:c r="AA112" s="1" t="s">
        <x:v>1459</x:v>
      </x:c>
      <x:c r="AB112" s="13">
        <x:v>2025</x:v>
      </x:c>
      <x:c r="AC112" s="3"/>
      <x:c r="AD112" s="8" t="s">
        <x:v>93</x:v>
      </x:c>
      <x:c r="AE112" s="1"/>
      <x:c r="AF112" s="8" t="s">
        <x:v>118</x:v>
      </x:c>
      <x:c r="AG112" s="1" t="s">
        <x:v>1460</x:v>
      </x:c>
      <x:c r="AH112" s="8" t="str">
        <x:v>Краткая затекстовая ссылка; повторная документальная сверка выполнена</x:v>
      </x:c>
      <x:c r="AI112" s="1"/>
      <x:c r="AJ112" s="17"/>
      <x:c r="AK112" s="1" t="s">
        <x:v>73</x:v>
      </x:c>
      <x:c r="AL112" s="8" t="s">
        <x:v>74</x:v>
      </x:c>
      <x:c r="AM112" s="1"/>
      <x:c r="AN112" s="8" t="s">
        <x:v>95</x:v>
      </x:c>
      <x:c r="AO112" s="1" t="s">
        <x:v>54</x:v>
      </x:c>
      <x:c r="AP112" s="8"/>
      <x:c r="AQ112" s="1" t="s">
        <x:v>77</x:v>
      </x:c>
      <x:c r="AR112" s="8" t="str">
        <x:v>Проверка автором исследования</x:v>
      </x:c>
      <x:c r="AS112" s="1"/>
      <x:c r="AT112" s="8" t="s">
        <x:v>96</x:v>
      </x:c>
      <x:c r="AU112" s="1" t="s">
        <x:v>447</x:v>
      </x:c>
      <x:c r="AV112" s="17">
        <x:v>45700</x:v>
      </x:c>
      <x:c r="AW112" s="1" t="s">
        <x:v>324</x:v>
      </x:c>
      <x:c r="AX112" s="8" t="s">
        <x:v>82</x:v>
      </x:c>
      <x:c r="AY112" s="8"/>
    </x:row>
    <x:row r="113" ht="69.94999694824219" customHeight="1">
      <x:c r="A113" s="1" t="s">
        <x:v>1470</x:v>
      </x:c>
      <x:c r="B113" s="8" t="s">
        <x:v>1471</x:v>
      </x:c>
      <x:c r="C113" s="1" t="s">
        <x:v>1472</x:v>
      </x:c>
      <x:c r="D113" s="8" t="s">
        <x:v>86</x:v>
      </x:c>
      <x:c r="E113" s="1" t="s">
        <x:v>76</x:v>
      </x:c>
      <x:c r="F113" s="8" t="s">
        <x:v>1473</x:v>
      </x:c>
      <x:c r="G113" s="1" t="s">
        <x:v>1474</x:v>
      </x:c>
      <x:c r="H113" s="8"/>
      <x:c r="I113" s="4">
        <x:v>1986</x:v>
      </x:c>
      <x:c r="J113" s="8"/>
      <x:c r="K113" s="1"/>
      <x:c r="L113" s="8" t="s">
        <x:v>1475</x:v>
      </x:c>
      <x:c r="M113" s="1" t="s">
        <x:v>90</x:v>
      </x:c>
      <x:c r="N113" s="8" t="s">
        <x:v>388</x:v>
      </x:c>
      <x:c r="O113" s="1" t="s">
        <x:v>92</x:v>
      </x:c>
      <x:c r="P113" s="8"/>
      <x:c r="Q113" s="1"/>
      <x:c r="R113" s="8"/>
      <x:c r="S113" s="3"/>
      <x:c r="T113" s="8" t="s">
        <x:v>63</x:v>
      </x:c>
      <x:c r="U113" s="1" t="s">
        <x:v>1458</x:v>
      </x:c>
      <x:c r="V113" s="13">
        <x:v>18</x:v>
      </x:c>
      <x:c r="W113" s="1" t="s">
        <x:v>65</x:v>
      </x:c>
      <x:c r="X113" s="8" t="s">
        <x:v>66</x:v>
      </x:c>
      <x:c r="Y113" s="1" t="str">
        <x:v>Проверено автором исследования</x:v>
      </x:c>
      <x:c r="Z113" s="8"/>
      <x:c r="AA113" s="1" t="s">
        <x:v>1459</x:v>
      </x:c>
      <x:c r="AB113" s="13">
        <x:v>2025</x:v>
      </x:c>
      <x:c r="AC113" s="3"/>
      <x:c r="AD113" s="8" t="s">
        <x:v>93</x:v>
      </x:c>
      <x:c r="AE113" s="1"/>
      <x:c r="AF113" s="8" t="s">
        <x:v>118</x:v>
      </x:c>
      <x:c r="AG113" s="1" t="s">
        <x:v>1460</x:v>
      </x:c>
      <x:c r="AH113" s="8" t="str">
        <x:v>Краткая затекстовая ссылка; повторная документальная сверка выполнена</x:v>
      </x:c>
      <x:c r="AI113" s="1"/>
      <x:c r="AJ113" s="17"/>
      <x:c r="AK113" s="1" t="s">
        <x:v>73</x:v>
      </x:c>
      <x:c r="AL113" s="8" t="s">
        <x:v>74</x:v>
      </x:c>
      <x:c r="AM113" s="1"/>
      <x:c r="AN113" s="8" t="s">
        <x:v>95</x:v>
      </x:c>
      <x:c r="AO113" s="1" t="s">
        <x:v>76</x:v>
      </x:c>
      <x:c r="AP113" s="8"/>
      <x:c r="AQ113" s="1" t="s">
        <x:v>77</x:v>
      </x:c>
      <x:c r="AR113" s="8" t="str">
        <x:v>Проверка автором исследования</x:v>
      </x:c>
      <x:c r="AS113" s="1"/>
      <x:c r="AT113" s="8" t="s">
        <x:v>96</x:v>
      </x:c>
      <x:c r="AU113" s="1" t="s">
        <x:v>97</x:v>
      </x:c>
      <x:c r="AV113" s="17"/>
      <x:c r="AW113" s="1" t="s">
        <x:v>98</x:v>
      </x:c>
      <x:c r="AX113" s="8" t="s">
        <x:v>82</x:v>
      </x:c>
      <x:c r="AY113" s="8"/>
    </x:row>
    <x:row r="114" ht="69.94999694824219" customHeight="1">
      <x:c r="A114" s="1" t="s">
        <x:v>1476</x:v>
      </x:c>
      <x:c r="B114" s="8" t="s">
        <x:v>1477</x:v>
      </x:c>
      <x:c r="C114" s="1" t="s">
        <x:v>1478</x:v>
      </x:c>
      <x:c r="D114" s="8" t="s">
        <x:v>73</x:v>
      </x:c>
      <x:c r="E114" s="1" t="s">
        <x:v>76</x:v>
      </x:c>
      <x:c r="F114" s="8" t="s">
        <x:v>1479</x:v>
      </x:c>
      <x:c r="G114" s="1" t="s">
        <x:v>1480</x:v>
      </x:c>
      <x:c r="H114" s="8" t="s">
        <x:v>1481</x:v>
      </x:c>
      <x:c r="I114" s="4">
        <x:v>2024</x:v>
      </x:c>
      <x:c r="J114" s="8" t="s">
        <x:v>190</x:v>
      </x:c>
      <x:c r="K114" s="1" t="s">
        <x:v>1482</x:v>
      </x:c>
      <x:c r="L114" s="8" t="s">
        <x:v>1483</x:v>
      </x:c>
      <x:c r="M114" s="1" t="s">
        <x:v>61</x:v>
      </x:c>
      <x:c r="N114" s="8"/>
      <x:c r="O114" s="1"/>
      <x:c r="P114" s="8"/>
      <x:c r="Q114" s="1"/>
      <x:c r="R114" s="8"/>
      <x:c r="S114" s="3"/>
      <x:c r="T114" s="8" t="s">
        <x:v>63</x:v>
      </x:c>
      <x:c r="U114" s="1" t="s">
        <x:v>1484</x:v>
      </x:c>
      <x:c r="V114" s="13">
        <x:v>6</x:v>
      </x:c>
      <x:c r="W114" s="1" t="s">
        <x:v>65</x:v>
      </x:c>
      <x:c r="X114" s="8" t="s">
        <x:v>66</x:v>
      </x:c>
      <x:c r="Y114" s="1" t="str">
        <x:v>Проверено автором исследования</x:v>
      </x:c>
      <x:c r="Z114" s="8"/>
      <x:c r="AA114" s="1" t="s">
        <x:v>1485</x:v>
      </x:c>
      <x:c r="AB114" s="13">
        <x:v>2025</x:v>
      </x:c>
      <x:c r="AC114" s="3"/>
      <x:c r="AD114" s="8" t="s">
        <x:v>93</x:v>
      </x:c>
      <x:c r="AE114" s="1" t="s">
        <x:v>1486</x:v>
      </x:c>
      <x:c r="AF114" s="8" t="s">
        <x:v>118</x:v>
      </x:c>
      <x:c r="AG114" s="1" t="s">
        <x:v>1487</x:v>
      </x:c>
      <x:c r="AH114" s="8" t="str">
        <x:v>Краткая затекстовая ссылка; повторная документальная сверка выполнена</x:v>
      </x:c>
      <x:c r="AI114" s="1"/>
      <x:c r="AJ114" s="17"/>
      <x:c r="AK114" s="1" t="s">
        <x:v>73</x:v>
      </x:c>
      <x:c r="AL114" s="8" t="s">
        <x:v>74</x:v>
      </x:c>
      <x:c r="AM114" s="1"/>
      <x:c r="AN114" s="8" t="s">
        <x:v>95</x:v>
      </x:c>
      <x:c r="AO114" s="1" t="s">
        <x:v>76</x:v>
      </x:c>
      <x:c r="AP114" s="8"/>
      <x:c r="AQ114" s="1" t="s">
        <x:v>77</x:v>
      </x:c>
      <x:c r="AR114" s="8" t="str">
        <x:v>Проверка автором исследования</x:v>
      </x:c>
      <x:c r="AS114" s="1"/>
      <x:c r="AT114" s="8" t="s">
        <x:v>96</x:v>
      </x:c>
      <x:c r="AU114" s="1" t="s">
        <x:v>97</x:v>
      </x:c>
      <x:c r="AV114" s="17"/>
      <x:c r="AW114" s="1" t="s">
        <x:v>98</x:v>
      </x:c>
      <x:c r="AX114" s="8" t="s">
        <x:v>82</x:v>
      </x:c>
      <x:c r="AY114" s="8"/>
    </x:row>
    <x:row r="115" ht="69.94999694824219" customHeight="1">
      <x:c r="A115" s="1" t="s">
        <x:v>1488</x:v>
      </x:c>
      <x:c r="B115" s="8" t="s">
        <x:v>1489</x:v>
      </x:c>
      <x:c r="C115" s="1" t="s">
        <x:v>1490</x:v>
      </x:c>
      <x:c r="D115" s="8" t="s">
        <x:v>73</x:v>
      </x:c>
      <x:c r="E115" s="1" t="s">
        <x:v>76</x:v>
      </x:c>
      <x:c r="F115" s="8" t="s">
        <x:v>1491</x:v>
      </x:c>
      <x:c r="G115" s="1" t="s">
        <x:v>1492</x:v>
      </x:c>
      <x:c r="H115" s="8" t="s">
        <x:v>1493</x:v>
      </x:c>
      <x:c r="I115" s="4">
        <x:v>2014</x:v>
      </x:c>
      <x:c r="J115" s="8"/>
      <x:c r="K115" s="1" t="s">
        <x:v>239</x:v>
      </x:c>
      <x:c r="L115" s="8" t="s">
        <x:v>1494</x:v>
      </x:c>
      <x:c r="M115" s="1" t="s">
        <x:v>61</x:v>
      </x:c>
      <x:c r="N115" s="8"/>
      <x:c r="O115" s="1"/>
      <x:c r="P115" s="8"/>
      <x:c r="Q115" s="1"/>
      <x:c r="R115" s="8"/>
      <x:c r="S115" s="3"/>
      <x:c r="T115" s="8" t="s">
        <x:v>63</x:v>
      </x:c>
      <x:c r="U115" s="1" t="s">
        <x:v>1495</x:v>
      </x:c>
      <x:c r="V115" s="13">
        <x:v>9</x:v>
      </x:c>
      <x:c r="W115" s="1" t="s">
        <x:v>65</x:v>
      </x:c>
      <x:c r="X115" s="8" t="s">
        <x:v>66</x:v>
      </x:c>
      <x:c r="Y115" s="1" t="str">
        <x:v>Проверено автором исследования</x:v>
      </x:c>
      <x:c r="Z115" s="8"/>
      <x:c r="AA115" s="1" t="s">
        <x:v>1496</x:v>
      </x:c>
      <x:c r="AB115" s="13">
        <x:v>2025</x:v>
      </x:c>
      <x:c r="AC115" s="3"/>
      <x:c r="AD115" s="8" t="s">
        <x:v>93</x:v>
      </x:c>
      <x:c r="AE115" s="1" t="s">
        <x:v>1497</x:v>
      </x:c>
      <x:c r="AF115" s="8" t="s">
        <x:v>118</x:v>
      </x:c>
      <x:c r="AG115" s="1" t="s">
        <x:v>1498</x:v>
      </x:c>
      <x:c r="AH115" s="8" t="str">
        <x:v>Краткая затекстовая ссылка; повторная документальная сверка выполнена</x:v>
      </x:c>
      <x:c r="AI115" s="1"/>
      <x:c r="AJ115" s="17"/>
      <x:c r="AK115" s="1" t="s">
        <x:v>73</x:v>
      </x:c>
      <x:c r="AL115" s="8" t="s">
        <x:v>74</x:v>
      </x:c>
      <x:c r="AM115" s="1"/>
      <x:c r="AN115" s="8" t="s">
        <x:v>95</x:v>
      </x:c>
      <x:c r="AO115" s="1" t="s">
        <x:v>76</x:v>
      </x:c>
      <x:c r="AP115" s="8"/>
      <x:c r="AQ115" s="1" t="s">
        <x:v>77</x:v>
      </x:c>
      <x:c r="AR115" s="8" t="str">
        <x:v>Проверка автором исследования</x:v>
      </x:c>
      <x:c r="AS115" s="1"/>
      <x:c r="AT115" s="8" t="s">
        <x:v>96</x:v>
      </x:c>
      <x:c r="AU115" s="1" t="s">
        <x:v>97</x:v>
      </x:c>
      <x:c r="AV115" s="17"/>
      <x:c r="AW115" s="1" t="s">
        <x:v>98</x:v>
      </x:c>
      <x:c r="AX115" s="8" t="s">
        <x:v>82</x:v>
      </x:c>
      <x:c r="AY115" s="8"/>
    </x:row>
    <x:row r="116" ht="195.9499969482422" customHeight="1">
      <x:c r="A116" s="1" t="s">
        <x:v>1499</x:v>
      </x:c>
      <x:c r="B116" s="8" t="s">
        <x:v>1500</x:v>
      </x:c>
      <x:c r="C116" s="1" t="s">
        <x:v>1501</x:v>
      </x:c>
      <x:c r="D116" s="8" t="s">
        <x:v>53</x:v>
      </x:c>
      <x:c r="E116" s="1" t="s">
        <x:v>54</x:v>
      </x:c>
      <x:c r="F116" s="8" t="s">
        <x:v>1502</x:v>
      </x:c>
      <x:c r="G116" s="1" t="s">
        <x:v>1503</x:v>
      </x:c>
      <x:c r="H116" s="8" t="s">
        <x:v>1504</x:v>
      </x:c>
      <x:c r="I116" s="4">
        <x:v>2014</x:v>
      </x:c>
      <x:c r="J116" s="8"/>
      <x:c r="K116" s="1" t="s">
        <x:v>1505</x:v>
      </x:c>
      <x:c r="L116" s="8" t="s">
        <x:v>1506</x:v>
      </x:c>
      <x:c r="M116" s="1" t="s">
        <x:v>61</x:v>
      </x:c>
      <x:c r="N116" s="8"/>
      <x:c r="O116" s="1"/>
      <x:c r="P116" s="8"/>
      <x:c r="Q116" s="1"/>
      <x:c r="R116" s="8" t="s">
        <x:v>1507</x:v>
      </x:c>
      <x:c r="S116" s="3">
        <x:v>45736</x:v>
      </x:c>
      <x:c r="T116" s="8" t="s">
        <x:v>63</x:v>
      </x:c>
      <x:c r="U116" s="1" t="s">
        <x:v>1495</x:v>
      </x:c>
      <x:c r="V116" s="13">
        <x:v>11</x:v>
      </x:c>
      <x:c r="W116" s="1" t="s">
        <x:v>65</x:v>
      </x:c>
      <x:c r="X116" s="8" t="s">
        <x:v>66</x:v>
      </x:c>
      <x:c r="Y116" s="1" t="str">
        <x:v>Проверено автором исследования</x:v>
      </x:c>
      <x:c r="Z116" s="8"/>
      <x:c r="AA116" s="1" t="s">
        <x:v>1496</x:v>
      </x:c>
      <x:c r="AB116" s="13">
        <x:v>2025</x:v>
      </x:c>
      <x:c r="AC116" s="3">
        <x:v>46322</x:v>
      </x:c>
      <x:c r="AD116" s="8" t="s">
        <x:v>69</x:v>
      </x:c>
      <x:c r="AE116" s="1"/>
      <x:c r="AF116" s="8" t="s">
        <x:v>118</x:v>
      </x:c>
      <x:c r="AG116" s="1" t="s">
        <x:v>1498</x:v>
      </x:c>
      <x:c r="AH116" s="8" t="str">
        <x:v>Краткая затекстовая ссылка; повторная документальная сверка выполнена</x:v>
      </x:c>
      <x:c r="AI116" s="1"/>
      <x:c r="AJ116" s="17"/>
      <x:c r="AK116" s="1" t="s">
        <x:v>73</x:v>
      </x:c>
      <x:c r="AL116" s="8" t="s">
        <x:v>74</x:v>
      </x:c>
      <x:c r="AM116" s="1"/>
      <x:c r="AN116" s="8" t="s">
        <x:v>75</x:v>
      </x:c>
      <x:c r="AO116" s="1" t="s">
        <x:v>54</x:v>
      </x:c>
      <x:c r="AP116" s="8"/>
      <x:c r="AQ116" s="1" t="s">
        <x:v>77</x:v>
      </x:c>
      <x:c r="AR116" s="8" t="str">
        <x:v>Проверка автором исследования</x:v>
      </x:c>
      <x:c r="AS116" s="1" t="s">
        <x:v>1507</x:v>
      </x:c>
      <x:c r="AT116" s="8" t="s">
        <x:v>1508</x:v>
      </x:c>
      <x:c r="AU116" s="1" t="s">
        <x:v>1509</x:v>
      </x:c>
      <x:c r="AV116" s="17">
        <x:v>45736</x:v>
      </x:c>
      <x:c r="AW116" s="1" t="s">
        <x:v>324</x:v>
      </x:c>
      <x:c r="AX116" s="8" t="s">
        <x:v>82</x:v>
      </x:c>
      <x:c r="AY116" s="8"/>
    </x:row>
    <x:row r="117" ht="140.10000610351562" customHeight="1">
      <x:c r="A117" s="1" t="s">
        <x:v>1510</x:v>
      </x:c>
      <x:c r="B117" s="8" t="s">
        <x:v>1511</x:v>
      </x:c>
      <x:c r="C117" s="1" t="s">
        <x:v>1512</x:v>
      </x:c>
      <x:c r="D117" s="8" t="s">
        <x:v>53</x:v>
      </x:c>
      <x:c r="E117" s="1" t="s">
        <x:v>54</x:v>
      </x:c>
      <x:c r="F117" s="8" t="s">
        <x:v>1513</x:v>
      </x:c>
      <x:c r="G117" s="1" t="s">
        <x:v>1514</x:v>
      </x:c>
      <x:c r="H117" s="8" t="s">
        <x:v>1515</x:v>
      </x:c>
      <x:c r="I117" s="4">
        <x:v>2007</x:v>
      </x:c>
      <x:c r="J117" s="8"/>
      <x:c r="K117" s="1"/>
      <x:c r="L117" s="8" t="s">
        <x:v>1516</x:v>
      </x:c>
      <x:c r="M117" s="1" t="s">
        <x:v>61</x:v>
      </x:c>
      <x:c r="N117" s="8"/>
      <x:c r="O117" s="1"/>
      <x:c r="P117" s="8"/>
      <x:c r="Q117" s="1"/>
      <x:c r="R117" s="8" t="s">
        <x:v>1517</x:v>
      </x:c>
      <x:c r="S117" s="3">
        <x:v>45092</x:v>
      </x:c>
      <x:c r="T117" s="8" t="s">
        <x:v>63</x:v>
      </x:c>
      <x:c r="U117" s="1" t="s">
        <x:v>1518</x:v>
      </x:c>
      <x:c r="V117" s="13">
        <x:v>7</x:v>
      </x:c>
      <x:c r="W117" s="1" t="s">
        <x:v>65</x:v>
      </x:c>
      <x:c r="X117" s="8" t="s">
        <x:v>66</x:v>
      </x:c>
      <x:c r="Y117" s="1" t="str">
        <x:v>Проверено автором исследования</x:v>
      </x:c>
      <x:c r="Z117" s="8"/>
      <x:c r="AA117" s="1" t="s">
        <x:v>1519</x:v>
      </x:c>
      <x:c r="AB117" s="13">
        <x:v>2025</x:v>
      </x:c>
      <x:c r="AC117" s="3">
        <x:v>46322</x:v>
      </x:c>
      <x:c r="AD117" s="8" t="s">
        <x:v>69</x:v>
      </x:c>
      <x:c r="AE117" s="1"/>
      <x:c r="AF117" s="8" t="s">
        <x:v>71</x:v>
      </x:c>
      <x:c r="AG117" s="1" t="s">
        <x:v>1520</x:v>
      </x:c>
      <x:c r="AH117" s="8" t="str">
        <x:v>Краткая затекстовая ссылка; повторная документальная сверка выполнена</x:v>
      </x:c>
      <x:c r="AI117" s="1"/>
      <x:c r="AJ117" s="17"/>
      <x:c r="AK117" s="1" t="s">
        <x:v>73</x:v>
      </x:c>
      <x:c r="AL117" s="8" t="s">
        <x:v>74</x:v>
      </x:c>
      <x:c r="AM117" s="1"/>
      <x:c r="AN117" s="8" t="s">
        <x:v>75</x:v>
      </x:c>
      <x:c r="AO117" s="1" t="s">
        <x:v>54</x:v>
      </x:c>
      <x:c r="AP117" s="8"/>
      <x:c r="AQ117" s="1" t="s">
        <x:v>77</x:v>
      </x:c>
      <x:c r="AR117" s="8" t="str">
        <x:v>Проверка автором исследования</x:v>
      </x:c>
      <x:c r="AS117" s="1" t="s">
        <x:v>1517</x:v>
      </x:c>
      <x:c r="AT117" s="8" t="s">
        <x:v>1521</x:v>
      </x:c>
      <x:c r="AU117" s="1" t="s">
        <x:v>1522</x:v>
      </x:c>
      <x:c r="AV117" s="17">
        <x:v>45092</x:v>
      </x:c>
      <x:c r="AW117" s="1" t="s">
        <x:v>324</x:v>
      </x:c>
      <x:c r="AX117" s="8" t="s">
        <x:v>82</x:v>
      </x:c>
      <x:c r="AY117" s="8"/>
    </x:row>
    <x:row r="118" ht="69.94999694824219" customHeight="1">
      <x:c r="A118" s="1" t="s">
        <x:v>1523</x:v>
      </x:c>
      <x:c r="B118" s="8" t="s">
        <x:v>1524</x:v>
      </x:c>
      <x:c r="C118" s="1" t="s">
        <x:v>1525</x:v>
      </x:c>
      <x:c r="D118" s="8" t="s">
        <x:v>86</x:v>
      </x:c>
      <x:c r="E118" s="1" t="s">
        <x:v>76</x:v>
      </x:c>
      <x:c r="F118" s="8" t="s">
        <x:v>1526</x:v>
      </x:c>
      <x:c r="G118" s="1" t="s">
        <x:v>1527</x:v>
      </x:c>
      <x:c r="H118" s="8"/>
      <x:c r="I118" s="4">
        <x:v>1998</x:v>
      </x:c>
      <x:c r="J118" s="8"/>
      <x:c r="K118" s="1"/>
      <x:c r="L118" s="8" t="s">
        <x:v>1528</x:v>
      </x:c>
      <x:c r="M118" s="1" t="s">
        <x:v>90</x:v>
      </x:c>
      <x:c r="N118" s="8" t="s">
        <x:v>388</x:v>
      </x:c>
      <x:c r="O118" s="1" t="s">
        <x:v>92</x:v>
      </x:c>
      <x:c r="P118" s="8"/>
      <x:c r="Q118" s="1" t="s">
        <x:v>1529</x:v>
      </x:c>
      <x:c r="R118" s="8"/>
      <x:c r="S118" s="3"/>
      <x:c r="T118" s="8" t="s">
        <x:v>63</x:v>
      </x:c>
      <x:c r="U118" s="1" t="s">
        <x:v>1530</x:v>
      </x:c>
      <x:c r="V118" s="13">
        <x:v>2</x:v>
      </x:c>
      <x:c r="W118" s="1" t="s">
        <x:v>140</x:v>
      </x:c>
      <x:c r="X118" s="8" t="s">
        <x:v>66</x:v>
      </x:c>
      <x:c r="Y118" s="1" t="str">
        <x:v>Проверено автором; дополнительно проверено Михаилом Саяпиным</x:v>
      </x:c>
      <x:c r="Z118" s="8"/>
      <x:c r="AA118" s="1" t="s">
        <x:v>1531</x:v>
      </x:c>
      <x:c r="AB118" s="13">
        <x:v>2025</x:v>
      </x:c>
      <x:c r="AC118" s="3"/>
      <x:c r="AD118" s="8" t="s">
        <x:v>93</x:v>
      </x:c>
      <x:c r="AE118" s="1"/>
      <x:c r="AF118" s="8" t="s">
        <x:v>118</x:v>
      </x:c>
      <x:c r="AG118" s="1" t="s">
        <x:v>1532</x:v>
      </x:c>
      <x:c r="AH118" s="8" t="s">
        <x:v>144</x:v>
      </x:c>
      <x:c r="AI118" s="1" t="s">
        <x:v>145</x:v>
      </x:c>
      <x:c r="AJ118" s="17">
        <x:v>46323</x:v>
      </x:c>
      <x:c r="AK118" s="1" t="s">
        <x:v>73</x:v>
      </x:c>
      <x:c r="AL118" s="8" t="s">
        <x:v>74</x:v>
      </x:c>
      <x:c r="AM118" s="1"/>
      <x:c r="AN118" s="8" t="s">
        <x:v>95</x:v>
      </x:c>
      <x:c r="AO118" s="1" t="s">
        <x:v>76</x:v>
      </x:c>
      <x:c r="AP118" s="8"/>
      <x:c r="AQ118" s="1" t="s">
        <x:v>77</x:v>
      </x:c>
      <x:c r="AR118" s="8" t="str">
        <x:v>Проверка автором исследования; дополнительная проверка Михаилом Саяпиным; согласование 28.10.2026</x:v>
      </x:c>
      <x:c r="AS118" s="1"/>
      <x:c r="AT118" s="8" t="s">
        <x:v>96</x:v>
      </x:c>
      <x:c r="AU118" s="1" t="s">
        <x:v>97</x:v>
      </x:c>
      <x:c r="AV118" s="17"/>
      <x:c r="AW118" s="1" t="s">
        <x:v>98</x:v>
      </x:c>
      <x:c r="AX118" s="8" t="s">
        <x:v>146</x:v>
      </x:c>
      <x:c r="AY118" s="8" t="s">
        <x:v>1533</x:v>
      </x:c>
    </x:row>
    <x:row r="119" ht="69.94999694824219" customHeight="1">
      <x:c r="A119" s="1" t="s">
        <x:v>1534</x:v>
      </x:c>
      <x:c r="B119" s="8" t="s">
        <x:v>1535</x:v>
      </x:c>
      <x:c r="C119" s="1" t="s">
        <x:v>1536</x:v>
      </x:c>
      <x:c r="D119" s="8" t="s">
        <x:v>73</x:v>
      </x:c>
      <x:c r="E119" s="1" t="s">
        <x:v>76</x:v>
      </x:c>
      <x:c r="F119" s="8" t="s">
        <x:v>1537</x:v>
      </x:c>
      <x:c r="G119" s="1" t="s">
        <x:v>1538</x:v>
      </x:c>
      <x:c r="H119" s="8" t="s">
        <x:v>988</x:v>
      </x:c>
      <x:c r="I119" s="4">
        <x:v>2023</x:v>
      </x:c>
      <x:c r="J119" s="8"/>
      <x:c r="K119" s="1" t="s">
        <x:v>485</x:v>
      </x:c>
      <x:c r="L119" s="8" t="s">
        <x:v>1539</x:v>
      </x:c>
      <x:c r="M119" s="1" t="s">
        <x:v>61</x:v>
      </x:c>
      <x:c r="N119" s="8"/>
      <x:c r="O119" s="1"/>
      <x:c r="P119" s="8"/>
      <x:c r="Q119" s="1"/>
      <x:c r="R119" s="8"/>
      <x:c r="S119" s="3"/>
      <x:c r="T119" s="8" t="s">
        <x:v>63</x:v>
      </x:c>
      <x:c r="U119" s="1" t="s">
        <x:v>1540</x:v>
      </x:c>
      <x:c r="V119" s="13">
        <x:v>14</x:v>
      </x:c>
      <x:c r="W119" s="1" t="s">
        <x:v>65</x:v>
      </x:c>
      <x:c r="X119" s="8" t="s">
        <x:v>66</x:v>
      </x:c>
      <x:c r="Y119" s="1" t="str">
        <x:v>Проверено автором исследования</x:v>
      </x:c>
      <x:c r="Z119" s="8"/>
      <x:c r="AA119" s="1" t="s">
        <x:v>1541</x:v>
      </x:c>
      <x:c r="AB119" s="13">
        <x:v>2025</x:v>
      </x:c>
      <x:c r="AC119" s="3"/>
      <x:c r="AD119" s="8" t="s">
        <x:v>93</x:v>
      </x:c>
      <x:c r="AE119" s="1" t="s">
        <x:v>1542</x:v>
      </x:c>
      <x:c r="AF119" s="8" t="s">
        <x:v>71</x:v>
      </x:c>
      <x:c r="AG119" s="1" t="s">
        <x:v>1543</x:v>
      </x:c>
      <x:c r="AH119" s="8" t="str">
        <x:v>Краткая затекстовая ссылка; повторная документальная сверка выполнена</x:v>
      </x:c>
      <x:c r="AI119" s="1"/>
      <x:c r="AJ119" s="17"/>
      <x:c r="AK119" s="1" t="s">
        <x:v>73</x:v>
      </x:c>
      <x:c r="AL119" s="8" t="s">
        <x:v>74</x:v>
      </x:c>
      <x:c r="AM119" s="1"/>
      <x:c r="AN119" s="8" t="s">
        <x:v>95</x:v>
      </x:c>
      <x:c r="AO119" s="1" t="s">
        <x:v>76</x:v>
      </x:c>
      <x:c r="AP119" s="8"/>
      <x:c r="AQ119" s="1" t="s">
        <x:v>77</x:v>
      </x:c>
      <x:c r="AR119" s="8" t="str">
        <x:v>Проверка автором исследования</x:v>
      </x:c>
      <x:c r="AS119" s="1"/>
      <x:c r="AT119" s="8" t="s">
        <x:v>96</x:v>
      </x:c>
      <x:c r="AU119" s="1" t="s">
        <x:v>97</x:v>
      </x:c>
      <x:c r="AV119" s="17"/>
      <x:c r="AW119" s="1" t="s">
        <x:v>98</x:v>
      </x:c>
      <x:c r="AX119" s="8" t="s">
        <x:v>82</x:v>
      </x:c>
      <x:c r="AY119" s="8"/>
    </x:row>
    <x:row r="120" ht="69.94999694824219" customHeight="1">
      <x:c r="A120" s="1" t="s">
        <x:v>1544</x:v>
      </x:c>
      <x:c r="B120" s="8" t="s">
        <x:v>1545</x:v>
      </x:c>
      <x:c r="C120" s="1" t="s">
        <x:v>1546</x:v>
      </x:c>
      <x:c r="D120" s="8" t="s">
        <x:v>53</x:v>
      </x:c>
      <x:c r="E120" s="1" t="s">
        <x:v>54</x:v>
      </x:c>
      <x:c r="F120" s="8" t="s">
        <x:v>1547</x:v>
      </x:c>
      <x:c r="G120" s="1" t="s">
        <x:v>1548</x:v>
      </x:c>
      <x:c r="H120" s="8" t="s">
        <x:v>1549</x:v>
      </x:c>
      <x:c r="I120" s="4">
        <x:v>2025</x:v>
      </x:c>
      <x:c r="J120" s="8"/>
      <x:c r="K120" s="1" t="s">
        <x:v>239</x:v>
      </x:c>
      <x:c r="L120" s="8" t="s">
        <x:v>1550</x:v>
      </x:c>
      <x:c r="M120" s="1" t="s">
        <x:v>61</x:v>
      </x:c>
      <x:c r="N120" s="8"/>
      <x:c r="O120" s="1"/>
      <x:c r="P120" s="8"/>
      <x:c r="Q120" s="1"/>
      <x:c r="R120" s="8" t="s">
        <x:v>1551</x:v>
      </x:c>
      <x:c r="S120" s="3"/>
      <x:c r="T120" s="8" t="s">
        <x:v>63</x:v>
      </x:c>
      <x:c r="U120" s="1" t="s">
        <x:v>1540</x:v>
      </x:c>
      <x:c r="V120" s="13">
        <x:v>17</x:v>
      </x:c>
      <x:c r="W120" s="1" t="s">
        <x:v>65</x:v>
      </x:c>
      <x:c r="X120" s="8" t="s">
        <x:v>66</x:v>
      </x:c>
      <x:c r="Y120" s="1" t="str">
        <x:v>Проверено автором исследования</x:v>
      </x:c>
      <x:c r="Z120" s="8" t="s">
        <x:v>1552</x:v>
      </x:c>
      <x:c r="AA120" s="1" t="s">
        <x:v>1541</x:v>
      </x:c>
      <x:c r="AB120" s="13">
        <x:v>2025</x:v>
      </x:c>
      <x:c r="AC120" s="3">
        <x:v>46322</x:v>
      </x:c>
      <x:c r="AD120" s="8" t="s">
        <x:v>69</x:v>
      </x:c>
      <x:c r="AE120" s="1" t="s">
        <x:v>1553</x:v>
      </x:c>
      <x:c r="AF120" s="8" t="s">
        <x:v>71</x:v>
      </x:c>
      <x:c r="AG120" s="1" t="s">
        <x:v>1543</x:v>
      </x:c>
      <x:c r="AH120" s="8" t="str">
        <x:v>Краткая затекстовая ссылка; повторная документальная сверка выполнена</x:v>
      </x:c>
      <x:c r="AI120" s="1"/>
      <x:c r="AJ120" s="17"/>
      <x:c r="AK120" s="1" t="s">
        <x:v>73</x:v>
      </x:c>
      <x:c r="AL120" s="8" t="s">
        <x:v>74</x:v>
      </x:c>
      <x:c r="AM120" s="1"/>
      <x:c r="AN120" s="8" t="s">
        <x:v>75</x:v>
      </x:c>
      <x:c r="AO120" s="1" t="s">
        <x:v>76</x:v>
      </x:c>
      <x:c r="AP120" s="8"/>
      <x:c r="AQ120" s="1" t="s">
        <x:v>77</x:v>
      </x:c>
      <x:c r="AR120" s="8" t="str">
        <x:v>Проверка автором исследования</x:v>
      </x:c>
      <x:c r="AS120" s="1" t="s">
        <x:v>1554</x:v>
      </x:c>
      <x:c r="AT120" s="8" t="s">
        <x:v>1555</x:v>
      </x:c>
      <x:c r="AU120" s="1" t="s">
        <x:v>1556</x:v>
      </x:c>
      <x:c r="AV120" s="17">
        <x:v>46321</x:v>
      </x:c>
      <x:c r="AW120" s="1" t="s">
        <x:v>81</x:v>
      </x:c>
      <x:c r="AX120" s="8" t="s">
        <x:v>82</x:v>
      </x:c>
      <x:c r="AY120" s="8"/>
    </x:row>
    <x:row r="121" ht="69.94999694824219" customHeight="1">
      <x:c r="A121" s="1" t="s">
        <x:v>1557</x:v>
      </x:c>
      <x:c r="B121" s="8" t="s">
        <x:v>1558</x:v>
      </x:c>
      <x:c r="C121" s="1" t="s">
        <x:v>1559</x:v>
      </x:c>
      <x:c r="D121" s="8" t="s">
        <x:v>86</x:v>
      </x:c>
      <x:c r="E121" s="1" t="s">
        <x:v>76</x:v>
      </x:c>
      <x:c r="F121" s="8" t="s">
        <x:v>1560</x:v>
      </x:c>
      <x:c r="G121" s="1" t="s">
        <x:v>1561</x:v>
      </x:c>
      <x:c r="H121" s="8"/>
      <x:c r="I121" s="4">
        <x:v>1974</x:v>
      </x:c>
      <x:c r="J121" s="8"/>
      <x:c r="K121" s="1"/>
      <x:c r="L121" s="8" t="s">
        <x:v>1562</x:v>
      </x:c>
      <x:c r="M121" s="1" t="s">
        <x:v>90</x:v>
      </x:c>
      <x:c r="N121" s="8" t="s">
        <x:v>388</x:v>
      </x:c>
      <x:c r="O121" s="1" t="s">
        <x:v>92</x:v>
      </x:c>
      <x:c r="P121" s="8"/>
      <x:c r="Q121" s="1"/>
      <x:c r="R121" s="8" t="s">
        <x:v>1563</x:v>
      </x:c>
      <x:c r="S121" s="3">
        <x:v>45736</x:v>
      </x:c>
      <x:c r="T121" s="8" t="s">
        <x:v>63</x:v>
      </x:c>
      <x:c r="U121" s="1" t="s">
        <x:v>1564</x:v>
      </x:c>
      <x:c r="V121" s="13">
        <x:v>1</x:v>
      </x:c>
      <x:c r="W121" s="1" t="s">
        <x:v>140</x:v>
      </x:c>
      <x:c r="X121" s="8" t="s">
        <x:v>66</x:v>
      </x:c>
      <x:c r="Y121" s="1" t="str">
        <x:v>Проверено автором; дополнительно проверено Михаилом Саяпиным</x:v>
      </x:c>
      <x:c r="Z121" s="8"/>
      <x:c r="AA121" s="1" t="s">
        <x:v>1565</x:v>
      </x:c>
      <x:c r="AB121" s="13">
        <x:v>2025</x:v>
      </x:c>
      <x:c r="AC121" s="3"/>
      <x:c r="AD121" s="8" t="s">
        <x:v>93</x:v>
      </x:c>
      <x:c r="AE121" s="1"/>
      <x:c r="AF121" s="8" t="s">
        <x:v>118</x:v>
      </x:c>
      <x:c r="AG121" s="1" t="s">
        <x:v>1566</x:v>
      </x:c>
      <x:c r="AH121" s="8" t="s">
        <x:v>144</x:v>
      </x:c>
      <x:c r="AI121" s="1" t="s">
        <x:v>145</x:v>
      </x:c>
      <x:c r="AJ121" s="17">
        <x:v>46323</x:v>
      </x:c>
      <x:c r="AK121" s="1" t="s">
        <x:v>73</x:v>
      </x:c>
      <x:c r="AL121" s="8" t="s">
        <x:v>74</x:v>
      </x:c>
      <x:c r="AM121" s="1"/>
      <x:c r="AN121" s="8" t="s">
        <x:v>95</x:v>
      </x:c>
      <x:c r="AO121" s="1" t="s">
        <x:v>54</x:v>
      </x:c>
      <x:c r="AP121" s="8"/>
      <x:c r="AQ121" s="1" t="s">
        <x:v>77</x:v>
      </x:c>
      <x:c r="AR121" s="8" t="str">
        <x:v>Проверка автором исследования; дополнительная проверка Михаилом Саяпиным; согласование 28.10.2026</x:v>
      </x:c>
      <x:c r="AS121" s="1"/>
      <x:c r="AT121" s="8" t="s">
        <x:v>96</x:v>
      </x:c>
      <x:c r="AU121" s="1" t="s">
        <x:v>447</x:v>
      </x:c>
      <x:c r="AV121" s="17">
        <x:v>45736</x:v>
      </x:c>
      <x:c r="AW121" s="1" t="s">
        <x:v>324</x:v>
      </x:c>
      <x:c r="AX121" s="8" t="s">
        <x:v>146</x:v>
      </x:c>
      <x:c r="AY121" s="8" t="s">
        <x:v>1567</x:v>
      </x:c>
    </x:row>
    <x:row r="122" ht="69.94999694824219" customHeight="1">
      <x:c r="A122" s="1" t="s">
        <x:v>1568</x:v>
      </x:c>
      <x:c r="B122" s="8" t="s">
        <x:v>1569</x:v>
      </x:c>
      <x:c r="C122" s="1" t="s">
        <x:v>1570</x:v>
      </x:c>
      <x:c r="D122" s="8" t="s">
        <x:v>73</x:v>
      </x:c>
      <x:c r="E122" s="1" t="s">
        <x:v>76</x:v>
      </x:c>
      <x:c r="F122" s="8" t="s">
        <x:v>1571</x:v>
      </x:c>
      <x:c r="G122" s="1" t="s">
        <x:v>1572</x:v>
      </x:c>
      <x:c r="H122" s="8" t="s">
        <x:v>1573</x:v>
      </x:c>
      <x:c r="I122" s="4">
        <x:v>1999</x:v>
      </x:c>
      <x:c r="J122" s="8"/>
      <x:c r="K122" s="1" t="s">
        <x:v>416</x:v>
      </x:c>
      <x:c r="L122" s="8" t="s">
        <x:v>1574</x:v>
      </x:c>
      <x:c r="M122" s="1" t="s">
        <x:v>61</x:v>
      </x:c>
      <x:c r="N122" s="8"/>
      <x:c r="O122" s="1"/>
      <x:c r="P122" s="8"/>
      <x:c r="Q122" s="1"/>
      <x:c r="R122" s="8"/>
      <x:c r="S122" s="3"/>
      <x:c r="T122" s="8" t="s">
        <x:v>63</x:v>
      </x:c>
      <x:c r="U122" s="1" t="s">
        <x:v>1564</x:v>
      </x:c>
      <x:c r="V122" s="13">
        <x:v>13</x:v>
      </x:c>
      <x:c r="W122" s="1" t="s">
        <x:v>65</x:v>
      </x:c>
      <x:c r="X122" s="8" t="s">
        <x:v>66</x:v>
      </x:c>
      <x:c r="Y122" s="1" t="str">
        <x:v>Проверено автором исследования</x:v>
      </x:c>
      <x:c r="Z122" s="8"/>
      <x:c r="AA122" s="1" t="s">
        <x:v>1565</x:v>
      </x:c>
      <x:c r="AB122" s="13">
        <x:v>2025</x:v>
      </x:c>
      <x:c r="AC122" s="3"/>
      <x:c r="AD122" s="8" t="s">
        <x:v>93</x:v>
      </x:c>
      <x:c r="AE122" s="1" t="s">
        <x:v>1575</x:v>
      </x:c>
      <x:c r="AF122" s="8" t="s">
        <x:v>118</x:v>
      </x:c>
      <x:c r="AG122" s="1" t="s">
        <x:v>1566</x:v>
      </x:c>
      <x:c r="AH122" s="8" t="str">
        <x:v>Краткая затекстовая ссылка; повторная документальная сверка выполнена</x:v>
      </x:c>
      <x:c r="AI122" s="1"/>
      <x:c r="AJ122" s="17"/>
      <x:c r="AK122" s="1" t="s">
        <x:v>73</x:v>
      </x:c>
      <x:c r="AL122" s="8" t="s">
        <x:v>74</x:v>
      </x:c>
      <x:c r="AM122" s="1"/>
      <x:c r="AN122" s="8" t="s">
        <x:v>95</x:v>
      </x:c>
      <x:c r="AO122" s="1" t="s">
        <x:v>76</x:v>
      </x:c>
      <x:c r="AP122" s="8"/>
      <x:c r="AQ122" s="1" t="s">
        <x:v>77</x:v>
      </x:c>
      <x:c r="AR122" s="8" t="str">
        <x:v>Проверка автором исследования</x:v>
      </x:c>
      <x:c r="AS122" s="1"/>
      <x:c r="AT122" s="8" t="s">
        <x:v>96</x:v>
      </x:c>
      <x:c r="AU122" s="1" t="s">
        <x:v>97</x:v>
      </x:c>
      <x:c r="AV122" s="17"/>
      <x:c r="AW122" s="1" t="s">
        <x:v>98</x:v>
      </x:c>
      <x:c r="AX122" s="8" t="s">
        <x:v>82</x:v>
      </x:c>
      <x:c r="AY122" s="8"/>
    </x:row>
    <x:row r="123" ht="69.94999694824219" customHeight="1">
      <x:c r="A123" s="1" t="s">
        <x:v>1576</x:v>
      </x:c>
      <x:c r="B123" s="8" t="s">
        <x:v>1577</x:v>
      </x:c>
      <x:c r="C123" s="1" t="s">
        <x:v>1578</x:v>
      </x:c>
      <x:c r="D123" s="8" t="s">
        <x:v>86</x:v>
      </x:c>
      <x:c r="E123" s="1" t="s">
        <x:v>76</x:v>
      </x:c>
      <x:c r="F123" s="8" t="s">
        <x:v>1579</x:v>
      </x:c>
      <x:c r="G123" s="1" t="s">
        <x:v>1580</x:v>
      </x:c>
      <x:c r="H123" s="8"/>
      <x:c r="I123" s="4">
        <x:v>1987</x:v>
      </x:c>
      <x:c r="J123" s="8"/>
      <x:c r="K123" s="1"/>
      <x:c r="L123" s="8" t="s">
        <x:v>1581</x:v>
      </x:c>
      <x:c r="M123" s="1" t="s">
        <x:v>90</x:v>
      </x:c>
      <x:c r="N123" s="8" t="s">
        <x:v>388</x:v>
      </x:c>
      <x:c r="O123" s="1" t="s">
        <x:v>92</x:v>
      </x:c>
      <x:c r="P123" s="8"/>
      <x:c r="Q123" s="1"/>
      <x:c r="R123" s="8" t="s">
        <x:v>1582</x:v>
      </x:c>
      <x:c r="S123" s="3">
        <x:v>45736</x:v>
      </x:c>
      <x:c r="T123" s="8" t="s">
        <x:v>63</x:v>
      </x:c>
      <x:c r="U123" s="1" t="s">
        <x:v>1564</x:v>
      </x:c>
      <x:c r="V123" s="13">
        <x:v>16</x:v>
      </x:c>
      <x:c r="W123" s="1" t="s">
        <x:v>65</x:v>
      </x:c>
      <x:c r="X123" s="8" t="s">
        <x:v>66</x:v>
      </x:c>
      <x:c r="Y123" s="1" t="str">
        <x:v>Проверено автором исследования</x:v>
      </x:c>
      <x:c r="Z123" s="8"/>
      <x:c r="AA123" s="1" t="s">
        <x:v>1565</x:v>
      </x:c>
      <x:c r="AB123" s="13">
        <x:v>2025</x:v>
      </x:c>
      <x:c r="AC123" s="3"/>
      <x:c r="AD123" s="8" t="s">
        <x:v>93</x:v>
      </x:c>
      <x:c r="AE123" s="1"/>
      <x:c r="AF123" s="8" t="s">
        <x:v>118</x:v>
      </x:c>
      <x:c r="AG123" s="1" t="s">
        <x:v>1566</x:v>
      </x:c>
      <x:c r="AH123" s="8" t="str">
        <x:v>Краткая затекстовая ссылка; повторная документальная сверка выполнена</x:v>
      </x:c>
      <x:c r="AI123" s="1"/>
      <x:c r="AJ123" s="17"/>
      <x:c r="AK123" s="1" t="s">
        <x:v>73</x:v>
      </x:c>
      <x:c r="AL123" s="8" t="s">
        <x:v>74</x:v>
      </x:c>
      <x:c r="AM123" s="1"/>
      <x:c r="AN123" s="8" t="s">
        <x:v>95</x:v>
      </x:c>
      <x:c r="AO123" s="1" t="s">
        <x:v>54</x:v>
      </x:c>
      <x:c r="AP123" s="8"/>
      <x:c r="AQ123" s="1" t="s">
        <x:v>77</x:v>
      </x:c>
      <x:c r="AR123" s="8" t="str">
        <x:v>Проверка автором исследования</x:v>
      </x:c>
      <x:c r="AS123" s="1"/>
      <x:c r="AT123" s="8" t="s">
        <x:v>96</x:v>
      </x:c>
      <x:c r="AU123" s="1" t="s">
        <x:v>447</x:v>
      </x:c>
      <x:c r="AV123" s="17">
        <x:v>45736</x:v>
      </x:c>
      <x:c r="AW123" s="1" t="s">
        <x:v>324</x:v>
      </x:c>
      <x:c r="AX123" s="8" t="s">
        <x:v>82</x:v>
      </x:c>
      <x:c r="AY123" s="8"/>
    </x:row>
    <x:row r="124" ht="69.94999694824219" customHeight="1">
      <x:c r="A124" s="1" t="s">
        <x:v>1583</x:v>
      </x:c>
      <x:c r="B124" s="8" t="s">
        <x:v>1584</x:v>
      </x:c>
      <x:c r="C124" s="1" t="s">
        <x:v>1585</x:v>
      </x:c>
      <x:c r="D124" s="8" t="s">
        <x:v>53</x:v>
      </x:c>
      <x:c r="E124" s="1" t="s">
        <x:v>54</x:v>
      </x:c>
      <x:c r="F124" s="8" t="s">
        <x:v>1586</x:v>
      </x:c>
      <x:c r="G124" s="1" t="s">
        <x:v>1587</x:v>
      </x:c>
      <x:c r="H124" s="8" t="s">
        <x:v>1573</x:v>
      </x:c>
      <x:c r="I124" s="4">
        <x:v>1992</x:v>
      </x:c>
      <x:c r="J124" s="8"/>
      <x:c r="K124" s="1" t="s">
        <x:v>1346</x:v>
      </x:c>
      <x:c r="L124" s="8" t="s">
        <x:v>60</x:v>
      </x:c>
      <x:c r="M124" s="1" t="s">
        <x:v>61</x:v>
      </x:c>
      <x:c r="N124" s="8"/>
      <x:c r="O124" s="1"/>
      <x:c r="P124" s="8"/>
      <x:c r="Q124" s="1"/>
      <x:c r="R124" s="8" t="s">
        <x:v>1588</x:v>
      </x:c>
      <x:c r="S124" s="3">
        <x:v>45736</x:v>
      </x:c>
      <x:c r="T124" s="8" t="s">
        <x:v>63</x:v>
      </x:c>
      <x:c r="U124" s="1" t="s">
        <x:v>1564</x:v>
      </x:c>
      <x:c r="V124" s="13">
        <x:v>20</x:v>
      </x:c>
      <x:c r="W124" s="1" t="s">
        <x:v>65</x:v>
      </x:c>
      <x:c r="X124" s="8" t="s">
        <x:v>66</x:v>
      </x:c>
      <x:c r="Y124" s="1" t="str">
        <x:v>Проверено автором исследования</x:v>
      </x:c>
      <x:c r="Z124" s="8"/>
      <x:c r="AA124" s="1" t="s">
        <x:v>1565</x:v>
      </x:c>
      <x:c r="AB124" s="13">
        <x:v>2025</x:v>
      </x:c>
      <x:c r="AC124" s="3">
        <x:v>46322</x:v>
      </x:c>
      <x:c r="AD124" s="8" t="s">
        <x:v>69</x:v>
      </x:c>
      <x:c r="AE124" s="1"/>
      <x:c r="AF124" s="8" t="s">
        <x:v>118</x:v>
      </x:c>
      <x:c r="AG124" s="1" t="s">
        <x:v>1566</x:v>
      </x:c>
      <x:c r="AH124" s="8" t="str">
        <x:v>Краткая затекстовая ссылка; повторная документальная сверка выполнена</x:v>
      </x:c>
      <x:c r="AI124" s="1"/>
      <x:c r="AJ124" s="17"/>
      <x:c r="AK124" s="1" t="s">
        <x:v>73</x:v>
      </x:c>
      <x:c r="AL124" s="8" t="s">
        <x:v>74</x:v>
      </x:c>
      <x:c r="AM124" s="1"/>
      <x:c r="AN124" s="8" t="s">
        <x:v>75</x:v>
      </x:c>
      <x:c r="AO124" s="1" t="s">
        <x:v>54</x:v>
      </x:c>
      <x:c r="AP124" s="8"/>
      <x:c r="AQ124" s="1" t="s">
        <x:v>77</x:v>
      </x:c>
      <x:c r="AR124" s="8" t="str">
        <x:v>Проверка автором исследования</x:v>
      </x:c>
      <x:c r="AS124" s="1" t="s">
        <x:v>1589</x:v>
      </x:c>
      <x:c r="AT124" s="8" t="s">
        <x:v>1590</x:v>
      </x:c>
      <x:c r="AU124" s="1" t="s">
        <x:v>1591</x:v>
      </x:c>
      <x:c r="AV124" s="17">
        <x:v>45736</x:v>
      </x:c>
      <x:c r="AW124" s="1" t="s">
        <x:v>324</x:v>
      </x:c>
      <x:c r="AX124" s="8" t="s">
        <x:v>82</x:v>
      </x:c>
      <x:c r="AY124" s="8"/>
    </x:row>
    <x:row r="125" ht="69.94999694824219" customHeight="1">
      <x:c r="A125" s="1" t="s">
        <x:v>1592</x:v>
      </x:c>
      <x:c r="B125" s="8" t="s">
        <x:v>1593</x:v>
      </x:c>
      <x:c r="C125" s="1" t="s">
        <x:v>1594</x:v>
      </x:c>
      <x:c r="D125" s="8" t="s">
        <x:v>86</x:v>
      </x:c>
      <x:c r="E125" s="1" t="s">
        <x:v>76</x:v>
      </x:c>
      <x:c r="F125" s="8" t="s">
        <x:v>1595</x:v>
      </x:c>
      <x:c r="G125" s="1" t="s">
        <x:v>1596</x:v>
      </x:c>
      <x:c r="H125" s="8"/>
      <x:c r="I125" s="4">
        <x:v>1985</x:v>
      </x:c>
      <x:c r="J125" s="8"/>
      <x:c r="K125" s="1"/>
      <x:c r="L125" s="8" t="s">
        <x:v>1597</x:v>
      </x:c>
      <x:c r="M125" s="1" t="s">
        <x:v>90</x:v>
      </x:c>
      <x:c r="N125" s="8" t="s">
        <x:v>388</x:v>
      </x:c>
      <x:c r="O125" s="1" t="s">
        <x:v>92</x:v>
      </x:c>
      <x:c r="P125" s="8"/>
      <x:c r="Q125" s="1"/>
      <x:c r="R125" s="8"/>
      <x:c r="S125" s="3"/>
      <x:c r="T125" s="8" t="s">
        <x:v>63</x:v>
      </x:c>
      <x:c r="U125" s="1" t="s">
        <x:v>1564</x:v>
      </x:c>
      <x:c r="V125" s="13">
        <x:v>29</x:v>
      </x:c>
      <x:c r="W125" s="1" t="s">
        <x:v>65</x:v>
      </x:c>
      <x:c r="X125" s="8" t="s">
        <x:v>66</x:v>
      </x:c>
      <x:c r="Y125" s="1" t="str">
        <x:v>Проверено автором исследования</x:v>
      </x:c>
      <x:c r="Z125" s="8"/>
      <x:c r="AA125" s="1" t="s">
        <x:v>1565</x:v>
      </x:c>
      <x:c r="AB125" s="13">
        <x:v>2025</x:v>
      </x:c>
      <x:c r="AC125" s="3"/>
      <x:c r="AD125" s="8" t="s">
        <x:v>93</x:v>
      </x:c>
      <x:c r="AE125" s="1"/>
      <x:c r="AF125" s="8" t="s">
        <x:v>118</x:v>
      </x:c>
      <x:c r="AG125" s="1" t="s">
        <x:v>1566</x:v>
      </x:c>
      <x:c r="AH125" s="8" t="str">
        <x:v>Краткая затекстовая ссылка; повторная документальная сверка выполнена</x:v>
      </x:c>
      <x:c r="AI125" s="1"/>
      <x:c r="AJ125" s="17"/>
      <x:c r="AK125" s="1" t="s">
        <x:v>73</x:v>
      </x:c>
      <x:c r="AL125" s="8" t="s">
        <x:v>74</x:v>
      </x:c>
      <x:c r="AM125" s="1"/>
      <x:c r="AN125" s="8" t="s">
        <x:v>95</x:v>
      </x:c>
      <x:c r="AO125" s="1" t="s">
        <x:v>76</x:v>
      </x:c>
      <x:c r="AP125" s="8"/>
      <x:c r="AQ125" s="1" t="s">
        <x:v>77</x:v>
      </x:c>
      <x:c r="AR125" s="8" t="str">
        <x:v>Проверка автором исследования</x:v>
      </x:c>
      <x:c r="AS125" s="1"/>
      <x:c r="AT125" s="8" t="s">
        <x:v>96</x:v>
      </x:c>
      <x:c r="AU125" s="1" t="s">
        <x:v>97</x:v>
      </x:c>
      <x:c r="AV125" s="17"/>
      <x:c r="AW125" s="1" t="s">
        <x:v>98</x:v>
      </x:c>
      <x:c r="AX125" s="8" t="s">
        <x:v>82</x:v>
      </x:c>
      <x:c r="AY125" s="8"/>
    </x:row>
    <x:row r="126" ht="69.94999694824219" customHeight="1">
      <x:c r="A126" s="1" t="s">
        <x:v>1598</x:v>
      </x:c>
      <x:c r="B126" s="8" t="s">
        <x:v>1599</x:v>
      </x:c>
      <x:c r="C126" s="1" t="s">
        <x:v>1600</x:v>
      </x:c>
      <x:c r="D126" s="8" t="s">
        <x:v>86</x:v>
      </x:c>
      <x:c r="E126" s="1" t="s">
        <x:v>76</x:v>
      </x:c>
      <x:c r="F126" s="8" t="s">
        <x:v>1601</x:v>
      </x:c>
      <x:c r="G126" s="1" t="s">
        <x:v>1602</x:v>
      </x:c>
      <x:c r="H126" s="8"/>
      <x:c r="I126" s="4">
        <x:v>1976</x:v>
      </x:c>
      <x:c r="J126" s="8"/>
      <x:c r="K126" s="1"/>
      <x:c r="L126" s="8" t="s">
        <x:v>1603</x:v>
      </x:c>
      <x:c r="M126" s="1" t="s">
        <x:v>90</x:v>
      </x:c>
      <x:c r="N126" s="8" t="s">
        <x:v>388</x:v>
      </x:c>
      <x:c r="O126" s="1" t="s">
        <x:v>92</x:v>
      </x:c>
      <x:c r="P126" s="8"/>
      <x:c r="Q126" s="1"/>
      <x:c r="R126" s="8" t="s">
        <x:v>1604</x:v>
      </x:c>
      <x:c r="S126" s="3">
        <x:v>45736</x:v>
      </x:c>
      <x:c r="T126" s="8" t="s">
        <x:v>63</x:v>
      </x:c>
      <x:c r="U126" s="1" t="s">
        <x:v>1564</x:v>
      </x:c>
      <x:c r="V126" s="13">
        <x:v>31</x:v>
      </x:c>
      <x:c r="W126" s="1" t="s">
        <x:v>65</x:v>
      </x:c>
      <x:c r="X126" s="8" t="s">
        <x:v>66</x:v>
      </x:c>
      <x:c r="Y126" s="1" t="str">
        <x:v>Проверено автором исследования</x:v>
      </x:c>
      <x:c r="Z126" s="8"/>
      <x:c r="AA126" s="1" t="s">
        <x:v>1565</x:v>
      </x:c>
      <x:c r="AB126" s="13">
        <x:v>2025</x:v>
      </x:c>
      <x:c r="AC126" s="3"/>
      <x:c r="AD126" s="8" t="s">
        <x:v>93</x:v>
      </x:c>
      <x:c r="AE126" s="1"/>
      <x:c r="AF126" s="8" t="s">
        <x:v>118</x:v>
      </x:c>
      <x:c r="AG126" s="1" t="s">
        <x:v>1566</x:v>
      </x:c>
      <x:c r="AH126" s="8" t="str">
        <x:v>Краткая затекстовая ссылка; повторная документальная сверка выполнена</x:v>
      </x:c>
      <x:c r="AI126" s="1"/>
      <x:c r="AJ126" s="17"/>
      <x:c r="AK126" s="1" t="s">
        <x:v>73</x:v>
      </x:c>
      <x:c r="AL126" s="8" t="s">
        <x:v>74</x:v>
      </x:c>
      <x:c r="AM126" s="1"/>
      <x:c r="AN126" s="8" t="s">
        <x:v>95</x:v>
      </x:c>
      <x:c r="AO126" s="1" t="s">
        <x:v>54</x:v>
      </x:c>
      <x:c r="AP126" s="8"/>
      <x:c r="AQ126" s="1" t="s">
        <x:v>77</x:v>
      </x:c>
      <x:c r="AR126" s="8" t="str">
        <x:v>Проверка автором исследования</x:v>
      </x:c>
      <x:c r="AS126" s="1"/>
      <x:c r="AT126" s="8" t="s">
        <x:v>96</x:v>
      </x:c>
      <x:c r="AU126" s="1" t="s">
        <x:v>447</x:v>
      </x:c>
      <x:c r="AV126" s="17">
        <x:v>45736</x:v>
      </x:c>
      <x:c r="AW126" s="1" t="s">
        <x:v>324</x:v>
      </x:c>
      <x:c r="AX126" s="8" t="s">
        <x:v>82</x:v>
      </x:c>
      <x:c r="AY126" s="8"/>
    </x:row>
    <x:row r="127" ht="69.94999694824219" customHeight="1">
      <x:c r="A127" s="1" t="s">
        <x:v>1605</x:v>
      </x:c>
      <x:c r="B127" s="8" t="s">
        <x:v>1606</x:v>
      </x:c>
      <x:c r="C127" s="1" t="s">
        <x:v>1607</x:v>
      </x:c>
      <x:c r="D127" s="8" t="s">
        <x:v>86</x:v>
      </x:c>
      <x:c r="E127" s="1" t="s">
        <x:v>76</x:v>
      </x:c>
      <x:c r="F127" s="8" t="s">
        <x:v>1608</x:v>
      </x:c>
      <x:c r="G127" s="1" t="s">
        <x:v>1609</x:v>
      </x:c>
      <x:c r="H127" s="8"/>
      <x:c r="I127" s="4">
        <x:v>2013</x:v>
      </x:c>
      <x:c r="J127" s="8"/>
      <x:c r="K127" s="1"/>
      <x:c r="L127" s="8" t="s">
        <x:v>1610</x:v>
      </x:c>
      <x:c r="M127" s="1" t="s">
        <x:v>90</x:v>
      </x:c>
      <x:c r="N127" s="8" t="s">
        <x:v>1611</x:v>
      </x:c>
      <x:c r="O127" s="1" t="s">
        <x:v>92</x:v>
      </x:c>
      <x:c r="P127" s="8"/>
      <x:c r="Q127" s="1" t="s">
        <x:v>1612</x:v>
      </x:c>
      <x:c r="R127" s="8"/>
      <x:c r="S127" s="3"/>
      <x:c r="T127" s="8" t="s">
        <x:v>63</x:v>
      </x:c>
      <x:c r="U127" s="1" t="s">
        <x:v>1613</x:v>
      </x:c>
      <x:c r="V127" s="13">
        <x:v>9</x:v>
      </x:c>
      <x:c r="W127" s="1" t="s">
        <x:v>65</x:v>
      </x:c>
      <x:c r="X127" s="8" t="s">
        <x:v>66</x:v>
      </x:c>
      <x:c r="Y127" s="1" t="str">
        <x:v>Проверено автором исследования</x:v>
      </x:c>
      <x:c r="Z127" s="8"/>
      <x:c r="AA127" s="1" t="s">
        <x:v>1614</x:v>
      </x:c>
      <x:c r="AB127" s="13">
        <x:v>2025</x:v>
      </x:c>
      <x:c r="AC127" s="3"/>
      <x:c r="AD127" s="8" t="s">
        <x:v>93</x:v>
      </x:c>
      <x:c r="AE127" s="1"/>
      <x:c r="AF127" s="8" t="s">
        <x:v>118</x:v>
      </x:c>
      <x:c r="AG127" s="1" t="s">
        <x:v>1615</x:v>
      </x:c>
      <x:c r="AH127" s="8" t="str">
        <x:v>Краткая затекстовая ссылка; повторная документальная сверка выполнена</x:v>
      </x:c>
      <x:c r="AI127" s="1"/>
      <x:c r="AJ127" s="17"/>
      <x:c r="AK127" s="1" t="s">
        <x:v>73</x:v>
      </x:c>
      <x:c r="AL127" s="8" t="s">
        <x:v>74</x:v>
      </x:c>
      <x:c r="AM127" s="1"/>
      <x:c r="AN127" s="8" t="s">
        <x:v>95</x:v>
      </x:c>
      <x:c r="AO127" s="1" t="s">
        <x:v>76</x:v>
      </x:c>
      <x:c r="AP127" s="8"/>
      <x:c r="AQ127" s="1" t="s">
        <x:v>77</x:v>
      </x:c>
      <x:c r="AR127" s="8" t="str">
        <x:v>Проверка автором исследования</x:v>
      </x:c>
      <x:c r="AS127" s="1"/>
      <x:c r="AT127" s="8" t="s">
        <x:v>96</x:v>
      </x:c>
      <x:c r="AU127" s="1" t="s">
        <x:v>97</x:v>
      </x:c>
      <x:c r="AV127" s="17"/>
      <x:c r="AW127" s="1" t="s">
        <x:v>98</x:v>
      </x:c>
      <x:c r="AX127" s="8" t="s">
        <x:v>82</x:v>
      </x:c>
      <x:c r="AY127" s="8"/>
    </x:row>
    <x:row r="128" ht="69.94999694824219" customHeight="1">
      <x:c r="A128" s="1" t="s">
        <x:v>1616</x:v>
      </x:c>
      <x:c r="B128" s="8" t="s">
        <x:v>1617</x:v>
      </x:c>
      <x:c r="C128" s="1" t="s">
        <x:v>1618</x:v>
      </x:c>
      <x:c r="D128" s="8" t="s">
        <x:v>73</x:v>
      </x:c>
      <x:c r="E128" s="1" t="s">
        <x:v>76</x:v>
      </x:c>
      <x:c r="F128" s="8" t="s">
        <x:v>1619</x:v>
      </x:c>
      <x:c r="G128" s="1" t="s">
        <x:v>1620</x:v>
      </x:c>
      <x:c r="H128" s="8" t="s">
        <x:v>1621</x:v>
      </x:c>
      <x:c r="I128" s="4">
        <x:v>2021</x:v>
      </x:c>
      <x:c r="J128" s="8" t="s">
        <x:v>754</x:v>
      </x:c>
      <x:c r="K128" s="1" t="s">
        <x:v>1622</x:v>
      </x:c>
      <x:c r="L128" s="8" t="s">
        <x:v>1623</x:v>
      </x:c>
      <x:c r="M128" s="1" t="s">
        <x:v>61</x:v>
      </x:c>
      <x:c r="N128" s="8"/>
      <x:c r="O128" s="1"/>
      <x:c r="P128" s="8"/>
      <x:c r="Q128" s="1"/>
      <x:c r="R128" s="8" t="s">
        <x:v>1624</x:v>
      </x:c>
      <x:c r="S128" s="3"/>
      <x:c r="T128" s="8" t="s">
        <x:v>63</x:v>
      </x:c>
      <x:c r="U128" s="1" t="s">
        <x:v>1625</x:v>
      </x:c>
      <x:c r="V128" s="13">
        <x:v>7</x:v>
      </x:c>
      <x:c r="W128" s="1" t="s">
        <x:v>65</x:v>
      </x:c>
      <x:c r="X128" s="8" t="s">
        <x:v>66</x:v>
      </x:c>
      <x:c r="Y128" s="1" t="str">
        <x:v>Проверено автором исследования</x:v>
      </x:c>
      <x:c r="Z128" s="8" t="s">
        <x:v>1626</x:v>
      </x:c>
      <x:c r="AA128" s="1" t="s">
        <x:v>1627</x:v>
      </x:c>
      <x:c r="AB128" s="13">
        <x:v>2025</x:v>
      </x:c>
      <x:c r="AC128" s="3"/>
      <x:c r="AD128" s="8" t="s">
        <x:v>93</x:v>
      </x:c>
      <x:c r="AE128" s="1" t="s">
        <x:v>1628</x:v>
      </x:c>
      <x:c r="AF128" s="8" t="s">
        <x:v>118</x:v>
      </x:c>
      <x:c r="AG128" s="1" t="s">
        <x:v>1629</x:v>
      </x:c>
      <x:c r="AH128" s="8" t="str">
        <x:v>Краткая затекстовая ссылка; повторная документальная сверка выполнена</x:v>
      </x:c>
      <x:c r="AI128" s="1"/>
      <x:c r="AJ128" s="17"/>
      <x:c r="AK128" s="1" t="s">
        <x:v>73</x:v>
      </x:c>
      <x:c r="AL128" s="8" t="s">
        <x:v>74</x:v>
      </x:c>
      <x:c r="AM128" s="1"/>
      <x:c r="AN128" s="8" t="s">
        <x:v>95</x:v>
      </x:c>
      <x:c r="AO128" s="1" t="s">
        <x:v>76</x:v>
      </x:c>
      <x:c r="AP128" s="8"/>
      <x:c r="AQ128" s="1" t="s">
        <x:v>77</x:v>
      </x:c>
      <x:c r="AR128" s="8" t="str">
        <x:v>Проверка автором исследования</x:v>
      </x:c>
      <x:c r="AS128" s="1"/>
      <x:c r="AT128" s="8" t="s">
        <x:v>96</x:v>
      </x:c>
      <x:c r="AU128" s="1" t="s">
        <x:v>447</x:v>
      </x:c>
      <x:c r="AV128" s="17">
        <x:v>46321</x:v>
      </x:c>
      <x:c r="AW128" s="1" t="s">
        <x:v>81</x:v>
      </x:c>
      <x:c r="AX128" s="8" t="s">
        <x:v>82</x:v>
      </x:c>
      <x:c r="AY128" s="8"/>
    </x:row>
    <x:row r="129" ht="84" customHeight="1">
      <x:c r="A129" s="1" t="s">
        <x:v>1630</x:v>
      </x:c>
      <x:c r="B129" s="8" t="s">
        <x:v>1631</x:v>
      </x:c>
      <x:c r="C129" s="1" t="s">
        <x:v>1632</x:v>
      </x:c>
      <x:c r="D129" s="8" t="s">
        <x:v>53</x:v>
      </x:c>
      <x:c r="E129" s="1" t="s">
        <x:v>54</x:v>
      </x:c>
      <x:c r="F129" s="8" t="s">
        <x:v>1633</x:v>
      </x:c>
      <x:c r="G129" s="1" t="s">
        <x:v>1634</x:v>
      </x:c>
      <x:c r="H129" s="8" t="s">
        <x:v>1635</x:v>
      </x:c>
      <x:c r="I129" s="4">
        <x:v>2021</x:v>
      </x:c>
      <x:c r="J129" s="8"/>
      <x:c r="K129" s="1" t="s">
        <x:v>182</x:v>
      </x:c>
      <x:c r="L129" s="8" t="s">
        <x:v>1636</x:v>
      </x:c>
      <x:c r="M129" s="1" t="s">
        <x:v>61</x:v>
      </x:c>
      <x:c r="N129" s="8"/>
      <x:c r="O129" s="1"/>
      <x:c r="P129" s="8"/>
      <x:c r="Q129" s="1"/>
      <x:c r="R129" s="8" t="s">
        <x:v>1637</x:v>
      </x:c>
      <x:c r="S129" s="3"/>
      <x:c r="T129" s="8" t="s">
        <x:v>63</x:v>
      </x:c>
      <x:c r="U129" s="1" t="s">
        <x:v>1625</x:v>
      </x:c>
      <x:c r="V129" s="13">
        <x:v>9</x:v>
      </x:c>
      <x:c r="W129" s="1" t="s">
        <x:v>65</x:v>
      </x:c>
      <x:c r="X129" s="8" t="s">
        <x:v>66</x:v>
      </x:c>
      <x:c r="Y129" s="1" t="str">
        <x:v>Проверено автором исследования</x:v>
      </x:c>
      <x:c r="Z129" s="8" t="s">
        <x:v>1638</x:v>
      </x:c>
      <x:c r="AA129" s="1" t="s">
        <x:v>1627</x:v>
      </x:c>
      <x:c r="AB129" s="13">
        <x:v>2025</x:v>
      </x:c>
      <x:c r="AC129" s="3">
        <x:v>46322</x:v>
      </x:c>
      <x:c r="AD129" s="8" t="s">
        <x:v>69</x:v>
      </x:c>
      <x:c r="AE129" s="1" t="s">
        <x:v>1639</x:v>
      </x:c>
      <x:c r="AF129" s="8" t="s">
        <x:v>118</x:v>
      </x:c>
      <x:c r="AG129" s="1" t="s">
        <x:v>1629</x:v>
      </x:c>
      <x:c r="AH129" s="8" t="str">
        <x:v>Краткая затекстовая ссылка; повторная документальная сверка выполнена</x:v>
      </x:c>
      <x:c r="AI129" s="1"/>
      <x:c r="AJ129" s="17"/>
      <x:c r="AK129" s="1" t="s">
        <x:v>73</x:v>
      </x:c>
      <x:c r="AL129" s="8" t="s">
        <x:v>74</x:v>
      </x:c>
      <x:c r="AM129" s="1"/>
      <x:c r="AN129" s="8" t="s">
        <x:v>75</x:v>
      </x:c>
      <x:c r="AO129" s="1" t="s">
        <x:v>76</x:v>
      </x:c>
      <x:c r="AP129" s="8"/>
      <x:c r="AQ129" s="1" t="s">
        <x:v>77</x:v>
      </x:c>
      <x:c r="AR129" s="8" t="str">
        <x:v>Проверка автором исследования</x:v>
      </x:c>
      <x:c r="AS129" s="1" t="s">
        <x:v>1640</x:v>
      </x:c>
      <x:c r="AT129" s="8" t="s">
        <x:v>1641</x:v>
      </x:c>
      <x:c r="AU129" s="1" t="s">
        <x:v>1642</x:v>
      </x:c>
      <x:c r="AV129" s="17">
        <x:v>46321</x:v>
      </x:c>
      <x:c r="AW129" s="1" t="s">
        <x:v>81</x:v>
      </x:c>
      <x:c r="AX129" s="8" t="s">
        <x:v>82</x:v>
      </x:c>
      <x:c r="AY129" s="8"/>
    </x:row>
    <x:row r="130" ht="84" customHeight="1">
      <x:c r="A130" s="1" t="s">
        <x:v>1643</x:v>
      </x:c>
      <x:c r="B130" s="8" t="s">
        <x:v>1644</x:v>
      </x:c>
      <x:c r="C130" s="1" t="s">
        <x:v>1645</x:v>
      </x:c>
      <x:c r="D130" s="8" t="s">
        <x:v>53</x:v>
      </x:c>
      <x:c r="E130" s="1" t="s">
        <x:v>54</x:v>
      </x:c>
      <x:c r="F130" s="8" t="s">
        <x:v>1646</x:v>
      </x:c>
      <x:c r="G130" s="1" t="s">
        <x:v>1647</x:v>
      </x:c>
      <x:c r="H130" s="8" t="s">
        <x:v>1648</x:v>
      </x:c>
      <x:c r="I130" s="4">
        <x:v>2023</x:v>
      </x:c>
      <x:c r="J130" s="8" t="s">
        <x:v>1649</x:v>
      </x:c>
      <x:c r="K130" s="1" t="s">
        <x:v>182</x:v>
      </x:c>
      <x:c r="L130" s="8" t="s">
        <x:v>1650</x:v>
      </x:c>
      <x:c r="M130" s="1" t="s">
        <x:v>61</x:v>
      </x:c>
      <x:c r="N130" s="8"/>
      <x:c r="O130" s="1"/>
      <x:c r="P130" s="8"/>
      <x:c r="Q130" s="1"/>
      <x:c r="R130" s="8" t="s">
        <x:v>1651</x:v>
      </x:c>
      <x:c r="S130" s="3"/>
      <x:c r="T130" s="8" t="s">
        <x:v>63</x:v>
      </x:c>
      <x:c r="U130" s="1" t="s">
        <x:v>1652</x:v>
      </x:c>
      <x:c r="V130" s="13">
        <x:v>4</x:v>
      </x:c>
      <x:c r="W130" s="1" t="s">
        <x:v>65</x:v>
      </x:c>
      <x:c r="X130" s="8" t="s">
        <x:v>66</x:v>
      </x:c>
      <x:c r="Y130" s="1" t="str">
        <x:v>Проверено автором исследования</x:v>
      </x:c>
      <x:c r="Z130" s="8" t="s">
        <x:v>1653</x:v>
      </x:c>
      <x:c r="AA130" s="1" t="s">
        <x:v>1654</x:v>
      </x:c>
      <x:c r="AB130" s="13">
        <x:v>2025</x:v>
      </x:c>
      <x:c r="AC130" s="3">
        <x:v>46322</x:v>
      </x:c>
      <x:c r="AD130" s="8" t="s">
        <x:v>69</x:v>
      </x:c>
      <x:c r="AE130" s="1" t="s">
        <x:v>1655</x:v>
      </x:c>
      <x:c r="AF130" s="8" t="s">
        <x:v>118</x:v>
      </x:c>
      <x:c r="AG130" s="1" t="s">
        <x:v>1656</x:v>
      </x:c>
      <x:c r="AH130" s="8" t="str">
        <x:v>Краткая затекстовая ссылка; повторная документальная сверка выполнена</x:v>
      </x:c>
      <x:c r="AI130" s="1"/>
      <x:c r="AJ130" s="17"/>
      <x:c r="AK130" s="1" t="s">
        <x:v>73</x:v>
      </x:c>
      <x:c r="AL130" s="8" t="s">
        <x:v>74</x:v>
      </x:c>
      <x:c r="AM130" s="1"/>
      <x:c r="AN130" s="8" t="s">
        <x:v>75</x:v>
      </x:c>
      <x:c r="AO130" s="1" t="s">
        <x:v>76</x:v>
      </x:c>
      <x:c r="AP130" s="8"/>
      <x:c r="AQ130" s="1" t="s">
        <x:v>77</x:v>
      </x:c>
      <x:c r="AR130" s="8" t="str">
        <x:v>Проверка автором исследования</x:v>
      </x:c>
      <x:c r="AS130" s="1" t="s">
        <x:v>1657</x:v>
      </x:c>
      <x:c r="AT130" s="8" t="s">
        <x:v>1658</x:v>
      </x:c>
      <x:c r="AU130" s="1" t="s">
        <x:v>1659</x:v>
      </x:c>
      <x:c r="AV130" s="17">
        <x:v>46321</x:v>
      </x:c>
      <x:c r="AW130" s="1" t="s">
        <x:v>81</x:v>
      </x:c>
      <x:c r="AX130" s="8" t="s">
        <x:v>82</x:v>
      </x:c>
      <x:c r="AY130" s="8"/>
    </x:row>
    <x:row r="131" ht="69.94999694824219" customHeight="1">
      <x:c r="A131" s="1" t="s">
        <x:v>1660</x:v>
      </x:c>
      <x:c r="B131" s="8" t="s">
        <x:v>1661</x:v>
      </x:c>
      <x:c r="C131" s="1" t="s">
        <x:v>1662</x:v>
      </x:c>
      <x:c r="D131" s="8" t="s">
        <x:v>53</x:v>
      </x:c>
      <x:c r="E131" s="1" t="s">
        <x:v>54</x:v>
      </x:c>
      <x:c r="F131" s="8" t="s">
        <x:v>1663</x:v>
      </x:c>
      <x:c r="G131" s="1" t="s">
        <x:v>1664</x:v>
      </x:c>
      <x:c r="H131" s="8" t="s">
        <x:v>1665</x:v>
      </x:c>
      <x:c r="I131" s="4">
        <x:v>2024</x:v>
      </x:c>
      <x:c r="J131" s="8"/>
      <x:c r="K131" s="1" t="s">
        <x:v>975</x:v>
      </x:c>
      <x:c r="L131" s="8" t="s">
        <x:v>1666</x:v>
      </x:c>
      <x:c r="M131" s="1" t="s">
        <x:v>61</x:v>
      </x:c>
      <x:c r="N131" s="8"/>
      <x:c r="O131" s="1"/>
      <x:c r="P131" s="8"/>
      <x:c r="Q131" s="1"/>
      <x:c r="R131" s="8" t="s">
        <x:v>1667</x:v>
      </x:c>
      <x:c r="S131" s="3"/>
      <x:c r="T131" s="8" t="s">
        <x:v>63</x:v>
      </x:c>
      <x:c r="U131" s="1" t="s">
        <x:v>1668</x:v>
      </x:c>
      <x:c r="V131" s="13">
        <x:v>1</x:v>
      </x:c>
      <x:c r="W131" s="1" t="s">
        <x:v>65</x:v>
      </x:c>
      <x:c r="X131" s="8" t="s">
        <x:v>66</x:v>
      </x:c>
      <x:c r="Y131" s="1" t="str">
        <x:v>Проверено автором исследования</x:v>
      </x:c>
      <x:c r="Z131" s="8" t="s">
        <x:v>1669</x:v>
      </x:c>
      <x:c r="AA131" s="1" t="s">
        <x:v>1670</x:v>
      </x:c>
      <x:c r="AB131" s="13">
        <x:v>2025</x:v>
      </x:c>
      <x:c r="AC131" s="3">
        <x:v>46322</x:v>
      </x:c>
      <x:c r="AD131" s="8" t="s">
        <x:v>69</x:v>
      </x:c>
      <x:c r="AE131" s="1" t="s">
        <x:v>1671</x:v>
      </x:c>
      <x:c r="AF131" s="8" t="s">
        <x:v>118</x:v>
      </x:c>
      <x:c r="AG131" s="1" t="s">
        <x:v>1672</x:v>
      </x:c>
      <x:c r="AH131" s="8" t="str">
        <x:v>Краткая затекстовая ссылка; повторная документальная сверка выполнена</x:v>
      </x:c>
      <x:c r="AI131" s="1"/>
      <x:c r="AJ131" s="17"/>
      <x:c r="AK131" s="1" t="s">
        <x:v>73</x:v>
      </x:c>
      <x:c r="AL131" s="8" t="s">
        <x:v>74</x:v>
      </x:c>
      <x:c r="AM131" s="1"/>
      <x:c r="AN131" s="8" t="s">
        <x:v>75</x:v>
      </x:c>
      <x:c r="AO131" s="1" t="s">
        <x:v>76</x:v>
      </x:c>
      <x:c r="AP131" s="8"/>
      <x:c r="AQ131" s="1" t="s">
        <x:v>77</x:v>
      </x:c>
      <x:c r="AR131" s="8" t="str">
        <x:v>Проверка автором исследования</x:v>
      </x:c>
      <x:c r="AS131" s="1" t="s">
        <x:v>1673</x:v>
      </x:c>
      <x:c r="AT131" s="8" t="s">
        <x:v>1674</x:v>
      </x:c>
      <x:c r="AU131" s="1" t="s">
        <x:v>1675</x:v>
      </x:c>
      <x:c r="AV131" s="17">
        <x:v>46321</x:v>
      </x:c>
      <x:c r="AW131" s="1" t="s">
        <x:v>81</x:v>
      </x:c>
      <x:c r="AX131" s="8" t="s">
        <x:v>82</x:v>
      </x:c>
      <x:c r="AY131" s="8"/>
    </x:row>
    <x:row r="132" ht="98.0999984741211" customHeight="1">
      <x:c r="A132" s="1" t="s">
        <x:v>1676</x:v>
      </x:c>
      <x:c r="B132" s="8" t="s">
        <x:v>1677</x:v>
      </x:c>
      <x:c r="C132" s="1" t="s">
        <x:v>1678</x:v>
      </x:c>
      <x:c r="D132" s="8" t="s">
        <x:v>53</x:v>
      </x:c>
      <x:c r="E132" s="1" t="s">
        <x:v>54</x:v>
      </x:c>
      <x:c r="F132" s="8" t="s">
        <x:v>1679</x:v>
      </x:c>
      <x:c r="G132" s="1" t="s">
        <x:v>1680</x:v>
      </x:c>
      <x:c r="H132" s="8" t="s">
        <x:v>1681</x:v>
      </x:c>
      <x:c r="I132" s="4">
        <x:v>2025</x:v>
      </x:c>
      <x:c r="J132" s="8"/>
      <x:c r="K132" s="1" t="s">
        <x:v>59</x:v>
      </x:c>
      <x:c r="L132" s="8" t="s">
        <x:v>1682</x:v>
      </x:c>
      <x:c r="M132" s="1" t="s">
        <x:v>61</x:v>
      </x:c>
      <x:c r="N132" s="8"/>
      <x:c r="O132" s="1"/>
      <x:c r="P132" s="8"/>
      <x:c r="Q132" s="1"/>
      <x:c r="R132" s="8" t="s">
        <x:v>1683</x:v>
      </x:c>
      <x:c r="S132" s="3">
        <x:v>45746</x:v>
      </x:c>
      <x:c r="T132" s="8" t="s">
        <x:v>63</x:v>
      </x:c>
      <x:c r="U132" s="1" t="s">
        <x:v>1684</x:v>
      </x:c>
      <x:c r="V132" s="13">
        <x:v>9</x:v>
      </x:c>
      <x:c r="W132" s="1" t="s">
        <x:v>140</x:v>
      </x:c>
      <x:c r="X132" s="8" t="s">
        <x:v>66</x:v>
      </x:c>
      <x:c r="Y132" s="1" t="str">
        <x:v>Проверено автором; дополнительно проверено Михаилом Саяпиным</x:v>
      </x:c>
      <x:c r="Z132" s="8"/>
      <x:c r="AA132" s="1" t="s">
        <x:v>1685</x:v>
      </x:c>
      <x:c r="AB132" s="13">
        <x:v>2025</x:v>
      </x:c>
      <x:c r="AC132" s="3">
        <x:v>46322</x:v>
      </x:c>
      <x:c r="AD132" s="8" t="s">
        <x:v>69</x:v>
      </x:c>
      <x:c r="AE132" s="1"/>
      <x:c r="AF132" s="8" t="s">
        <x:v>118</x:v>
      </x:c>
      <x:c r="AG132" s="1" t="s">
        <x:v>1686</x:v>
      </x:c>
      <x:c r="AH132" s="8" t="s">
        <x:v>144</x:v>
      </x:c>
      <x:c r="AI132" s="1" t="s">
        <x:v>145</x:v>
      </x:c>
      <x:c r="AJ132" s="17">
        <x:v>46323</x:v>
      </x:c>
      <x:c r="AK132" s="1" t="s">
        <x:v>73</x:v>
      </x:c>
      <x:c r="AL132" s="8" t="s">
        <x:v>74</x:v>
      </x:c>
      <x:c r="AM132" s="1"/>
      <x:c r="AN132" s="8" t="s">
        <x:v>75</x:v>
      </x:c>
      <x:c r="AO132" s="1" t="s">
        <x:v>54</x:v>
      </x:c>
      <x:c r="AP132" s="8"/>
      <x:c r="AQ132" s="1" t="s">
        <x:v>77</x:v>
      </x:c>
      <x:c r="AR132" s="8" t="str">
        <x:v>Проверка автором исследования; дополнительная проверка Михаилом Саяпиным; согласование 28.10.2026</x:v>
      </x:c>
      <x:c r="AS132" s="1" t="s">
        <x:v>1683</x:v>
      </x:c>
      <x:c r="AT132" s="8" t="s">
        <x:v>1687</x:v>
      </x:c>
      <x:c r="AU132" s="1" t="s">
        <x:v>1688</x:v>
      </x:c>
      <x:c r="AV132" s="17">
        <x:v>45746</x:v>
      </x:c>
      <x:c r="AW132" s="1" t="s">
        <x:v>324</x:v>
      </x:c>
      <x:c r="AX132" s="8" t="s">
        <x:v>146</x:v>
      </x:c>
      <x:c r="AY132" s="8" t="s">
        <x:v>1689</x:v>
      </x:c>
    </x:row>
    <x:row r="133" ht="69.94999694824219" customHeight="1">
      <x:c r="A133" s="1" t="s">
        <x:v>1690</x:v>
      </x:c>
      <x:c r="B133" s="8" t="s">
        <x:v>1691</x:v>
      </x:c>
      <x:c r="C133" s="1" t="s">
        <x:v>1692</x:v>
      </x:c>
      <x:c r="D133" s="8" t="s">
        <x:v>73</x:v>
      </x:c>
      <x:c r="E133" s="1" t="s">
        <x:v>76</x:v>
      </x:c>
      <x:c r="F133" s="8" t="s">
        <x:v>1693</x:v>
      </x:c>
      <x:c r="G133" s="1" t="s">
        <x:v>1694</x:v>
      </x:c>
      <x:c r="H133" s="8" t="s">
        <x:v>1695</x:v>
      </x:c>
      <x:c r="I133" s="4">
        <x:v>2011</x:v>
      </x:c>
      <x:c r="J133" s="8"/>
      <x:c r="K133" s="1" t="s">
        <x:v>1696</x:v>
      </x:c>
      <x:c r="L133" s="8" t="s">
        <x:v>1697</x:v>
      </x:c>
      <x:c r="M133" s="1" t="s">
        <x:v>61</x:v>
      </x:c>
      <x:c r="N133" s="8"/>
      <x:c r="O133" s="1"/>
      <x:c r="P133" s="8"/>
      <x:c r="Q133" s="1"/>
      <x:c r="R133" s="8"/>
      <x:c r="S133" s="3"/>
      <x:c r="T133" s="8" t="s">
        <x:v>63</x:v>
      </x:c>
      <x:c r="U133" s="1" t="s">
        <x:v>1698</x:v>
      </x:c>
      <x:c r="V133" s="13">
        <x:v>11</x:v>
      </x:c>
      <x:c r="W133" s="1" t="s">
        <x:v>65</x:v>
      </x:c>
      <x:c r="X133" s="8" t="s">
        <x:v>66</x:v>
      </x:c>
      <x:c r="Y133" s="1" t="str">
        <x:v>Проверено автором исследования</x:v>
      </x:c>
      <x:c r="Z133" s="8"/>
      <x:c r="AA133" s="1" t="s">
        <x:v>1699</x:v>
      </x:c>
      <x:c r="AB133" s="13">
        <x:v>2026</x:v>
      </x:c>
      <x:c r="AC133" s="3"/>
      <x:c r="AD133" s="8" t="s">
        <x:v>93</x:v>
      </x:c>
      <x:c r="AE133" s="1" t="s">
        <x:v>1700</x:v>
      </x:c>
      <x:c r="AF133" s="8" t="s">
        <x:v>71</x:v>
      </x:c>
      <x:c r="AG133" s="1" t="s">
        <x:v>1701</x:v>
      </x:c>
      <x:c r="AH133" s="8" t="str">
        <x:v>Краткая затекстовая ссылка; повторная документальная сверка выполнена</x:v>
      </x:c>
      <x:c r="AI133" s="1"/>
      <x:c r="AJ133" s="17"/>
      <x:c r="AK133" s="1" t="s">
        <x:v>73</x:v>
      </x:c>
      <x:c r="AL133" s="8" t="s">
        <x:v>74</x:v>
      </x:c>
      <x:c r="AM133" s="1"/>
      <x:c r="AN133" s="8" t="s">
        <x:v>95</x:v>
      </x:c>
      <x:c r="AO133" s="1" t="s">
        <x:v>76</x:v>
      </x:c>
      <x:c r="AP133" s="8"/>
      <x:c r="AQ133" s="1" t="s">
        <x:v>77</x:v>
      </x:c>
      <x:c r="AR133" s="8" t="str">
        <x:v>Проверка автором исследования</x:v>
      </x:c>
      <x:c r="AS133" s="1"/>
      <x:c r="AT133" s="8" t="s">
        <x:v>96</x:v>
      </x:c>
      <x:c r="AU133" s="1" t="s">
        <x:v>97</x:v>
      </x:c>
      <x:c r="AV133" s="17"/>
      <x:c r="AW133" s="1" t="s">
        <x:v>98</x:v>
      </x:c>
      <x:c r="AX133" s="8" t="s">
        <x:v>82</x:v>
      </x:c>
      <x:c r="AY133" s="8"/>
    </x:row>
    <x:row r="134" ht="126" customHeight="1">
      <x:c r="A134" s="1" t="s">
        <x:v>1702</x:v>
      </x:c>
      <x:c r="B134" s="8" t="s">
        <x:v>1703</x:v>
      </x:c>
      <x:c r="C134" s="1" t="s">
        <x:v>1704</x:v>
      </x:c>
      <x:c r="D134" s="8" t="s">
        <x:v>53</x:v>
      </x:c>
      <x:c r="E134" s="1" t="s">
        <x:v>54</x:v>
      </x:c>
      <x:c r="F134" s="8" t="s">
        <x:v>1705</x:v>
      </x:c>
      <x:c r="G134" s="1" t="s">
        <x:v>1706</x:v>
      </x:c>
      <x:c r="H134" s="8" t="s">
        <x:v>1430</x:v>
      </x:c>
      <x:c r="I134" s="4">
        <x:v>2017</x:v>
      </x:c>
      <x:c r="J134" s="8" t="s">
        <x:v>340</x:v>
      </x:c>
      <x:c r="K134" s="1" t="s">
        <x:v>416</x:v>
      </x:c>
      <x:c r="L134" s="8" t="s">
        <x:v>1707</x:v>
      </x:c>
      <x:c r="M134" s="1" t="s">
        <x:v>61</x:v>
      </x:c>
      <x:c r="N134" s="8"/>
      <x:c r="O134" s="1"/>
      <x:c r="P134" s="8"/>
      <x:c r="Q134" s="1"/>
      <x:c r="R134" s="8" t="s">
        <x:v>1708</x:v>
      </x:c>
      <x:c r="S134" s="3"/>
      <x:c r="T134" s="8" t="s">
        <x:v>63</x:v>
      </x:c>
      <x:c r="U134" s="1" t="s">
        <x:v>1698</x:v>
      </x:c>
      <x:c r="V134" s="13">
        <x:v>14</x:v>
      </x:c>
      <x:c r="W134" s="1" t="s">
        <x:v>242</x:v>
      </x:c>
      <x:c r="X134" s="8" t="s">
        <x:v>66</x:v>
      </x:c>
      <x:c r="Y134" s="1" t="str">
        <x:v>Проверено автором; дополнительно проверено Михаилом Саяпиным</x:v>
      </x:c>
      <x:c r="Z134" s="8" t="s">
        <x:v>1709</x:v>
      </x:c>
      <x:c r="AA134" s="1" t="s">
        <x:v>1699</x:v>
      </x:c>
      <x:c r="AB134" s="13">
        <x:v>2026</x:v>
      </x:c>
      <x:c r="AC134" s="3">
        <x:v>46322</x:v>
      </x:c>
      <x:c r="AD134" s="8" t="s">
        <x:v>69</x:v>
      </x:c>
      <x:c r="AE134" s="1" t="s">
        <x:v>1710</x:v>
      </x:c>
      <x:c r="AF134" s="8" t="s">
        <x:v>71</x:v>
      </x:c>
      <x:c r="AG134" s="1" t="s">
        <x:v>1701</x:v>
      </x:c>
      <x:c r="AH134" s="8" t="s">
        <x:v>144</x:v>
      </x:c>
      <x:c r="AI134" s="1" t="s">
        <x:v>145</x:v>
      </x:c>
      <x:c r="AJ134" s="17">
        <x:v>46323</x:v>
      </x:c>
      <x:c r="AK134" s="1" t="s">
        <x:v>73</x:v>
      </x:c>
      <x:c r="AL134" s="8" t="s">
        <x:v>74</x:v>
      </x:c>
      <x:c r="AM134" s="1"/>
      <x:c r="AN134" s="8" t="s">
        <x:v>75</x:v>
      </x:c>
      <x:c r="AO134" s="1" t="s">
        <x:v>76</x:v>
      </x:c>
      <x:c r="AP134" s="8"/>
      <x:c r="AQ134" s="1" t="s">
        <x:v>77</x:v>
      </x:c>
      <x:c r="AR134" s="8" t="str">
        <x:v>Проверка автором исследования; дополнительная проверка Михаилом Саяпиным; согласование 28.10.2026</x:v>
      </x:c>
      <x:c r="AS134" s="1" t="s">
        <x:v>1711</x:v>
      </x:c>
      <x:c r="AT134" s="8" t="s">
        <x:v>1712</x:v>
      </x:c>
      <x:c r="AU134" s="1" t="s">
        <x:v>1713</x:v>
      </x:c>
      <x:c r="AV134" s="17">
        <x:v>46321</x:v>
      </x:c>
      <x:c r="AW134" s="1" t="s">
        <x:v>81</x:v>
      </x:c>
      <x:c r="AX134" s="8" t="s">
        <x:v>146</x:v>
      </x:c>
      <x:c r="AY134" s="8" t="s">
        <x:v>1714</x:v>
      </x:c>
    </x:row>
    <x:row r="135" ht="69.94999694824219" customHeight="1">
      <x:c r="A135" s="1" t="s">
        <x:v>1715</x:v>
      </x:c>
      <x:c r="B135" s="8" t="s">
        <x:v>1716</x:v>
      </x:c>
      <x:c r="C135" s="1" t="s">
        <x:v>1717</x:v>
      </x:c>
      <x:c r="D135" s="8" t="s">
        <x:v>73</x:v>
      </x:c>
      <x:c r="E135" s="1" t="s">
        <x:v>76</x:v>
      </x:c>
      <x:c r="F135" s="8" t="s">
        <x:v>1718</x:v>
      </x:c>
      <x:c r="G135" s="1" t="s">
        <x:v>1719</x:v>
      </x:c>
      <x:c r="H135" s="8" t="s">
        <x:v>1345</x:v>
      </x:c>
      <x:c r="I135" s="4">
        <x:v>2019</x:v>
      </x:c>
      <x:c r="J135" s="8" t="s">
        <x:v>416</x:v>
      </x:c>
      <x:c r="K135" s="1" t="s">
        <x:v>416</x:v>
      </x:c>
      <x:c r="L135" s="8" t="s">
        <x:v>1720</x:v>
      </x:c>
      <x:c r="M135" s="1" t="s">
        <x:v>61</x:v>
      </x:c>
      <x:c r="N135" s="8"/>
      <x:c r="O135" s="1"/>
      <x:c r="P135" s="8"/>
      <x:c r="Q135" s="1"/>
      <x:c r="R135" s="8" t="s">
        <x:v>1721</x:v>
      </x:c>
      <x:c r="S135" s="3"/>
      <x:c r="T135" s="8" t="s">
        <x:v>63</x:v>
      </x:c>
      <x:c r="U135" s="1" t="s">
        <x:v>1698</x:v>
      </x:c>
      <x:c r="V135" s="13">
        <x:v>15</x:v>
      </x:c>
      <x:c r="W135" s="1" t="s">
        <x:v>65</x:v>
      </x:c>
      <x:c r="X135" s="8" t="s">
        <x:v>66</x:v>
      </x:c>
      <x:c r="Y135" s="1" t="str">
        <x:v>Проверено автором исследования</x:v>
      </x:c>
      <x:c r="Z135" s="8" t="s">
        <x:v>1722</x:v>
      </x:c>
      <x:c r="AA135" s="1" t="s">
        <x:v>1699</x:v>
      </x:c>
      <x:c r="AB135" s="13">
        <x:v>2026</x:v>
      </x:c>
      <x:c r="AC135" s="3"/>
      <x:c r="AD135" s="8" t="s">
        <x:v>93</x:v>
      </x:c>
      <x:c r="AE135" s="1"/>
      <x:c r="AF135" s="8" t="s">
        <x:v>71</x:v>
      </x:c>
      <x:c r="AG135" s="1" t="s">
        <x:v>1701</x:v>
      </x:c>
      <x:c r="AH135" s="8" t="str">
        <x:v>Краткая затекстовая ссылка; повторная документальная сверка выполнена</x:v>
      </x:c>
      <x:c r="AI135" s="1"/>
      <x:c r="AJ135" s="17"/>
      <x:c r="AK135" s="1" t="s">
        <x:v>73</x:v>
      </x:c>
      <x:c r="AL135" s="8" t="s">
        <x:v>74</x:v>
      </x:c>
      <x:c r="AM135" s="1"/>
      <x:c r="AN135" s="8" t="s">
        <x:v>95</x:v>
      </x:c>
      <x:c r="AO135" s="1" t="s">
        <x:v>76</x:v>
      </x:c>
      <x:c r="AP135" s="8"/>
      <x:c r="AQ135" s="1" t="s">
        <x:v>77</x:v>
      </x:c>
      <x:c r="AR135" s="8" t="str">
        <x:v>Проверка автором исследования</x:v>
      </x:c>
      <x:c r="AS135" s="1"/>
      <x:c r="AT135" s="8" t="s">
        <x:v>96</x:v>
      </x:c>
      <x:c r="AU135" s="1" t="s">
        <x:v>447</x:v>
      </x:c>
      <x:c r="AV135" s="17">
        <x:v>46321</x:v>
      </x:c>
      <x:c r="AW135" s="1" t="s">
        <x:v>81</x:v>
      </x:c>
      <x:c r="AX135" s="8" t="s">
        <x:v>82</x:v>
      </x:c>
      <x:c r="AY135" s="8"/>
    </x:row>
    <x:row r="136" ht="69.94999694824219" customHeight="1">
      <x:c r="A136" s="1" t="s">
        <x:v>1723</x:v>
      </x:c>
      <x:c r="B136" s="8" t="s">
        <x:v>1724</x:v>
      </x:c>
      <x:c r="C136" s="1" t="s">
        <x:v>1725</x:v>
      </x:c>
      <x:c r="D136" s="8" t="s">
        <x:v>73</x:v>
      </x:c>
      <x:c r="E136" s="1" t="s">
        <x:v>76</x:v>
      </x:c>
      <x:c r="F136" s="8" t="s">
        <x:v>1718</x:v>
      </x:c>
      <x:c r="G136" s="1" t="s">
        <x:v>1726</x:v>
      </x:c>
      <x:c r="H136" s="8" t="s">
        <x:v>1345</x:v>
      </x:c>
      <x:c r="I136" s="4">
        <x:v>2019</x:v>
      </x:c>
      <x:c r="J136" s="8" t="s">
        <x:v>416</x:v>
      </x:c>
      <x:c r="K136" s="1" t="s">
        <x:v>182</x:v>
      </x:c>
      <x:c r="L136" s="8" t="s">
        <x:v>1727</x:v>
      </x:c>
      <x:c r="M136" s="1" t="s">
        <x:v>61</x:v>
      </x:c>
      <x:c r="N136" s="8"/>
      <x:c r="O136" s="1"/>
      <x:c r="P136" s="8"/>
      <x:c r="Q136" s="1"/>
      <x:c r="R136" s="8" t="s">
        <x:v>1728</x:v>
      </x:c>
      <x:c r="S136" s="3"/>
      <x:c r="T136" s="8" t="s">
        <x:v>63</x:v>
      </x:c>
      <x:c r="U136" s="1" t="s">
        <x:v>1698</x:v>
      </x:c>
      <x:c r="V136" s="13">
        <x:v>16</x:v>
      </x:c>
      <x:c r="W136" s="1" t="s">
        <x:v>65</x:v>
      </x:c>
      <x:c r="X136" s="8" t="s">
        <x:v>66</x:v>
      </x:c>
      <x:c r="Y136" s="1" t="str">
        <x:v>Проверено автором исследования</x:v>
      </x:c>
      <x:c r="Z136" s="8" t="s">
        <x:v>1729</x:v>
      </x:c>
      <x:c r="AA136" s="1" t="s">
        <x:v>1699</x:v>
      </x:c>
      <x:c r="AB136" s="13">
        <x:v>2026</x:v>
      </x:c>
      <x:c r="AC136" s="3"/>
      <x:c r="AD136" s="8" t="s">
        <x:v>93</x:v>
      </x:c>
      <x:c r="AE136" s="1" t="s">
        <x:v>1730</x:v>
      </x:c>
      <x:c r="AF136" s="8" t="s">
        <x:v>71</x:v>
      </x:c>
      <x:c r="AG136" s="1" t="s">
        <x:v>1701</x:v>
      </x:c>
      <x:c r="AH136" s="8" t="str">
        <x:v>Краткая затекстовая ссылка; повторная документальная сверка выполнена</x:v>
      </x:c>
      <x:c r="AI136" s="1"/>
      <x:c r="AJ136" s="17"/>
      <x:c r="AK136" s="1" t="s">
        <x:v>73</x:v>
      </x:c>
      <x:c r="AL136" s="8" t="s">
        <x:v>74</x:v>
      </x:c>
      <x:c r="AM136" s="1"/>
      <x:c r="AN136" s="8" t="s">
        <x:v>95</x:v>
      </x:c>
      <x:c r="AO136" s="1" t="s">
        <x:v>76</x:v>
      </x:c>
      <x:c r="AP136" s="8"/>
      <x:c r="AQ136" s="1" t="s">
        <x:v>77</x:v>
      </x:c>
      <x:c r="AR136" s="8" t="str">
        <x:v>Проверка автором исследования</x:v>
      </x:c>
      <x:c r="AS136" s="1"/>
      <x:c r="AT136" s="8" t="s">
        <x:v>96</x:v>
      </x:c>
      <x:c r="AU136" s="1" t="s">
        <x:v>447</x:v>
      </x:c>
      <x:c r="AV136" s="17">
        <x:v>46321</x:v>
      </x:c>
      <x:c r="AW136" s="1" t="s">
        <x:v>81</x:v>
      </x:c>
      <x:c r="AX136" s="8" t="s">
        <x:v>82</x:v>
      </x:c>
      <x:c r="AY136" s="8"/>
    </x:row>
    <x:row r="137" ht="69.94999694824219" customHeight="1">
      <x:c r="A137" s="1" t="s">
        <x:v>1731</x:v>
      </x:c>
      <x:c r="B137" s="8" t="s">
        <x:v>1732</x:v>
      </x:c>
      <x:c r="C137" s="1" t="s">
        <x:v>1733</x:v>
      </x:c>
      <x:c r="D137" s="8" t="s">
        <x:v>73</x:v>
      </x:c>
      <x:c r="E137" s="1" t="s">
        <x:v>76</x:v>
      </x:c>
      <x:c r="F137" s="8" t="s">
        <x:v>1734</x:v>
      </x:c>
      <x:c r="G137" s="1" t="s">
        <x:v>1735</x:v>
      </x:c>
      <x:c r="H137" s="8" t="s">
        <x:v>1736</x:v>
      </x:c>
      <x:c r="I137" s="4">
        <x:v>2024</x:v>
      </x:c>
      <x:c r="J137" s="8" t="s">
        <x:v>740</x:v>
      </x:c>
      <x:c r="K137" s="1" t="s">
        <x:v>190</x:v>
      </x:c>
      <x:c r="L137" s="8" t="s">
        <x:v>1737</x:v>
      </x:c>
      <x:c r="M137" s="1" t="s">
        <x:v>61</x:v>
      </x:c>
      <x:c r="N137" s="8"/>
      <x:c r="O137" s="1"/>
      <x:c r="P137" s="8"/>
      <x:c r="Q137" s="1"/>
      <x:c r="R137" s="8"/>
      <x:c r="S137" s="3"/>
      <x:c r="T137" s="8" t="s">
        <x:v>63</x:v>
      </x:c>
      <x:c r="U137" s="1" t="s">
        <x:v>1698</x:v>
      </x:c>
      <x:c r="V137" s="13">
        <x:v>21</x:v>
      </x:c>
      <x:c r="W137" s="1" t="s">
        <x:v>65</x:v>
      </x:c>
      <x:c r="X137" s="8" t="s">
        <x:v>66</x:v>
      </x:c>
      <x:c r="Y137" s="1" t="str">
        <x:v>Проверено автором исследования</x:v>
      </x:c>
      <x:c r="Z137" s="8"/>
      <x:c r="AA137" s="1" t="s">
        <x:v>1699</x:v>
      </x:c>
      <x:c r="AB137" s="13">
        <x:v>2026</x:v>
      </x:c>
      <x:c r="AC137" s="3"/>
      <x:c r="AD137" s="8" t="s">
        <x:v>93</x:v>
      </x:c>
      <x:c r="AE137" s="1" t="s">
        <x:v>1738</x:v>
      </x:c>
      <x:c r="AF137" s="8" t="s">
        <x:v>71</x:v>
      </x:c>
      <x:c r="AG137" s="1" t="s">
        <x:v>1701</x:v>
      </x:c>
      <x:c r="AH137" s="8" t="str">
        <x:v>Краткая затекстовая ссылка; повторная документальная сверка выполнена</x:v>
      </x:c>
      <x:c r="AI137" s="1"/>
      <x:c r="AJ137" s="17"/>
      <x:c r="AK137" s="1" t="s">
        <x:v>73</x:v>
      </x:c>
      <x:c r="AL137" s="8" t="s">
        <x:v>74</x:v>
      </x:c>
      <x:c r="AM137" s="1"/>
      <x:c r="AN137" s="8" t="s">
        <x:v>95</x:v>
      </x:c>
      <x:c r="AO137" s="1" t="s">
        <x:v>76</x:v>
      </x:c>
      <x:c r="AP137" s="8"/>
      <x:c r="AQ137" s="1" t="s">
        <x:v>77</x:v>
      </x:c>
      <x:c r="AR137" s="8" t="str">
        <x:v>Проверка автором исследования</x:v>
      </x:c>
      <x:c r="AS137" s="1"/>
      <x:c r="AT137" s="8" t="s">
        <x:v>96</x:v>
      </x:c>
      <x:c r="AU137" s="1" t="s">
        <x:v>97</x:v>
      </x:c>
      <x:c r="AV137" s="17"/>
      <x:c r="AW137" s="1" t="s">
        <x:v>98</x:v>
      </x:c>
      <x:c r="AX137" s="8" t="s">
        <x:v>82</x:v>
      </x:c>
      <x:c r="AY137" s="8"/>
    </x:row>
    <x:row r="138" ht="69.94999694824219" customHeight="1">
      <x:c r="A138" s="1" t="s">
        <x:v>1739</x:v>
      </x:c>
      <x:c r="B138" s="8" t="s">
        <x:v>1740</x:v>
      </x:c>
      <x:c r="C138" s="1" t="s">
        <x:v>1741</x:v>
      </x:c>
      <x:c r="D138" s="8" t="s">
        <x:v>86</x:v>
      </x:c>
      <x:c r="E138" s="1" t="s">
        <x:v>76</x:v>
      </x:c>
      <x:c r="F138" s="8" t="s">
        <x:v>1742</x:v>
      </x:c>
      <x:c r="G138" s="1" t="s">
        <x:v>1743</x:v>
      </x:c>
      <x:c r="H138" s="8"/>
      <x:c r="I138" s="4">
        <x:v>1988</x:v>
      </x:c>
      <x:c r="J138" s="8"/>
      <x:c r="K138" s="1"/>
      <x:c r="L138" s="8" t="s">
        <x:v>1744</x:v>
      </x:c>
      <x:c r="M138" s="1" t="s">
        <x:v>90</x:v>
      </x:c>
      <x:c r="N138" s="8" t="s">
        <x:v>1456</x:v>
      </x:c>
      <x:c r="O138" s="1" t="s">
        <x:v>92</x:v>
      </x:c>
      <x:c r="P138" s="8"/>
      <x:c r="Q138" s="1"/>
      <x:c r="R138" s="8" t="s">
        <x:v>1745</x:v>
      </x:c>
      <x:c r="S138" s="3">
        <x:v>45896</x:v>
      </x:c>
      <x:c r="T138" s="8" t="s">
        <x:v>63</x:v>
      </x:c>
      <x:c r="U138" s="1" t="s">
        <x:v>1698</x:v>
      </x:c>
      <x:c r="V138" s="13">
        <x:v>22</x:v>
      </x:c>
      <x:c r="W138" s="1" t="s">
        <x:v>140</x:v>
      </x:c>
      <x:c r="X138" s="8" t="s">
        <x:v>66</x:v>
      </x:c>
      <x:c r="Y138" s="1" t="str">
        <x:v>Проверено автором; дополнительно проверено Михаилом Саяпиным</x:v>
      </x:c>
      <x:c r="Z138" s="8"/>
      <x:c r="AA138" s="1" t="s">
        <x:v>1699</x:v>
      </x:c>
      <x:c r="AB138" s="13">
        <x:v>2026</x:v>
      </x:c>
      <x:c r="AC138" s="3"/>
      <x:c r="AD138" s="8" t="s">
        <x:v>93</x:v>
      </x:c>
      <x:c r="AE138" s="1"/>
      <x:c r="AF138" s="8" t="s">
        <x:v>71</x:v>
      </x:c>
      <x:c r="AG138" s="1" t="s">
        <x:v>1701</x:v>
      </x:c>
      <x:c r="AH138" s="8" t="s">
        <x:v>144</x:v>
      </x:c>
      <x:c r="AI138" s="1" t="s">
        <x:v>145</x:v>
      </x:c>
      <x:c r="AJ138" s="17">
        <x:v>46323</x:v>
      </x:c>
      <x:c r="AK138" s="1" t="s">
        <x:v>73</x:v>
      </x:c>
      <x:c r="AL138" s="8" t="s">
        <x:v>74</x:v>
      </x:c>
      <x:c r="AM138" s="1"/>
      <x:c r="AN138" s="8" t="s">
        <x:v>95</x:v>
      </x:c>
      <x:c r="AO138" s="1" t="s">
        <x:v>54</x:v>
      </x:c>
      <x:c r="AP138" s="8"/>
      <x:c r="AQ138" s="1" t="s">
        <x:v>77</x:v>
      </x:c>
      <x:c r="AR138" s="8" t="str">
        <x:v>Проверка автором исследования; дополнительная проверка Михаилом Саяпиным; согласование 28.10.2026</x:v>
      </x:c>
      <x:c r="AS138" s="1"/>
      <x:c r="AT138" s="8" t="s">
        <x:v>96</x:v>
      </x:c>
      <x:c r="AU138" s="1" t="s">
        <x:v>447</x:v>
      </x:c>
      <x:c r="AV138" s="17">
        <x:v>45896</x:v>
      </x:c>
      <x:c r="AW138" s="1" t="s">
        <x:v>324</x:v>
      </x:c>
      <x:c r="AX138" s="8" t="s">
        <x:v>146</x:v>
      </x:c>
      <x:c r="AY138" s="8" t="s">
        <x:v>1746</x:v>
      </x:c>
    </x:row>
    <x:row r="139" ht="84" customHeight="1">
      <x:c r="A139" s="1" t="s">
        <x:v>1747</x:v>
      </x:c>
      <x:c r="B139" s="8" t="s">
        <x:v>1748</x:v>
      </x:c>
      <x:c r="C139" s="1" t="s">
        <x:v>1749</x:v>
      </x:c>
      <x:c r="D139" s="8" t="s">
        <x:v>53</x:v>
      </x:c>
      <x:c r="E139" s="1" t="s">
        <x:v>54</x:v>
      </x:c>
      <x:c r="F139" s="8" t="s">
        <x:v>1750</x:v>
      </x:c>
      <x:c r="G139" s="1" t="s">
        <x:v>1751</x:v>
      </x:c>
      <x:c r="H139" s="8" t="s">
        <x:v>1752</x:v>
      </x:c>
      <x:c r="I139" s="4">
        <x:v>2025</x:v>
      </x:c>
      <x:c r="J139" s="8" t="s">
        <x:v>58</x:v>
      </x:c>
      <x:c r="K139" s="1" t="s">
        <x:v>416</x:v>
      </x:c>
      <x:c r="L139" s="8" t="s">
        <x:v>1753</x:v>
      </x:c>
      <x:c r="M139" s="1" t="s">
        <x:v>61</x:v>
      </x:c>
      <x:c r="N139" s="8"/>
      <x:c r="O139" s="1"/>
      <x:c r="P139" s="8"/>
      <x:c r="Q139" s="1"/>
      <x:c r="R139" s="8" t="s">
        <x:v>1754</x:v>
      </x:c>
      <x:c r="S139" s="3"/>
      <x:c r="T139" s="8" t="s">
        <x:v>63</x:v>
      </x:c>
      <x:c r="U139" s="1" t="s">
        <x:v>1755</x:v>
      </x:c>
      <x:c r="V139" s="13">
        <x:v>9</x:v>
      </x:c>
      <x:c r="W139" s="1" t="s">
        <x:v>65</x:v>
      </x:c>
      <x:c r="X139" s="8" t="s">
        <x:v>66</x:v>
      </x:c>
      <x:c r="Y139" s="1" t="str">
        <x:v>Проверено автором исследования</x:v>
      </x:c>
      <x:c r="Z139" s="8" t="s">
        <x:v>1756</x:v>
      </x:c>
      <x:c r="AA139" s="1" t="s">
        <x:v>1757</x:v>
      </x:c>
      <x:c r="AB139" s="13">
        <x:v>2026</x:v>
      </x:c>
      <x:c r="AC139" s="3">
        <x:v>46322</x:v>
      </x:c>
      <x:c r="AD139" s="8" t="s">
        <x:v>69</x:v>
      </x:c>
      <x:c r="AE139" s="1" t="s">
        <x:v>1758</x:v>
      </x:c>
      <x:c r="AF139" s="8" t="s">
        <x:v>118</x:v>
      </x:c>
      <x:c r="AG139" s="1" t="s">
        <x:v>1759</x:v>
      </x:c>
      <x:c r="AH139" s="8" t="str">
        <x:v>Краткая затекстовая ссылка; повторная документальная сверка выполнена</x:v>
      </x:c>
      <x:c r="AI139" s="1"/>
      <x:c r="AJ139" s="17"/>
      <x:c r="AK139" s="1" t="s">
        <x:v>73</x:v>
      </x:c>
      <x:c r="AL139" s="8" t="s">
        <x:v>74</x:v>
      </x:c>
      <x:c r="AM139" s="1"/>
      <x:c r="AN139" s="8" t="s">
        <x:v>75</x:v>
      </x:c>
      <x:c r="AO139" s="1" t="s">
        <x:v>76</x:v>
      </x:c>
      <x:c r="AP139" s="8"/>
      <x:c r="AQ139" s="1" t="s">
        <x:v>77</x:v>
      </x:c>
      <x:c r="AR139" s="8" t="str">
        <x:v>Проверка автором исследования</x:v>
      </x:c>
      <x:c r="AS139" s="1" t="s">
        <x:v>1760</x:v>
      </x:c>
      <x:c r="AT139" s="8" t="s">
        <x:v>1761</x:v>
      </x:c>
      <x:c r="AU139" s="1" t="s">
        <x:v>1762</x:v>
      </x:c>
      <x:c r="AV139" s="17">
        <x:v>46321</x:v>
      </x:c>
      <x:c r="AW139" s="1" t="s">
        <x:v>81</x:v>
      </x:c>
      <x:c r="AX139" s="8" t="s">
        <x:v>82</x:v>
      </x:c>
      <x:c r="AY139" s="8"/>
    </x:row>
    <x:row r="140" ht="98.0999984741211" customHeight="1">
      <x:c r="A140" s="1" t="s">
        <x:v>1763</x:v>
      </x:c>
      <x:c r="B140" s="8" t="s">
        <x:v>1764</x:v>
      </x:c>
      <x:c r="C140" s="1" t="s">
        <x:v>1765</x:v>
      </x:c>
      <x:c r="D140" s="8" t="s">
        <x:v>53</x:v>
      </x:c>
      <x:c r="E140" s="1" t="s">
        <x:v>54</x:v>
      </x:c>
      <x:c r="F140" s="8" t="s">
        <x:v>1766</x:v>
      </x:c>
      <x:c r="G140" s="1" t="s">
        <x:v>1767</x:v>
      </x:c>
      <x:c r="H140" s="8" t="s">
        <x:v>1768</x:v>
      </x:c>
      <x:c r="I140" s="4">
        <x:v>2023</x:v>
      </x:c>
      <x:c r="J140" s="8" t="s">
        <x:v>1044</x:v>
      </x:c>
      <x:c r="K140" s="1" t="s">
        <x:v>182</x:v>
      </x:c>
      <x:c r="L140" s="8" t="s">
        <x:v>1769</x:v>
      </x:c>
      <x:c r="M140" s="1" t="s">
        <x:v>61</x:v>
      </x:c>
      <x:c r="N140" s="8"/>
      <x:c r="O140" s="1"/>
      <x:c r="P140" s="8"/>
      <x:c r="Q140" s="1"/>
      <x:c r="R140" s="8" t="s">
        <x:v>1770</x:v>
      </x:c>
      <x:c r="S140" s="3"/>
      <x:c r="T140" s="8" t="s">
        <x:v>63</x:v>
      </x:c>
      <x:c r="U140" s="1" t="s">
        <x:v>1755</x:v>
      </x:c>
      <x:c r="V140" s="13">
        <x:v>19</x:v>
      </x:c>
      <x:c r="W140" s="1" t="s">
        <x:v>242</x:v>
      </x:c>
      <x:c r="X140" s="8" t="s">
        <x:v>66</x:v>
      </x:c>
      <x:c r="Y140" s="1" t="str">
        <x:v>Проверено автором; дополнительно проверено Михаилом Саяпиным</x:v>
      </x:c>
      <x:c r="Z140" s="8" t="s">
        <x:v>1771</x:v>
      </x:c>
      <x:c r="AA140" s="1" t="s">
        <x:v>1757</x:v>
      </x:c>
      <x:c r="AB140" s="13">
        <x:v>2026</x:v>
      </x:c>
      <x:c r="AC140" s="3">
        <x:v>46322</x:v>
      </x:c>
      <x:c r="AD140" s="8" t="s">
        <x:v>69</x:v>
      </x:c>
      <x:c r="AE140" s="1" t="s">
        <x:v>1772</x:v>
      </x:c>
      <x:c r="AF140" s="8" t="s">
        <x:v>118</x:v>
      </x:c>
      <x:c r="AG140" s="1" t="s">
        <x:v>1759</x:v>
      </x:c>
      <x:c r="AH140" s="8" t="s">
        <x:v>144</x:v>
      </x:c>
      <x:c r="AI140" s="1" t="s">
        <x:v>145</x:v>
      </x:c>
      <x:c r="AJ140" s="17">
        <x:v>46323</x:v>
      </x:c>
      <x:c r="AK140" s="1" t="s">
        <x:v>73</x:v>
      </x:c>
      <x:c r="AL140" s="8" t="s">
        <x:v>74</x:v>
      </x:c>
      <x:c r="AM140" s="1"/>
      <x:c r="AN140" s="8" t="s">
        <x:v>75</x:v>
      </x:c>
      <x:c r="AO140" s="1" t="s">
        <x:v>76</x:v>
      </x:c>
      <x:c r="AP140" s="8"/>
      <x:c r="AQ140" s="1" t="s">
        <x:v>77</x:v>
      </x:c>
      <x:c r="AR140" s="8" t="str">
        <x:v>Проверка автором исследования; дополнительная проверка Михаилом Саяпиным; согласование 28.10.2026</x:v>
      </x:c>
      <x:c r="AS140" s="1" t="s">
        <x:v>1773</x:v>
      </x:c>
      <x:c r="AT140" s="8" t="s">
        <x:v>1774</x:v>
      </x:c>
      <x:c r="AU140" s="1" t="s">
        <x:v>1775</x:v>
      </x:c>
      <x:c r="AV140" s="17">
        <x:v>46321</x:v>
      </x:c>
      <x:c r="AW140" s="1" t="s">
        <x:v>81</x:v>
      </x:c>
      <x:c r="AX140" s="8" t="s">
        <x:v>146</x:v>
      </x:c>
      <x:c r="AY140" s="8" t="s">
        <x:v>1776</x:v>
      </x:c>
    </x:row>
    <x:row r="141" ht="69.94999694824219" customHeight="1">
      <x:c r="A141" s="1" t="s">
        <x:v>1777</x:v>
      </x:c>
      <x:c r="B141" s="8" t="s">
        <x:v>1778</x:v>
      </x:c>
      <x:c r="C141" s="1" t="s">
        <x:v>1779</x:v>
      </x:c>
      <x:c r="D141" s="8" t="s">
        <x:v>73</x:v>
      </x:c>
      <x:c r="E141" s="1" t="s">
        <x:v>76</x:v>
      </x:c>
      <x:c r="F141" s="8" t="s">
        <x:v>1780</x:v>
      </x:c>
      <x:c r="G141" s="1" t="s">
        <x:v>1781</x:v>
      </x:c>
      <x:c r="H141" s="8" t="s">
        <x:v>1782</x:v>
      </x:c>
      <x:c r="I141" s="4">
        <x:v>2017</x:v>
      </x:c>
      <x:c r="J141" s="8"/>
      <x:c r="K141" s="1" t="s">
        <x:v>1783</x:v>
      </x:c>
      <x:c r="L141" s="8" t="s">
        <x:v>1784</x:v>
      </x:c>
      <x:c r="M141" s="1" t="s">
        <x:v>61</x:v>
      </x:c>
      <x:c r="N141" s="8"/>
      <x:c r="O141" s="1"/>
      <x:c r="P141" s="8"/>
      <x:c r="Q141" s="1"/>
      <x:c r="R141" s="8" t="s">
        <x:v>1785</x:v>
      </x:c>
      <x:c r="S141" s="3"/>
      <x:c r="T141" s="8" t="s">
        <x:v>63</x:v>
      </x:c>
      <x:c r="U141" s="1" t="s">
        <x:v>1786</x:v>
      </x:c>
      <x:c r="V141" s="13">
        <x:v>11</x:v>
      </x:c>
      <x:c r="W141" s="1" t="s">
        <x:v>65</x:v>
      </x:c>
      <x:c r="X141" s="8" t="s">
        <x:v>66</x:v>
      </x:c>
      <x:c r="Y141" s="1" t="str">
        <x:v>Проверено автором исследования</x:v>
      </x:c>
      <x:c r="Z141" s="8" t="s">
        <x:v>1787</x:v>
      </x:c>
      <x:c r="AA141" s="1" t="s">
        <x:v>1788</x:v>
      </x:c>
      <x:c r="AB141" s="13">
        <x:v>2026</x:v>
      </x:c>
      <x:c r="AC141" s="3"/>
      <x:c r="AD141" s="8" t="s">
        <x:v>93</x:v>
      </x:c>
      <x:c r="AE141" s="1" t="s">
        <x:v>1789</x:v>
      </x:c>
      <x:c r="AF141" s="8" t="s">
        <x:v>118</x:v>
      </x:c>
      <x:c r="AG141" s="1" t="s">
        <x:v>1790</x:v>
      </x:c>
      <x:c r="AH141" s="8" t="str">
        <x:v>Краткая затекстовая ссылка; повторная документальная сверка выполнена</x:v>
      </x:c>
      <x:c r="AI141" s="1"/>
      <x:c r="AJ141" s="17"/>
      <x:c r="AK141" s="1" t="s">
        <x:v>73</x:v>
      </x:c>
      <x:c r="AL141" s="8" t="s">
        <x:v>74</x:v>
      </x:c>
      <x:c r="AM141" s="1"/>
      <x:c r="AN141" s="8" t="s">
        <x:v>95</x:v>
      </x:c>
      <x:c r="AO141" s="1" t="s">
        <x:v>76</x:v>
      </x:c>
      <x:c r="AP141" s="8"/>
      <x:c r="AQ141" s="1" t="s">
        <x:v>77</x:v>
      </x:c>
      <x:c r="AR141" s="8" t="str">
        <x:v>Проверка автором исследования</x:v>
      </x:c>
      <x:c r="AS141" s="1"/>
      <x:c r="AT141" s="8" t="s">
        <x:v>96</x:v>
      </x:c>
      <x:c r="AU141" s="1" t="s">
        <x:v>447</x:v>
      </x:c>
      <x:c r="AV141" s="17">
        <x:v>46321</x:v>
      </x:c>
      <x:c r="AW141" s="1" t="s">
        <x:v>81</x:v>
      </x:c>
      <x:c r="AX141" s="8" t="s">
        <x:v>82</x:v>
      </x:c>
      <x:c r="AY141" s="8"/>
    </x:row>
    <x:row r="142" ht="69.94999694824219" customHeight="1">
      <x:c r="A142" s="1" t="s">
        <x:v>1791</x:v>
      </x:c>
      <x:c r="B142" s="8" t="s">
        <x:v>1792</x:v>
      </x:c>
      <x:c r="C142" s="1" t="s">
        <x:v>1793</x:v>
      </x:c>
      <x:c r="D142" s="8" t="s">
        <x:v>73</x:v>
      </x:c>
      <x:c r="E142" s="1" t="s">
        <x:v>76</x:v>
      </x:c>
      <x:c r="F142" s="8" t="s">
        <x:v>1794</x:v>
      </x:c>
      <x:c r="G142" s="1" t="s">
        <x:v>1795</x:v>
      </x:c>
      <x:c r="H142" s="8" t="s">
        <x:v>1796</x:v>
      </x:c>
      <x:c r="I142" s="4">
        <x:v>2019</x:v>
      </x:c>
      <x:c r="J142" s="8"/>
      <x:c r="K142" s="1" t="s">
        <x:v>1797</x:v>
      </x:c>
      <x:c r="L142" s="8" t="s">
        <x:v>1798</x:v>
      </x:c>
      <x:c r="M142" s="1" t="s">
        <x:v>61</x:v>
      </x:c>
      <x:c r="N142" s="8"/>
      <x:c r="O142" s="1"/>
      <x:c r="P142" s="8"/>
      <x:c r="Q142" s="1"/>
      <x:c r="R142" s="8" t="s">
        <x:v>1799</x:v>
      </x:c>
      <x:c r="S142" s="3"/>
      <x:c r="T142" s="8" t="s">
        <x:v>63</x:v>
      </x:c>
      <x:c r="U142" s="1" t="s">
        <x:v>1800</x:v>
      </x:c>
      <x:c r="V142" s="13">
        <x:v>2</x:v>
      </x:c>
      <x:c r="W142" s="1" t="s">
        <x:v>65</x:v>
      </x:c>
      <x:c r="X142" s="8" t="s">
        <x:v>66</x:v>
      </x:c>
      <x:c r="Y142" s="1" t="str">
        <x:v>Проверено автором исследования</x:v>
      </x:c>
      <x:c r="Z142" s="8" t="s">
        <x:v>1801</x:v>
      </x:c>
      <x:c r="AA142" s="1" t="s">
        <x:v>1802</x:v>
      </x:c>
      <x:c r="AB142" s="13">
        <x:v>2026</x:v>
      </x:c>
      <x:c r="AC142" s="3"/>
      <x:c r="AD142" s="8" t="s">
        <x:v>93</x:v>
      </x:c>
      <x:c r="AE142" s="1"/>
      <x:c r="AF142" s="8" t="s">
        <x:v>118</x:v>
      </x:c>
      <x:c r="AG142" s="1" t="s">
        <x:v>1803</x:v>
      </x:c>
      <x:c r="AH142" s="8" t="str">
        <x:v>Краткая затекстовая ссылка; повторная документальная сверка выполнена</x:v>
      </x:c>
      <x:c r="AI142" s="1"/>
      <x:c r="AJ142" s="17"/>
      <x:c r="AK142" s="1" t="s">
        <x:v>73</x:v>
      </x:c>
      <x:c r="AL142" s="8" t="s">
        <x:v>74</x:v>
      </x:c>
      <x:c r="AM142" s="1"/>
      <x:c r="AN142" s="8" t="s">
        <x:v>95</x:v>
      </x:c>
      <x:c r="AO142" s="1" t="s">
        <x:v>76</x:v>
      </x:c>
      <x:c r="AP142" s="8"/>
      <x:c r="AQ142" s="1" t="s">
        <x:v>77</x:v>
      </x:c>
      <x:c r="AR142" s="8" t="str">
        <x:v>Проверка автором исследования</x:v>
      </x:c>
      <x:c r="AS142" s="1"/>
      <x:c r="AT142" s="8" t="s">
        <x:v>96</x:v>
      </x:c>
      <x:c r="AU142" s="1" t="s">
        <x:v>447</x:v>
      </x:c>
      <x:c r="AV142" s="17">
        <x:v>46321</x:v>
      </x:c>
      <x:c r="AW142" s="1" t="s">
        <x:v>81</x:v>
      </x:c>
      <x:c r="AX142" s="8" t="s">
        <x:v>82</x:v>
      </x:c>
      <x:c r="AY142" s="8"/>
    </x:row>
    <x:row r="143" ht="153.9499969482422" customHeight="1">
      <x:c r="A143" s="1" t="s">
        <x:v>1804</x:v>
      </x:c>
      <x:c r="B143" s="8" t="s">
        <x:v>1805</x:v>
      </x:c>
      <x:c r="C143" s="1" t="s">
        <x:v>1806</x:v>
      </x:c>
      <x:c r="D143" s="8" t="s">
        <x:v>53</x:v>
      </x:c>
      <x:c r="E143" s="1" t="s">
        <x:v>54</x:v>
      </x:c>
      <x:c r="F143" s="8" t="s">
        <x:v>1807</x:v>
      </x:c>
      <x:c r="G143" s="1" t="s">
        <x:v>1808</x:v>
      </x:c>
      <x:c r="H143" s="8" t="s">
        <x:v>1809</x:v>
      </x:c>
      <x:c r="I143" s="4">
        <x:v>2024</x:v>
      </x:c>
      <x:c r="J143" s="8"/>
      <x:c r="K143" s="1" t="s">
        <x:v>1810</x:v>
      </x:c>
      <x:c r="L143" s="8" t="s">
        <x:v>1811</x:v>
      </x:c>
      <x:c r="M143" s="1" t="s">
        <x:v>61</x:v>
      </x:c>
      <x:c r="N143" s="8"/>
      <x:c r="O143" s="1"/>
      <x:c r="P143" s="8"/>
      <x:c r="Q143" s="1"/>
      <x:c r="R143" s="8" t="s">
        <x:v>1812</x:v>
      </x:c>
      <x:c r="S143" s="3">
        <x:v>45988</x:v>
      </x:c>
      <x:c r="T143" s="8" t="s">
        <x:v>63</x:v>
      </x:c>
      <x:c r="U143" s="1" t="s">
        <x:v>1800</x:v>
      </x:c>
      <x:c r="V143" s="13">
        <x:v>4</x:v>
      </x:c>
      <x:c r="W143" s="1" t="s">
        <x:v>65</x:v>
      </x:c>
      <x:c r="X143" s="8" t="s">
        <x:v>66</x:v>
      </x:c>
      <x:c r="Y143" s="1" t="str">
        <x:v>Проверено автором исследования</x:v>
      </x:c>
      <x:c r="Z143" s="8"/>
      <x:c r="AA143" s="1" t="s">
        <x:v>1802</x:v>
      </x:c>
      <x:c r="AB143" s="13">
        <x:v>2026</x:v>
      </x:c>
      <x:c r="AC143" s="3">
        <x:v>46322</x:v>
      </x:c>
      <x:c r="AD143" s="8" t="s">
        <x:v>69</x:v>
      </x:c>
      <x:c r="AE143" s="1"/>
      <x:c r="AF143" s="8" t="s">
        <x:v>118</x:v>
      </x:c>
      <x:c r="AG143" s="1" t="s">
        <x:v>1803</x:v>
      </x:c>
      <x:c r="AH143" s="8" t="str">
        <x:v>Краткая затекстовая ссылка; повторная документальная сверка выполнена</x:v>
      </x:c>
      <x:c r="AI143" s="1"/>
      <x:c r="AJ143" s="17"/>
      <x:c r="AK143" s="1" t="s">
        <x:v>73</x:v>
      </x:c>
      <x:c r="AL143" s="8" t="s">
        <x:v>74</x:v>
      </x:c>
      <x:c r="AM143" s="1"/>
      <x:c r="AN143" s="8" t="s">
        <x:v>75</x:v>
      </x:c>
      <x:c r="AO143" s="1" t="s">
        <x:v>54</x:v>
      </x:c>
      <x:c r="AP143" s="8"/>
      <x:c r="AQ143" s="1" t="s">
        <x:v>77</x:v>
      </x:c>
      <x:c r="AR143" s="8" t="str">
        <x:v>Проверка автором исследования</x:v>
      </x:c>
      <x:c r="AS143" s="1" t="s">
        <x:v>1812</x:v>
      </x:c>
      <x:c r="AT143" s="8" t="s">
        <x:v>1813</x:v>
      </x:c>
      <x:c r="AU143" s="1" t="s">
        <x:v>1814</x:v>
      </x:c>
      <x:c r="AV143" s="17">
        <x:v>45988</x:v>
      </x:c>
      <x:c r="AW143" s="1" t="s">
        <x:v>324</x:v>
      </x:c>
      <x:c r="AX143" s="8" t="s">
        <x:v>82</x:v>
      </x:c>
      <x:c r="AY143" s="8"/>
    </x:row>
    <x:row r="144" ht="69.94999694824219" customHeight="1">
      <x:c r="A144" s="1" t="s">
        <x:v>1815</x:v>
      </x:c>
      <x:c r="B144" s="8" t="s">
        <x:v>1816</x:v>
      </x:c>
      <x:c r="C144" s="1" t="s">
        <x:v>1817</x:v>
      </x:c>
      <x:c r="D144" s="8" t="s">
        <x:v>86</x:v>
      </x:c>
      <x:c r="E144" s="1" t="s">
        <x:v>76</x:v>
      </x:c>
      <x:c r="F144" s="8" t="s">
        <x:v>1818</x:v>
      </x:c>
      <x:c r="G144" s="1" t="s">
        <x:v>1819</x:v>
      </x:c>
      <x:c r="H144" s="8"/>
      <x:c r="I144" s="4">
        <x:v>2022</x:v>
      </x:c>
      <x:c r="J144" s="8"/>
      <x:c r="K144" s="1"/>
      <x:c r="L144" s="8" t="s">
        <x:v>1820</x:v>
      </x:c>
      <x:c r="M144" s="1" t="s">
        <x:v>90</x:v>
      </x:c>
      <x:c r="N144" s="8" t="s">
        <x:v>1821</x:v>
      </x:c>
      <x:c r="O144" s="1" t="s">
        <x:v>1822</x:v>
      </x:c>
      <x:c r="P144" s="8"/>
      <x:c r="Q144" s="1" t="s">
        <x:v>1823</x:v>
      </x:c>
      <x:c r="R144" s="8"/>
      <x:c r="S144" s="3"/>
      <x:c r="T144" s="8" t="s">
        <x:v>63</x:v>
      </x:c>
      <x:c r="U144" s="1" t="s">
        <x:v>1824</x:v>
      </x:c>
      <x:c r="V144" s="13">
        <x:v>2</x:v>
      </x:c>
      <x:c r="W144" s="1" t="s">
        <x:v>65</x:v>
      </x:c>
      <x:c r="X144" s="8" t="s">
        <x:v>66</x:v>
      </x:c>
      <x:c r="Y144" s="1" t="str">
        <x:v>Проверено автором исследования</x:v>
      </x:c>
      <x:c r="Z144" s="8"/>
      <x:c r="AA144" s="1" t="s">
        <x:v>1825</x:v>
      </x:c>
      <x:c r="AB144" s="13">
        <x:v>2026</x:v>
      </x:c>
      <x:c r="AC144" s="3"/>
      <x:c r="AD144" s="8" t="s">
        <x:v>93</x:v>
      </x:c>
      <x:c r="AE144" s="1" t="s">
        <x:v>1826</x:v>
      </x:c>
      <x:c r="AF144" s="8" t="s">
        <x:v>118</x:v>
      </x:c>
      <x:c r="AG144" s="1" t="s">
        <x:v>1827</x:v>
      </x:c>
      <x:c r="AH144" s="8" t="str">
        <x:v>Краткая затекстовая ссылка; повторная документальная сверка выполнена</x:v>
      </x:c>
      <x:c r="AI144" s="1"/>
      <x:c r="AJ144" s="17"/>
      <x:c r="AK144" s="1" t="s">
        <x:v>73</x:v>
      </x:c>
      <x:c r="AL144" s="8" t="s">
        <x:v>74</x:v>
      </x:c>
      <x:c r="AM144" s="1"/>
      <x:c r="AN144" s="8" t="s">
        <x:v>95</x:v>
      </x:c>
      <x:c r="AO144" s="1" t="s">
        <x:v>76</x:v>
      </x:c>
      <x:c r="AP144" s="8"/>
      <x:c r="AQ144" s="1" t="s">
        <x:v>77</x:v>
      </x:c>
      <x:c r="AR144" s="8" t="str">
        <x:v>Проверка автором исследования</x:v>
      </x:c>
      <x:c r="AS144" s="1"/>
      <x:c r="AT144" s="8" t="s">
        <x:v>96</x:v>
      </x:c>
      <x:c r="AU144" s="1" t="s">
        <x:v>97</x:v>
      </x:c>
      <x:c r="AV144" s="17"/>
      <x:c r="AW144" s="1" t="s">
        <x:v>98</x:v>
      </x:c>
      <x:c r="AX144" s="8" t="s">
        <x:v>82</x:v>
      </x:c>
      <x:c r="AY144" s="8"/>
    </x:row>
    <x:row r="145" ht="69.94999694824219" customHeight="1">
      <x:c r="A145" s="1" t="s">
        <x:v>1828</x:v>
      </x:c>
      <x:c r="B145" s="8" t="s">
        <x:v>1829</x:v>
      </x:c>
      <x:c r="C145" s="1" t="s">
        <x:v>1830</x:v>
      </x:c>
      <x:c r="D145" s="8" t="s">
        <x:v>53</x:v>
      </x:c>
      <x:c r="E145" s="1" t="s">
        <x:v>54</x:v>
      </x:c>
      <x:c r="F145" s="8" t="s">
        <x:v>1831</x:v>
      </x:c>
      <x:c r="G145" s="1" t="s">
        <x:v>1832</x:v>
      </x:c>
      <x:c r="H145" s="8" t="s">
        <x:v>1833</x:v>
      </x:c>
      <x:c r="I145" s="4">
        <x:v>2024</x:v>
      </x:c>
      <x:c r="J145" s="8"/>
      <x:c r="K145" s="1" t="s">
        <x:v>1834</x:v>
      </x:c>
      <x:c r="L145" s="8" t="s">
        <x:v>1835</x:v>
      </x:c>
      <x:c r="M145" s="1" t="s">
        <x:v>61</x:v>
      </x:c>
      <x:c r="N145" s="8"/>
      <x:c r="O145" s="1"/>
      <x:c r="P145" s="8"/>
      <x:c r="Q145" s="1"/>
      <x:c r="R145" s="8" t="s">
        <x:v>1836</x:v>
      </x:c>
      <x:c r="S145" s="3"/>
      <x:c r="T145" s="8" t="s">
        <x:v>63</x:v>
      </x:c>
      <x:c r="U145" s="1" t="s">
        <x:v>1824</x:v>
      </x:c>
      <x:c r="V145" s="13">
        <x:v>6</x:v>
      </x:c>
      <x:c r="W145" s="1" t="s">
        <x:v>65</x:v>
      </x:c>
      <x:c r="X145" s="8" t="s">
        <x:v>66</x:v>
      </x:c>
      <x:c r="Y145" s="1" t="str">
        <x:v>Проверено автором исследования</x:v>
      </x:c>
      <x:c r="Z145" s="8" t="s">
        <x:v>1837</x:v>
      </x:c>
      <x:c r="AA145" s="1" t="s">
        <x:v>1825</x:v>
      </x:c>
      <x:c r="AB145" s="13">
        <x:v>2026</x:v>
      </x:c>
      <x:c r="AC145" s="3">
        <x:v>46322</x:v>
      </x:c>
      <x:c r="AD145" s="8" t="s">
        <x:v>69</x:v>
      </x:c>
      <x:c r="AE145" s="1" t="s">
        <x:v>1838</x:v>
      </x:c>
      <x:c r="AF145" s="8" t="s">
        <x:v>118</x:v>
      </x:c>
      <x:c r="AG145" s="1" t="s">
        <x:v>1827</x:v>
      </x:c>
      <x:c r="AH145" s="8" t="str">
        <x:v>Краткая затекстовая ссылка; повторная документальная сверка выполнена</x:v>
      </x:c>
      <x:c r="AI145" s="1"/>
      <x:c r="AJ145" s="17"/>
      <x:c r="AK145" s="1" t="s">
        <x:v>73</x:v>
      </x:c>
      <x:c r="AL145" s="8" t="s">
        <x:v>74</x:v>
      </x:c>
      <x:c r="AM145" s="1"/>
      <x:c r="AN145" s="8" t="s">
        <x:v>75</x:v>
      </x:c>
      <x:c r="AO145" s="1" t="s">
        <x:v>76</x:v>
      </x:c>
      <x:c r="AP145" s="8"/>
      <x:c r="AQ145" s="1" t="s">
        <x:v>77</x:v>
      </x:c>
      <x:c r="AR145" s="8" t="str">
        <x:v>Проверка автором исследования</x:v>
      </x:c>
      <x:c r="AS145" s="1" t="s">
        <x:v>1839</x:v>
      </x:c>
      <x:c r="AT145" s="8" t="s">
        <x:v>1840</x:v>
      </x:c>
      <x:c r="AU145" s="1" t="s">
        <x:v>1841</x:v>
      </x:c>
      <x:c r="AV145" s="17">
        <x:v>46321</x:v>
      </x:c>
      <x:c r="AW145" s="1" t="s">
        <x:v>81</x:v>
      </x:c>
      <x:c r="AX145" s="8" t="s">
        <x:v>82</x:v>
      </x:c>
      <x:c r="AY145" s="8"/>
    </x:row>
    <x:row r="146" ht="84" customHeight="1">
      <x:c r="A146" s="1" t="s">
        <x:v>1842</x:v>
      </x:c>
      <x:c r="B146" s="8" t="s">
        <x:v>1843</x:v>
      </x:c>
      <x:c r="C146" s="1" t="s">
        <x:v>1844</x:v>
      </x:c>
      <x:c r="D146" s="8" t="s">
        <x:v>53</x:v>
      </x:c>
      <x:c r="E146" s="1" t="s">
        <x:v>54</x:v>
      </x:c>
      <x:c r="F146" s="8" t="s">
        <x:v>1845</x:v>
      </x:c>
      <x:c r="G146" s="1" t="s">
        <x:v>1846</x:v>
      </x:c>
      <x:c r="H146" s="8" t="s">
        <x:v>1847</x:v>
      </x:c>
      <x:c r="I146" s="4">
        <x:v>2024</x:v>
      </x:c>
      <x:c r="J146" s="8"/>
      <x:c r="K146" s="1" t="s">
        <x:v>182</x:v>
      </x:c>
      <x:c r="L146" s="8" t="s">
        <x:v>1848</x:v>
      </x:c>
      <x:c r="M146" s="1" t="s">
        <x:v>61</x:v>
      </x:c>
      <x:c r="N146" s="8"/>
      <x:c r="O146" s="1"/>
      <x:c r="P146" s="8"/>
      <x:c r="Q146" s="1"/>
      <x:c r="R146" s="8" t="s">
        <x:v>1849</x:v>
      </x:c>
      <x:c r="S146" s="3"/>
      <x:c r="T146" s="8" t="s">
        <x:v>63</x:v>
      </x:c>
      <x:c r="U146" s="1" t="s">
        <x:v>1824</x:v>
      </x:c>
      <x:c r="V146" s="13">
        <x:v>7</x:v>
      </x:c>
      <x:c r="W146" s="1" t="s">
        <x:v>65</x:v>
      </x:c>
      <x:c r="X146" s="8" t="s">
        <x:v>66</x:v>
      </x:c>
      <x:c r="Y146" s="1" t="str">
        <x:v>Проверено автором исследования</x:v>
      </x:c>
      <x:c r="Z146" s="8" t="s">
        <x:v>1850</x:v>
      </x:c>
      <x:c r="AA146" s="1" t="s">
        <x:v>1825</x:v>
      </x:c>
      <x:c r="AB146" s="13">
        <x:v>2026</x:v>
      </x:c>
      <x:c r="AC146" s="3">
        <x:v>46322</x:v>
      </x:c>
      <x:c r="AD146" s="8" t="s">
        <x:v>69</x:v>
      </x:c>
      <x:c r="AE146" s="1" t="s">
        <x:v>1851</x:v>
      </x:c>
      <x:c r="AF146" s="8" t="s">
        <x:v>118</x:v>
      </x:c>
      <x:c r="AG146" s="1" t="s">
        <x:v>1827</x:v>
      </x:c>
      <x:c r="AH146" s="8" t="str">
        <x:v>Краткая затекстовая ссылка; повторная документальная сверка выполнена</x:v>
      </x:c>
      <x:c r="AI146" s="1"/>
      <x:c r="AJ146" s="17"/>
      <x:c r="AK146" s="1" t="s">
        <x:v>73</x:v>
      </x:c>
      <x:c r="AL146" s="8" t="s">
        <x:v>74</x:v>
      </x:c>
      <x:c r="AM146" s="1"/>
      <x:c r="AN146" s="8" t="s">
        <x:v>75</x:v>
      </x:c>
      <x:c r="AO146" s="1" t="s">
        <x:v>76</x:v>
      </x:c>
      <x:c r="AP146" s="8"/>
      <x:c r="AQ146" s="1" t="s">
        <x:v>77</x:v>
      </x:c>
      <x:c r="AR146" s="8" t="str">
        <x:v>Проверка автором исследования</x:v>
      </x:c>
      <x:c r="AS146" s="1" t="s">
        <x:v>1852</x:v>
      </x:c>
      <x:c r="AT146" s="8" t="s">
        <x:v>1853</x:v>
      </x:c>
      <x:c r="AU146" s="1" t="s">
        <x:v>1854</x:v>
      </x:c>
      <x:c r="AV146" s="17">
        <x:v>46321</x:v>
      </x:c>
      <x:c r="AW146" s="1" t="s">
        <x:v>81</x:v>
      </x:c>
      <x:c r="AX146" s="8" t="s">
        <x:v>82</x:v>
      </x:c>
      <x:c r="AY146" s="8"/>
    </x:row>
    <x:row r="147" ht="84" customHeight="1">
      <x:c r="A147" s="1" t="s">
        <x:v>1855</x:v>
      </x:c>
      <x:c r="B147" s="8" t="s">
        <x:v>1856</x:v>
      </x:c>
      <x:c r="C147" s="1" t="s">
        <x:v>1857</x:v>
      </x:c>
      <x:c r="D147" s="8" t="s">
        <x:v>53</x:v>
      </x:c>
      <x:c r="E147" s="1" t="s">
        <x:v>54</x:v>
      </x:c>
      <x:c r="F147" s="8" t="s">
        <x:v>1858</x:v>
      </x:c>
      <x:c r="G147" s="1" t="s">
        <x:v>1859</x:v>
      </x:c>
      <x:c r="H147" s="8" t="s">
        <x:v>1860</x:v>
      </x:c>
      <x:c r="I147" s="4">
        <x:v>2025</x:v>
      </x:c>
      <x:c r="J147" s="8" t="s">
        <x:v>974</x:v>
      </x:c>
      <x:c r="K147" s="1" t="s">
        <x:v>182</x:v>
      </x:c>
      <x:c r="L147" s="8" t="s">
        <x:v>1861</x:v>
      </x:c>
      <x:c r="M147" s="1" t="s">
        <x:v>61</x:v>
      </x:c>
      <x:c r="N147" s="8"/>
      <x:c r="O147" s="1"/>
      <x:c r="P147" s="8"/>
      <x:c r="Q147" s="1"/>
      <x:c r="R147" s="8" t="s">
        <x:v>1862</x:v>
      </x:c>
      <x:c r="S147" s="3"/>
      <x:c r="T147" s="8" t="s">
        <x:v>63</x:v>
      </x:c>
      <x:c r="U147" s="1" t="s">
        <x:v>1824</x:v>
      </x:c>
      <x:c r="V147" s="13">
        <x:v>28</x:v>
      </x:c>
      <x:c r="W147" s="1" t="s">
        <x:v>65</x:v>
      </x:c>
      <x:c r="X147" s="8" t="s">
        <x:v>66</x:v>
      </x:c>
      <x:c r="Y147" s="1" t="str">
        <x:v>Проверено автором исследования</x:v>
      </x:c>
      <x:c r="Z147" s="8" t="s">
        <x:v>1863</x:v>
      </x:c>
      <x:c r="AA147" s="1" t="s">
        <x:v>1825</x:v>
      </x:c>
      <x:c r="AB147" s="13">
        <x:v>2026</x:v>
      </x:c>
      <x:c r="AC147" s="3">
        <x:v>46322</x:v>
      </x:c>
      <x:c r="AD147" s="8" t="s">
        <x:v>69</x:v>
      </x:c>
      <x:c r="AE147" s="1" t="s">
        <x:v>1864</x:v>
      </x:c>
      <x:c r="AF147" s="8" t="s">
        <x:v>118</x:v>
      </x:c>
      <x:c r="AG147" s="1" t="s">
        <x:v>1827</x:v>
      </x:c>
      <x:c r="AH147" s="8" t="str">
        <x:v>Краткая затекстовая ссылка; повторная документальная сверка выполнена</x:v>
      </x:c>
      <x:c r="AI147" s="1"/>
      <x:c r="AJ147" s="17"/>
      <x:c r="AK147" s="1" t="s">
        <x:v>73</x:v>
      </x:c>
      <x:c r="AL147" s="8" t="s">
        <x:v>74</x:v>
      </x:c>
      <x:c r="AM147" s="1"/>
      <x:c r="AN147" s="8" t="s">
        <x:v>75</x:v>
      </x:c>
      <x:c r="AO147" s="1" t="s">
        <x:v>76</x:v>
      </x:c>
      <x:c r="AP147" s="8"/>
      <x:c r="AQ147" s="1" t="s">
        <x:v>77</x:v>
      </x:c>
      <x:c r="AR147" s="8" t="str">
        <x:v>Проверка автором исследования</x:v>
      </x:c>
      <x:c r="AS147" s="1" t="s">
        <x:v>1865</x:v>
      </x:c>
      <x:c r="AT147" s="8" t="s">
        <x:v>1866</x:v>
      </x:c>
      <x:c r="AU147" s="1" t="s">
        <x:v>1867</x:v>
      </x:c>
      <x:c r="AV147" s="17">
        <x:v>46321</x:v>
      </x:c>
      <x:c r="AW147" s="1" t="s">
        <x:v>81</x:v>
      </x:c>
      <x:c r="AX147" s="8" t="s">
        <x:v>82</x:v>
      </x:c>
      <x:c r="AY147" s="8"/>
    </x:row>
    <x:row r="148" ht="363.95001220703125" customHeight="1">
      <x:c r="A148" s="1" t="s">
        <x:v>1868</x:v>
      </x:c>
      <x:c r="B148" s="8" t="s">
        <x:v>1869</x:v>
      </x:c>
      <x:c r="C148" s="1" t="s">
        <x:v>1870</x:v>
      </x:c>
      <x:c r="D148" s="8" t="s">
        <x:v>53</x:v>
      </x:c>
      <x:c r="E148" s="1" t="s">
        <x:v>54</x:v>
      </x:c>
      <x:c r="F148" s="8" t="s">
        <x:v>1871</x:v>
      </x:c>
      <x:c r="G148" s="1" t="s">
        <x:v>1872</x:v>
      </x:c>
      <x:c r="H148" s="8" t="s">
        <x:v>1873</x:v>
      </x:c>
      <x:c r="I148" s="4">
        <x:v>2025</x:v>
      </x:c>
      <x:c r="J148" s="8"/>
      <x:c r="K148" s="1" t="s">
        <x:v>975</x:v>
      </x:c>
      <x:c r="L148" s="8" t="s">
        <x:v>1874</x:v>
      </x:c>
      <x:c r="M148" s="1" t="s">
        <x:v>61</x:v>
      </x:c>
      <x:c r="N148" s="8"/>
      <x:c r="O148" s="1"/>
      <x:c r="P148" s="8"/>
      <x:c r="Q148" s="1"/>
      <x:c r="R148" s="8" t="s">
        <x:v>1875</x:v>
      </x:c>
      <x:c r="S148" s="3"/>
      <x:c r="T148" s="8" t="s">
        <x:v>63</x:v>
      </x:c>
      <x:c r="U148" s="1" t="s">
        <x:v>1876</x:v>
      </x:c>
      <x:c r="V148" s="13">
        <x:v>18</x:v>
      </x:c>
      <x:c r="W148" s="1" t="s">
        <x:v>65</x:v>
      </x:c>
      <x:c r="X148" s="8" t="s">
        <x:v>66</x:v>
      </x:c>
      <x:c r="Y148" s="1" t="str">
        <x:v>Проверено автором исследования</x:v>
      </x:c>
      <x:c r="Z148" s="8" t="s">
        <x:v>1877</x:v>
      </x:c>
      <x:c r="AA148" s="1" t="s">
        <x:v>1878</x:v>
      </x:c>
      <x:c r="AB148" s="13">
        <x:v>2026</x:v>
      </x:c>
      <x:c r="AC148" s="3">
        <x:v>46322</x:v>
      </x:c>
      <x:c r="AD148" s="8" t="s">
        <x:v>69</x:v>
      </x:c>
      <x:c r="AE148" s="1" t="s">
        <x:v>1879</x:v>
      </x:c>
      <x:c r="AF148" s="8" t="s">
        <x:v>71</x:v>
      </x:c>
      <x:c r="AG148" s="1" t="s">
        <x:v>1880</x:v>
      </x:c>
      <x:c r="AH148" s="8" t="str">
        <x:v>Краткая затекстовая ссылка; повторная документальная сверка выполнена</x:v>
      </x:c>
      <x:c r="AI148" s="1"/>
      <x:c r="AJ148" s="17"/>
      <x:c r="AK148" s="1" t="s">
        <x:v>73</x:v>
      </x:c>
      <x:c r="AL148" s="8" t="s">
        <x:v>74</x:v>
      </x:c>
      <x:c r="AM148" s="1"/>
      <x:c r="AN148" s="8" t="s">
        <x:v>75</x:v>
      </x:c>
      <x:c r="AO148" s="1" t="s">
        <x:v>76</x:v>
      </x:c>
      <x:c r="AP148" s="8"/>
      <x:c r="AQ148" s="1" t="s">
        <x:v>77</x:v>
      </x:c>
      <x:c r="AR148" s="8" t="str">
        <x:v>Проверка автором исследования</x:v>
      </x:c>
      <x:c r="AS148" s="1" t="s">
        <x:v>1881</x:v>
      </x:c>
      <x:c r="AT148" s="8" t="s">
        <x:v>1882</x:v>
      </x:c>
      <x:c r="AU148" s="1" t="s">
        <x:v>1883</x:v>
      </x:c>
      <x:c r="AV148" s="17">
        <x:v>46321</x:v>
      </x:c>
      <x:c r="AW148" s="1" t="s">
        <x:v>81</x:v>
      </x:c>
      <x:c r="AX148" s="8" t="s">
        <x:v>82</x:v>
      </x:c>
      <x:c r="AY148" s="8"/>
    </x:row>
    <x:row r="149" ht="69.94999694824219" customHeight="1">
      <x:c r="A149" s="1" t="s">
        <x:v>1884</x:v>
      </x:c>
      <x:c r="B149" s="8" t="s">
        <x:v>1885</x:v>
      </x:c>
      <x:c r="C149" s="1" t="s">
        <x:v>1886</x:v>
      </x:c>
      <x:c r="D149" s="8" t="s">
        <x:v>73</x:v>
      </x:c>
      <x:c r="E149" s="1" t="s">
        <x:v>76</x:v>
      </x:c>
      <x:c r="F149" s="8" t="s">
        <x:v>1887</x:v>
      </x:c>
      <x:c r="G149" s="1" t="s">
        <x:v>1888</x:v>
      </x:c>
      <x:c r="H149" s="8" t="s">
        <x:v>1889</x:v>
      </x:c>
      <x:c r="I149" s="4">
        <x:v>2011</x:v>
      </x:c>
      <x:c r="J149" s="8"/>
      <x:c r="K149" s="1" t="s">
        <x:v>630</x:v>
      </x:c>
      <x:c r="L149" s="8" t="s">
        <x:v>1890</x:v>
      </x:c>
      <x:c r="M149" s="1" t="s">
        <x:v>61</x:v>
      </x:c>
      <x:c r="N149" s="8"/>
      <x:c r="O149" s="1"/>
      <x:c r="P149" s="8"/>
      <x:c r="Q149" s="1"/>
      <x:c r="R149" s="8"/>
      <x:c r="S149" s="3"/>
      <x:c r="T149" s="8" t="s">
        <x:v>63</x:v>
      </x:c>
      <x:c r="U149" s="1" t="s">
        <x:v>1891</x:v>
      </x:c>
      <x:c r="V149" s="13">
        <x:v>2</x:v>
      </x:c>
      <x:c r="W149" s="1" t="s">
        <x:v>65</x:v>
      </x:c>
      <x:c r="X149" s="8" t="s">
        <x:v>66</x:v>
      </x:c>
      <x:c r="Y149" s="1" t="str">
        <x:v>Проверено автором исследования</x:v>
      </x:c>
      <x:c r="Z149" s="8"/>
      <x:c r="AA149" s="1" t="s">
        <x:v>1892</x:v>
      </x:c>
      <x:c r="AB149" s="13">
        <x:v>2024</x:v>
      </x:c>
      <x:c r="AC149" s="3"/>
      <x:c r="AD149" s="8" t="s">
        <x:v>93</x:v>
      </x:c>
      <x:c r="AE149" s="1"/>
      <x:c r="AF149" s="8" t="s">
        <x:v>118</x:v>
      </x:c>
      <x:c r="AG149" s="1" t="s">
        <x:v>1893</x:v>
      </x:c>
      <x:c r="AH149" s="8" t="str">
        <x:v>Краткая затекстовая ссылка; повторная документальная сверка выполнена</x:v>
      </x:c>
      <x:c r="AI149" s="1"/>
      <x:c r="AJ149" s="17"/>
      <x:c r="AK149" s="1" t="s">
        <x:v>73</x:v>
      </x:c>
      <x:c r="AL149" s="8" t="s">
        <x:v>74</x:v>
      </x:c>
      <x:c r="AM149" s="1"/>
      <x:c r="AN149" s="8" t="s">
        <x:v>95</x:v>
      </x:c>
      <x:c r="AO149" s="1" t="s">
        <x:v>76</x:v>
      </x:c>
      <x:c r="AP149" s="8"/>
      <x:c r="AQ149" s="1" t="s">
        <x:v>77</x:v>
      </x:c>
      <x:c r="AR149" s="8" t="str">
        <x:v>Проверка автором исследования</x:v>
      </x:c>
      <x:c r="AS149" s="1"/>
      <x:c r="AT149" s="8" t="s">
        <x:v>96</x:v>
      </x:c>
      <x:c r="AU149" s="1" t="s">
        <x:v>97</x:v>
      </x:c>
      <x:c r="AV149" s="17"/>
      <x:c r="AW149" s="1" t="s">
        <x:v>98</x:v>
      </x:c>
      <x:c r="AX149" s="8" t="s">
        <x:v>82</x:v>
      </x:c>
      <x:c r="AY149" s="8"/>
    </x:row>
    <x:row r="150" ht="69.94999694824219" customHeight="1">
      <x:c r="A150" s="1" t="s">
        <x:v>1894</x:v>
      </x:c>
      <x:c r="B150" s="8" t="s">
        <x:v>1895</x:v>
      </x:c>
      <x:c r="C150" s="1" t="s">
        <x:v>1896</x:v>
      </x:c>
      <x:c r="D150" s="8" t="s">
        <x:v>86</x:v>
      </x:c>
      <x:c r="E150" s="1" t="s">
        <x:v>76</x:v>
      </x:c>
      <x:c r="F150" s="8" t="s">
        <x:v>1897</x:v>
      </x:c>
      <x:c r="G150" s="1" t="s">
        <x:v>1898</x:v>
      </x:c>
      <x:c r="H150" s="8"/>
      <x:c r="I150" s="4">
        <x:v>2004</x:v>
      </x:c>
      <x:c r="J150" s="8"/>
      <x:c r="K150" s="1"/>
      <x:c r="L150" s="8" t="s">
        <x:v>1899</x:v>
      </x:c>
      <x:c r="M150" s="1" t="s">
        <x:v>90</x:v>
      </x:c>
      <x:c r="N150" s="8" t="s">
        <x:v>1900</x:v>
      </x:c>
      <x:c r="O150" s="1" t="s">
        <x:v>1122</x:v>
      </x:c>
      <x:c r="P150" s="8"/>
      <x:c r="Q150" s="1"/>
      <x:c r="R150" s="8"/>
      <x:c r="S150" s="3"/>
      <x:c r="T150" s="8" t="s">
        <x:v>63</x:v>
      </x:c>
      <x:c r="U150" s="1" t="s">
        <x:v>1891</x:v>
      </x:c>
      <x:c r="V150" s="13">
        <x:v>15</x:v>
      </x:c>
      <x:c r="W150" s="1" t="s">
        <x:v>65</x:v>
      </x:c>
      <x:c r="X150" s="8" t="s">
        <x:v>66</x:v>
      </x:c>
      <x:c r="Y150" s="1" t="str">
        <x:v>Проверено автором исследования</x:v>
      </x:c>
      <x:c r="Z150" s="8"/>
      <x:c r="AA150" s="1" t="s">
        <x:v>1892</x:v>
      </x:c>
      <x:c r="AB150" s="13">
        <x:v>2024</x:v>
      </x:c>
      <x:c r="AC150" s="3"/>
      <x:c r="AD150" s="8" t="s">
        <x:v>93</x:v>
      </x:c>
      <x:c r="AE150" s="1"/>
      <x:c r="AF150" s="8" t="s">
        <x:v>118</x:v>
      </x:c>
      <x:c r="AG150" s="1" t="s">
        <x:v>1893</x:v>
      </x:c>
      <x:c r="AH150" s="8" t="str">
        <x:v>Краткая затекстовая ссылка; повторная документальная сверка выполнена</x:v>
      </x:c>
      <x:c r="AI150" s="1"/>
      <x:c r="AJ150" s="17"/>
      <x:c r="AK150" s="1" t="s">
        <x:v>73</x:v>
      </x:c>
      <x:c r="AL150" s="8" t="s">
        <x:v>74</x:v>
      </x:c>
      <x:c r="AM150" s="1"/>
      <x:c r="AN150" s="8" t="s">
        <x:v>95</x:v>
      </x:c>
      <x:c r="AO150" s="1" t="s">
        <x:v>76</x:v>
      </x:c>
      <x:c r="AP150" s="8"/>
      <x:c r="AQ150" s="1" t="s">
        <x:v>77</x:v>
      </x:c>
      <x:c r="AR150" s="8" t="str">
        <x:v>Проверка автором исследования</x:v>
      </x:c>
      <x:c r="AS150" s="1"/>
      <x:c r="AT150" s="8" t="s">
        <x:v>96</x:v>
      </x:c>
      <x:c r="AU150" s="1" t="s">
        <x:v>97</x:v>
      </x:c>
      <x:c r="AV150" s="17"/>
      <x:c r="AW150" s="1" t="s">
        <x:v>98</x:v>
      </x:c>
      <x:c r="AX150" s="8" t="s">
        <x:v>82</x:v>
      </x:c>
      <x:c r="AY150" s="8"/>
    </x:row>
    <x:row r="151" ht="69.94999694824219" customHeight="1">
      <x:c r="A151" s="1" t="s">
        <x:v>1901</x:v>
      </x:c>
      <x:c r="B151" s="8" t="s">
        <x:v>1902</x:v>
      </x:c>
      <x:c r="C151" s="1" t="s">
        <x:v>1903</x:v>
      </x:c>
      <x:c r="D151" s="8" t="s">
        <x:v>86</x:v>
      </x:c>
      <x:c r="E151" s="1" t="s">
        <x:v>76</x:v>
      </x:c>
      <x:c r="F151" s="8" t="s">
        <x:v>1904</x:v>
      </x:c>
      <x:c r="G151" s="1" t="s">
        <x:v>1905</x:v>
      </x:c>
      <x:c r="H151" s="8"/>
      <x:c r="I151" s="4">
        <x:v>2021</x:v>
      </x:c>
      <x:c r="J151" s="8"/>
      <x:c r="K151" s="1"/>
      <x:c r="L151" s="8" t="s">
        <x:v>1475</x:v>
      </x:c>
      <x:c r="M151" s="1" t="s">
        <x:v>90</x:v>
      </x:c>
      <x:c r="N151" s="8" t="s">
        <x:v>1900</x:v>
      </x:c>
      <x:c r="O151" s="1" t="s">
        <x:v>1122</x:v>
      </x:c>
      <x:c r="P151" s="8"/>
      <x:c r="Q151" s="1"/>
      <x:c r="R151" s="8"/>
      <x:c r="S151" s="3"/>
      <x:c r="T151" s="8" t="s">
        <x:v>63</x:v>
      </x:c>
      <x:c r="U151" s="1" t="s">
        <x:v>1906</x:v>
      </x:c>
      <x:c r="V151" s="13">
        <x:v>16</x:v>
      </x:c>
      <x:c r="W151" s="1" t="s">
        <x:v>65</x:v>
      </x:c>
      <x:c r="X151" s="8" t="s">
        <x:v>66</x:v>
      </x:c>
      <x:c r="Y151" s="1" t="str">
        <x:v>Проверено автором исследования</x:v>
      </x:c>
      <x:c r="Z151" s="8"/>
      <x:c r="AA151" s="1" t="s">
        <x:v>1907</x:v>
      </x:c>
      <x:c r="AB151" s="13">
        <x:v>2024</x:v>
      </x:c>
      <x:c r="AC151" s="3"/>
      <x:c r="AD151" s="8" t="s">
        <x:v>93</x:v>
      </x:c>
      <x:c r="AE151" s="1"/>
      <x:c r="AF151" s="8" t="s">
        <x:v>118</x:v>
      </x:c>
      <x:c r="AG151" s="1" t="s">
        <x:v>1908</x:v>
      </x:c>
      <x:c r="AH151" s="8" t="str">
        <x:v>Краткая затекстовая ссылка; повторная документальная сверка выполнена</x:v>
      </x:c>
      <x:c r="AI151" s="1"/>
      <x:c r="AJ151" s="17"/>
      <x:c r="AK151" s="1" t="s">
        <x:v>73</x:v>
      </x:c>
      <x:c r="AL151" s="8" t="s">
        <x:v>74</x:v>
      </x:c>
      <x:c r="AM151" s="1"/>
      <x:c r="AN151" s="8" t="s">
        <x:v>95</x:v>
      </x:c>
      <x:c r="AO151" s="1" t="s">
        <x:v>76</x:v>
      </x:c>
      <x:c r="AP151" s="8"/>
      <x:c r="AQ151" s="1" t="s">
        <x:v>77</x:v>
      </x:c>
      <x:c r="AR151" s="8" t="str">
        <x:v>Проверка автором исследования</x:v>
      </x:c>
      <x:c r="AS151" s="1"/>
      <x:c r="AT151" s="8" t="s">
        <x:v>96</x:v>
      </x:c>
      <x:c r="AU151" s="1" t="s">
        <x:v>97</x:v>
      </x:c>
      <x:c r="AV151" s="17"/>
      <x:c r="AW151" s="1" t="s">
        <x:v>98</x:v>
      </x:c>
      <x:c r="AX151" s="8" t="s">
        <x:v>82</x:v>
      </x:c>
      <x:c r="AY151" s="8"/>
    </x:row>
    <x:row r="152" ht="153.9499969482422" customHeight="1">
      <x:c r="A152" s="1" t="s">
        <x:v>1909</x:v>
      </x:c>
      <x:c r="B152" s="8" t="s">
        <x:v>1910</x:v>
      </x:c>
      <x:c r="C152" s="1" t="s">
        <x:v>1911</x:v>
      </x:c>
      <x:c r="D152" s="8" t="s">
        <x:v>53</x:v>
      </x:c>
      <x:c r="E152" s="1" t="s">
        <x:v>54</x:v>
      </x:c>
      <x:c r="F152" s="8" t="s">
        <x:v>1912</x:v>
      </x:c>
      <x:c r="G152" s="1" t="s">
        <x:v>1913</x:v>
      </x:c>
      <x:c r="H152" s="8" t="s">
        <x:v>1914</x:v>
      </x:c>
      <x:c r="I152" s="4">
        <x:v>2023</x:v>
      </x:c>
      <x:c r="J152" s="8"/>
      <x:c r="K152" s="1" t="s">
        <x:v>1915</x:v>
      </x:c>
      <x:c r="L152" s="8" t="s">
        <x:v>1916</x:v>
      </x:c>
      <x:c r="M152" s="1" t="s">
        <x:v>61</x:v>
      </x:c>
      <x:c r="N152" s="8"/>
      <x:c r="O152" s="1"/>
      <x:c r="P152" s="8"/>
      <x:c r="Q152" s="1"/>
      <x:c r="R152" s="8" t="s">
        <x:v>1917</x:v>
      </x:c>
      <x:c r="S152" s="3"/>
      <x:c r="T152" s="8" t="s">
        <x:v>63</x:v>
      </x:c>
      <x:c r="U152" s="1" t="s">
        <x:v>1918</x:v>
      </x:c>
      <x:c r="V152" s="13">
        <x:v>5</x:v>
      </x:c>
      <x:c r="W152" s="1" t="s">
        <x:v>65</x:v>
      </x:c>
      <x:c r="X152" s="8" t="s">
        <x:v>66</x:v>
      </x:c>
      <x:c r="Y152" s="1" t="str">
        <x:v>Проверено автором исследования</x:v>
      </x:c>
      <x:c r="Z152" s="8" t="s">
        <x:v>1919</x:v>
      </x:c>
      <x:c r="AA152" s="1" t="s">
        <x:v>1920</x:v>
      </x:c>
      <x:c r="AB152" s="13">
        <x:v>2024</x:v>
      </x:c>
      <x:c r="AC152" s="3">
        <x:v>46322</x:v>
      </x:c>
      <x:c r="AD152" s="8" t="s">
        <x:v>69</x:v>
      </x:c>
      <x:c r="AE152" s="1"/>
      <x:c r="AF152" s="8" t="s">
        <x:v>118</x:v>
      </x:c>
      <x:c r="AG152" s="1" t="s">
        <x:v>1921</x:v>
      </x:c>
      <x:c r="AH152" s="8" t="str">
        <x:v>Краткая затекстовая ссылка; повторная документальная сверка выполнена</x:v>
      </x:c>
      <x:c r="AI152" s="1"/>
      <x:c r="AJ152" s="17"/>
      <x:c r="AK152" s="1" t="s">
        <x:v>73</x:v>
      </x:c>
      <x:c r="AL152" s="8" t="s">
        <x:v>74</x:v>
      </x:c>
      <x:c r="AM152" s="1"/>
      <x:c r="AN152" s="8" t="s">
        <x:v>75</x:v>
      </x:c>
      <x:c r="AO152" s="1" t="s">
        <x:v>76</x:v>
      </x:c>
      <x:c r="AP152" s="8"/>
      <x:c r="AQ152" s="1" t="s">
        <x:v>77</x:v>
      </x:c>
      <x:c r="AR152" s="8" t="str">
        <x:v>Проверка автором исследования</x:v>
      </x:c>
      <x:c r="AS152" s="1" t="s">
        <x:v>1922</x:v>
      </x:c>
      <x:c r="AT152" s="8" t="s">
        <x:v>1923</x:v>
      </x:c>
      <x:c r="AU152" s="1" t="s">
        <x:v>1924</x:v>
      </x:c>
      <x:c r="AV152" s="17">
        <x:v>46321</x:v>
      </x:c>
      <x:c r="AW152" s="1" t="s">
        <x:v>81</x:v>
      </x:c>
      <x:c r="AX152" s="8" t="s">
        <x:v>82</x:v>
      </x:c>
      <x:c r="AY152" s="8"/>
    </x:row>
    <x:row r="153" ht="84" customHeight="1">
      <x:c r="A153" s="1" t="s">
        <x:v>1925</x:v>
      </x:c>
      <x:c r="B153" s="8" t="s">
        <x:v>1926</x:v>
      </x:c>
      <x:c r="C153" s="1" t="s">
        <x:v>1927</x:v>
      </x:c>
      <x:c r="D153" s="8" t="s">
        <x:v>73</x:v>
      </x:c>
      <x:c r="E153" s="1" t="s">
        <x:v>76</x:v>
      </x:c>
      <x:c r="F153" s="8" t="s">
        <x:v>1928</x:v>
      </x:c>
      <x:c r="G153" s="1" t="s">
        <x:v>1929</x:v>
      </x:c>
      <x:c r="H153" s="8" t="s">
        <x:v>1930</x:v>
      </x:c>
      <x:c r="I153" s="4">
        <x:v>2018</x:v>
      </x:c>
      <x:c r="J153" s="8" t="s">
        <x:v>239</x:v>
      </x:c>
      <x:c r="K153" s="1"/>
      <x:c r="L153" s="8" t="s">
        <x:v>1931</x:v>
      </x:c>
      <x:c r="M153" s="1" t="s">
        <x:v>61</x:v>
      </x:c>
      <x:c r="N153" s="8"/>
      <x:c r="O153" s="1"/>
      <x:c r="P153" s="8"/>
      <x:c r="Q153" s="1"/>
      <x:c r="R153" s="8" t="s">
        <x:v>1932</x:v>
      </x:c>
      <x:c r="S153" s="3"/>
      <x:c r="T153" s="8" t="s">
        <x:v>63</x:v>
      </x:c>
      <x:c r="U153" s="1" t="s">
        <x:v>1918</x:v>
      </x:c>
      <x:c r="V153" s="13">
        <x:v>8</x:v>
      </x:c>
      <x:c r="W153" s="1" t="s">
        <x:v>65</x:v>
      </x:c>
      <x:c r="X153" s="8" t="s">
        <x:v>66</x:v>
      </x:c>
      <x:c r="Y153" s="1" t="str">
        <x:v>Проверено автором исследования</x:v>
      </x:c>
      <x:c r="Z153" s="8"/>
      <x:c r="AA153" s="1" t="s">
        <x:v>1920</x:v>
      </x:c>
      <x:c r="AB153" s="13">
        <x:v>2024</x:v>
      </x:c>
      <x:c r="AC153" s="3"/>
      <x:c r="AD153" s="8" t="s">
        <x:v>93</x:v>
      </x:c>
      <x:c r="AE153" s="1"/>
      <x:c r="AF153" s="8" t="s">
        <x:v>118</x:v>
      </x:c>
      <x:c r="AG153" s="1" t="s">
        <x:v>1921</x:v>
      </x:c>
      <x:c r="AH153" s="8" t="str">
        <x:v>Краткая затекстовая ссылка; повторная документальная сверка выполнена</x:v>
      </x:c>
      <x:c r="AI153" s="1"/>
      <x:c r="AJ153" s="17"/>
      <x:c r="AK153" s="1" t="s">
        <x:v>73</x:v>
      </x:c>
      <x:c r="AL153" s="8" t="s">
        <x:v>74</x:v>
      </x:c>
      <x:c r="AM153" s="1"/>
      <x:c r="AN153" s="8" t="s">
        <x:v>95</x:v>
      </x:c>
      <x:c r="AO153" s="1" t="s">
        <x:v>54</x:v>
      </x:c>
      <x:c r="AP153" s="8"/>
      <x:c r="AQ153" s="1" t="s">
        <x:v>77</x:v>
      </x:c>
      <x:c r="AR153" s="8" t="str">
        <x:v>Проверка автором исследования</x:v>
      </x:c>
      <x:c r="AS153" s="1"/>
      <x:c r="AT153" s="8" t="s">
        <x:v>96</x:v>
      </x:c>
      <x:c r="AU153" s="1" t="s">
        <x:v>447</x:v>
      </x:c>
      <x:c r="AV153" s="17">
        <x:v>46321</x:v>
      </x:c>
      <x:c r="AW153" s="1" t="s">
        <x:v>953</x:v>
      </x:c>
      <x:c r="AX153" s="8" t="s">
        <x:v>82</x:v>
      </x:c>
      <x:c r="AY153" s="8"/>
    </x:row>
    <x:row r="154" ht="69.94999694824219" customHeight="1">
      <x:c r="A154" s="1" t="s">
        <x:v>1933</x:v>
      </x:c>
      <x:c r="B154" s="8" t="s">
        <x:v>1934</x:v>
      </x:c>
      <x:c r="C154" s="1" t="s">
        <x:v>1935</x:v>
      </x:c>
      <x:c r="D154" s="8" t="s">
        <x:v>53</x:v>
      </x:c>
      <x:c r="E154" s="1" t="s">
        <x:v>54</x:v>
      </x:c>
      <x:c r="F154" s="8" t="s">
        <x:v>1936</x:v>
      </x:c>
      <x:c r="G154" s="1" t="s">
        <x:v>1937</x:v>
      </x:c>
      <x:c r="H154" s="8" t="s">
        <x:v>1938</x:v>
      </x:c>
      <x:c r="I154" s="4">
        <x:v>2018</x:v>
      </x:c>
      <x:c r="J154" s="8"/>
      <x:c r="K154" s="1" t="s">
        <x:v>416</x:v>
      </x:c>
      <x:c r="L154" s="8" t="s">
        <x:v>1939</x:v>
      </x:c>
      <x:c r="M154" s="1" t="s">
        <x:v>61</x:v>
      </x:c>
      <x:c r="N154" s="8"/>
      <x:c r="O154" s="1"/>
      <x:c r="P154" s="8"/>
      <x:c r="Q154" s="1"/>
      <x:c r="R154" s="8" t="s">
        <x:v>1940</x:v>
      </x:c>
      <x:c r="S154" s="3"/>
      <x:c r="T154" s="8" t="s">
        <x:v>63</x:v>
      </x:c>
      <x:c r="U154" s="1" t="s">
        <x:v>1941</x:v>
      </x:c>
      <x:c r="V154" s="13">
        <x:v>28</x:v>
      </x:c>
      <x:c r="W154" s="1" t="s">
        <x:v>65</x:v>
      </x:c>
      <x:c r="X154" s="8" t="s">
        <x:v>66</x:v>
      </x:c>
      <x:c r="Y154" s="1" t="str">
        <x:v>Проверено автором исследования</x:v>
      </x:c>
      <x:c r="Z154" s="8" t="s">
        <x:v>1942</x:v>
      </x:c>
      <x:c r="AA154" s="1" t="s">
        <x:v>1943</x:v>
      </x:c>
      <x:c r="AB154" s="13">
        <x:v>2024</x:v>
      </x:c>
      <x:c r="AC154" s="3">
        <x:v>46322</x:v>
      </x:c>
      <x:c r="AD154" s="8" t="s">
        <x:v>69</x:v>
      </x:c>
      <x:c r="AE154" s="1"/>
      <x:c r="AF154" s="8" t="s">
        <x:v>118</x:v>
      </x:c>
      <x:c r="AG154" s="1" t="s">
        <x:v>1944</x:v>
      </x:c>
      <x:c r="AH154" s="8" t="str">
        <x:v>Краткая затекстовая ссылка; повторная документальная сверка выполнена</x:v>
      </x:c>
      <x:c r="AI154" s="1"/>
      <x:c r="AJ154" s="17"/>
      <x:c r="AK154" s="1" t="s">
        <x:v>73</x:v>
      </x:c>
      <x:c r="AL154" s="8" t="s">
        <x:v>74</x:v>
      </x:c>
      <x:c r="AM154" s="1"/>
      <x:c r="AN154" s="8" t="s">
        <x:v>75</x:v>
      </x:c>
      <x:c r="AO154" s="1" t="s">
        <x:v>76</x:v>
      </x:c>
      <x:c r="AP154" s="8"/>
      <x:c r="AQ154" s="1" t="s">
        <x:v>77</x:v>
      </x:c>
      <x:c r="AR154" s="8" t="str">
        <x:v>Проверка автором исследования</x:v>
      </x:c>
      <x:c r="AS154" s="1" t="s">
        <x:v>1945</x:v>
      </x:c>
      <x:c r="AT154" s="8" t="s">
        <x:v>1946</x:v>
      </x:c>
      <x:c r="AU154" s="1" t="s">
        <x:v>1947</x:v>
      </x:c>
      <x:c r="AV154" s="17">
        <x:v>46321</x:v>
      </x:c>
      <x:c r="AW154" s="1" t="s">
        <x:v>81</x:v>
      </x:c>
      <x:c r="AX154" s="8" t="s">
        <x:v>82</x:v>
      </x:c>
      <x:c r="AY154" s="8"/>
    </x:row>
    <x:row r="155" ht="69.94999694824219" customHeight="1">
      <x:c r="A155" s="1" t="s">
        <x:v>1948</x:v>
      </x:c>
      <x:c r="B155" s="8" t="s">
        <x:v>1949</x:v>
      </x:c>
      <x:c r="C155" s="1" t="s">
        <x:v>1950</x:v>
      </x:c>
      <x:c r="D155" s="8" t="s">
        <x:v>86</x:v>
      </x:c>
      <x:c r="E155" s="1" t="s">
        <x:v>76</x:v>
      </x:c>
      <x:c r="F155" s="8" t="s">
        <x:v>1951</x:v>
      </x:c>
      <x:c r="G155" s="1" t="s">
        <x:v>1952</x:v>
      </x:c>
      <x:c r="H155" s="8"/>
      <x:c r="I155" s="4">
        <x:v>2020</x:v>
      </x:c>
      <x:c r="J155" s="8"/>
      <x:c r="K155" s="1"/>
      <x:c r="L155" s="8" t="s">
        <x:v>512</x:v>
      </x:c>
      <x:c r="M155" s="1" t="s">
        <x:v>90</x:v>
      </x:c>
      <x:c r="N155" s="8" t="s">
        <x:v>1953</x:v>
      </x:c>
      <x:c r="O155" s="1" t="s">
        <x:v>1122</x:v>
      </x:c>
      <x:c r="P155" s="8"/>
      <x:c r="Q155" s="1"/>
      <x:c r="R155" s="8"/>
      <x:c r="S155" s="3"/>
      <x:c r="T155" s="8" t="s">
        <x:v>63</x:v>
      </x:c>
      <x:c r="U155" s="1" t="s">
        <x:v>1954</x:v>
      </x:c>
      <x:c r="V155" s="13">
        <x:v>14</x:v>
      </x:c>
      <x:c r="W155" s="1" t="s">
        <x:v>65</x:v>
      </x:c>
      <x:c r="X155" s="8" t="s">
        <x:v>66</x:v>
      </x:c>
      <x:c r="Y155" s="1" t="str">
        <x:v>Проверено автором исследования</x:v>
      </x:c>
      <x:c r="Z155" s="8"/>
      <x:c r="AA155" s="1" t="s">
        <x:v>1955</x:v>
      </x:c>
      <x:c r="AB155" s="13">
        <x:v>2024</x:v>
      </x:c>
      <x:c r="AC155" s="3"/>
      <x:c r="AD155" s="8" t="s">
        <x:v>93</x:v>
      </x:c>
      <x:c r="AE155" s="1"/>
      <x:c r="AF155" s="8" t="s">
        <x:v>118</x:v>
      </x:c>
      <x:c r="AG155" s="1" t="s">
        <x:v>1956</x:v>
      </x:c>
      <x:c r="AH155" s="8" t="str">
        <x:v>Краткая затекстовая ссылка; повторная документальная сверка выполнена</x:v>
      </x:c>
      <x:c r="AI155" s="1"/>
      <x:c r="AJ155" s="17"/>
      <x:c r="AK155" s="1" t="s">
        <x:v>73</x:v>
      </x:c>
      <x:c r="AL155" s="8" t="s">
        <x:v>74</x:v>
      </x:c>
      <x:c r="AM155" s="1"/>
      <x:c r="AN155" s="8" t="s">
        <x:v>95</x:v>
      </x:c>
      <x:c r="AO155" s="1" t="s">
        <x:v>76</x:v>
      </x:c>
      <x:c r="AP155" s="8"/>
      <x:c r="AQ155" s="1" t="s">
        <x:v>77</x:v>
      </x:c>
      <x:c r="AR155" s="8" t="str">
        <x:v>Проверка автором исследования</x:v>
      </x:c>
      <x:c r="AS155" s="1"/>
      <x:c r="AT155" s="8" t="s">
        <x:v>96</x:v>
      </x:c>
      <x:c r="AU155" s="1" t="s">
        <x:v>97</x:v>
      </x:c>
      <x:c r="AV155" s="17"/>
      <x:c r="AW155" s="1" t="s">
        <x:v>98</x:v>
      </x:c>
      <x:c r="AX155" s="8" t="s">
        <x:v>82</x:v>
      </x:c>
      <x:c r="AY155" s="8"/>
    </x:row>
    <x:row r="156" ht="111.94999694824219" customHeight="1">
      <x:c r="A156" s="1" t="s">
        <x:v>1957</x:v>
      </x:c>
      <x:c r="B156" s="8" t="s">
        <x:v>1958</x:v>
      </x:c>
      <x:c r="C156" s="1" t="s">
        <x:v>1959</x:v>
      </x:c>
      <x:c r="D156" s="8" t="s">
        <x:v>53</x:v>
      </x:c>
      <x:c r="E156" s="1" t="s">
        <x:v>54</x:v>
      </x:c>
      <x:c r="F156" s="8" t="s">
        <x:v>1960</x:v>
      </x:c>
      <x:c r="G156" s="1" t="s">
        <x:v>1961</x:v>
      </x:c>
      <x:c r="H156" s="8" t="s">
        <x:v>1962</x:v>
      </x:c>
      <x:c r="I156" s="4">
        <x:v>2021</x:v>
      </x:c>
      <x:c r="J156" s="8"/>
      <x:c r="K156" s="1" t="s">
        <x:v>1963</x:v>
      </x:c>
      <x:c r="L156" s="8" t="s">
        <x:v>1964</x:v>
      </x:c>
      <x:c r="M156" s="1" t="s">
        <x:v>61</x:v>
      </x:c>
      <x:c r="N156" s="8"/>
      <x:c r="O156" s="1"/>
      <x:c r="P156" s="8"/>
      <x:c r="Q156" s="1"/>
      <x:c r="R156" s="8" t="s">
        <x:v>1965</x:v>
      </x:c>
      <x:c r="S156" s="3"/>
      <x:c r="T156" s="8" t="s">
        <x:v>63</x:v>
      </x:c>
      <x:c r="U156" s="1" t="s">
        <x:v>1966</x:v>
      </x:c>
      <x:c r="V156" s="13">
        <x:v>5</x:v>
      </x:c>
      <x:c r="W156" s="1" t="s">
        <x:v>65</x:v>
      </x:c>
      <x:c r="X156" s="8" t="s">
        <x:v>66</x:v>
      </x:c>
      <x:c r="Y156" s="1" t="str">
        <x:v>Проверено автором исследования</x:v>
      </x:c>
      <x:c r="Z156" s="8" t="s">
        <x:v>1967</x:v>
      </x:c>
      <x:c r="AA156" s="1" t="s">
        <x:v>1968</x:v>
      </x:c>
      <x:c r="AB156" s="13">
        <x:v>2024</x:v>
      </x:c>
      <x:c r="AC156" s="3">
        <x:v>46322</x:v>
      </x:c>
      <x:c r="AD156" s="8" t="s">
        <x:v>69</x:v>
      </x:c>
      <x:c r="AE156" s="1"/>
      <x:c r="AF156" s="8" t="s">
        <x:v>118</x:v>
      </x:c>
      <x:c r="AG156" s="1" t="s">
        <x:v>1969</x:v>
      </x:c>
      <x:c r="AH156" s="8" t="str">
        <x:v>Краткая затекстовая ссылка; повторная документальная сверка выполнена</x:v>
      </x:c>
      <x:c r="AI156" s="1"/>
      <x:c r="AJ156" s="17"/>
      <x:c r="AK156" s="1" t="s">
        <x:v>73</x:v>
      </x:c>
      <x:c r="AL156" s="8" t="s">
        <x:v>74</x:v>
      </x:c>
      <x:c r="AM156" s="1"/>
      <x:c r="AN156" s="8" t="s">
        <x:v>75</x:v>
      </x:c>
      <x:c r="AO156" s="1" t="s">
        <x:v>76</x:v>
      </x:c>
      <x:c r="AP156" s="8"/>
      <x:c r="AQ156" s="1" t="s">
        <x:v>77</x:v>
      </x:c>
      <x:c r="AR156" s="8" t="str">
        <x:v>Проверка автором исследования</x:v>
      </x:c>
      <x:c r="AS156" s="1" t="s">
        <x:v>1970</x:v>
      </x:c>
      <x:c r="AT156" s="8" t="s">
        <x:v>1971</x:v>
      </x:c>
      <x:c r="AU156" s="1" t="s">
        <x:v>1972</x:v>
      </x:c>
      <x:c r="AV156" s="17">
        <x:v>46321</x:v>
      </x:c>
      <x:c r="AW156" s="1" t="s">
        <x:v>81</x:v>
      </x:c>
      <x:c r="AX156" s="8" t="s">
        <x:v>82</x:v>
      </x:c>
      <x:c r="AY156" s="8"/>
    </x:row>
    <x:row r="157" ht="98.0999984741211" customHeight="1">
      <x:c r="A157" s="1" t="s">
        <x:v>1973</x:v>
      </x:c>
      <x:c r="B157" s="8" t="s">
        <x:v>1974</x:v>
      </x:c>
      <x:c r="C157" s="1" t="s">
        <x:v>1975</x:v>
      </x:c>
      <x:c r="D157" s="8" t="s">
        <x:v>53</x:v>
      </x:c>
      <x:c r="E157" s="1" t="s">
        <x:v>54</x:v>
      </x:c>
      <x:c r="F157" s="8" t="s">
        <x:v>1976</x:v>
      </x:c>
      <x:c r="G157" s="1" t="s">
        <x:v>1977</x:v>
      </x:c>
      <x:c r="H157" s="8" t="s">
        <x:v>1978</x:v>
      </x:c>
      <x:c r="I157" s="4">
        <x:v>2022</x:v>
      </x:c>
      <x:c r="J157" s="8" t="s">
        <x:v>1979</x:v>
      </x:c>
      <x:c r="K157" s="1" t="s">
        <x:v>931</x:v>
      </x:c>
      <x:c r="L157" s="8" t="s">
        <x:v>1980</x:v>
      </x:c>
      <x:c r="M157" s="1" t="s">
        <x:v>61</x:v>
      </x:c>
      <x:c r="N157" s="8"/>
      <x:c r="O157" s="1"/>
      <x:c r="P157" s="8"/>
      <x:c r="Q157" s="1"/>
      <x:c r="R157" s="8" t="s">
        <x:v>1981</x:v>
      </x:c>
      <x:c r="S157" s="3"/>
      <x:c r="T157" s="8" t="s">
        <x:v>63</x:v>
      </x:c>
      <x:c r="U157" s="1" t="s">
        <x:v>1966</x:v>
      </x:c>
      <x:c r="V157" s="13">
        <x:v>15</x:v>
      </x:c>
      <x:c r="W157" s="1" t="s">
        <x:v>242</x:v>
      </x:c>
      <x:c r="X157" s="8" t="s">
        <x:v>66</x:v>
      </x:c>
      <x:c r="Y157" s="1" t="str">
        <x:v>Проверено автором; дополнительно проверено Михаилом Саяпиным</x:v>
      </x:c>
      <x:c r="Z157" s="8" t="s">
        <x:v>1982</x:v>
      </x:c>
      <x:c r="AA157" s="1" t="s">
        <x:v>1968</x:v>
      </x:c>
      <x:c r="AB157" s="13">
        <x:v>2024</x:v>
      </x:c>
      <x:c r="AC157" s="3">
        <x:v>46322</x:v>
      </x:c>
      <x:c r="AD157" s="8" t="s">
        <x:v>69</x:v>
      </x:c>
      <x:c r="AE157" s="1"/>
      <x:c r="AF157" s="8" t="s">
        <x:v>118</x:v>
      </x:c>
      <x:c r="AG157" s="1" t="s">
        <x:v>1969</x:v>
      </x:c>
      <x:c r="AH157" s="8" t="s">
        <x:v>144</x:v>
      </x:c>
      <x:c r="AI157" s="1" t="s">
        <x:v>145</x:v>
      </x:c>
      <x:c r="AJ157" s="17">
        <x:v>46323</x:v>
      </x:c>
      <x:c r="AK157" s="1" t="s">
        <x:v>73</x:v>
      </x:c>
      <x:c r="AL157" s="8" t="s">
        <x:v>74</x:v>
      </x:c>
      <x:c r="AM157" s="1"/>
      <x:c r="AN157" s="8" t="s">
        <x:v>75</x:v>
      </x:c>
      <x:c r="AO157" s="1" t="s">
        <x:v>76</x:v>
      </x:c>
      <x:c r="AP157" s="8"/>
      <x:c r="AQ157" s="1" t="s">
        <x:v>77</x:v>
      </x:c>
      <x:c r="AR157" s="8" t="str">
        <x:v>Проверка автором исследования; дополнительная проверка Михаилом Саяпиным; согласование 28.10.2026</x:v>
      </x:c>
      <x:c r="AS157" s="1" t="s">
        <x:v>1983</x:v>
      </x:c>
      <x:c r="AT157" s="8" t="s">
        <x:v>1984</x:v>
      </x:c>
      <x:c r="AU157" s="1" t="s">
        <x:v>1985</x:v>
      </x:c>
      <x:c r="AV157" s="17">
        <x:v>46321</x:v>
      </x:c>
      <x:c r="AW157" s="1" t="s">
        <x:v>81</x:v>
      </x:c>
      <x:c r="AX157" s="8" t="s">
        <x:v>146</x:v>
      </x:c>
      <x:c r="AY157" s="8" t="s">
        <x:v>1986</x:v>
      </x:c>
    </x:row>
    <x:row r="158" ht="69.94999694824219" customHeight="1">
      <x:c r="A158" s="1" t="s">
        <x:v>1987</x:v>
      </x:c>
      <x:c r="B158" s="8" t="s">
        <x:v>1988</x:v>
      </x:c>
      <x:c r="C158" s="1" t="s">
        <x:v>1989</x:v>
      </x:c>
      <x:c r="D158" s="8" t="s">
        <x:v>73</x:v>
      </x:c>
      <x:c r="E158" s="1" t="s">
        <x:v>76</x:v>
      </x:c>
      <x:c r="F158" s="8" t="s">
        <x:v>1990</x:v>
      </x:c>
      <x:c r="G158" s="1" t="s">
        <x:v>1991</x:v>
      </x:c>
      <x:c r="H158" s="8" t="s">
        <x:v>1992</x:v>
      </x:c>
      <x:c r="I158" s="4">
        <x:v>2020</x:v>
      </x:c>
      <x:c r="J158" s="8" t="s">
        <x:v>697</x:v>
      </x:c>
      <x:c r="K158" s="1" t="s">
        <x:v>190</x:v>
      </x:c>
      <x:c r="L158" s="8" t="s">
        <x:v>1993</x:v>
      </x:c>
      <x:c r="M158" s="1" t="s">
        <x:v>61</x:v>
      </x:c>
      <x:c r="N158" s="8"/>
      <x:c r="O158" s="1"/>
      <x:c r="P158" s="8"/>
      <x:c r="Q158" s="1"/>
      <x:c r="R158" s="8" t="s">
        <x:v>1994</x:v>
      </x:c>
      <x:c r="S158" s="3"/>
      <x:c r="T158" s="8" t="s">
        <x:v>63</x:v>
      </x:c>
      <x:c r="U158" s="1" t="s">
        <x:v>1995</x:v>
      </x:c>
      <x:c r="V158" s="13">
        <x:v>9</x:v>
      </x:c>
      <x:c r="W158" s="1" t="s">
        <x:v>242</x:v>
      </x:c>
      <x:c r="X158" s="8" t="s">
        <x:v>66</x:v>
      </x:c>
      <x:c r="Y158" s="1" t="str">
        <x:v>Проверено автором; дополнительно проверено Михаилом Саяпиным</x:v>
      </x:c>
      <x:c r="Z158" s="8" t="s">
        <x:v>1996</x:v>
      </x:c>
      <x:c r="AA158" s="1" t="s">
        <x:v>1997</x:v>
      </x:c>
      <x:c r="AB158" s="13">
        <x:v>2024</x:v>
      </x:c>
      <x:c r="AC158" s="3"/>
      <x:c r="AD158" s="8" t="s">
        <x:v>93</x:v>
      </x:c>
      <x:c r="AE158" s="1"/>
      <x:c r="AF158" s="8" t="s">
        <x:v>118</x:v>
      </x:c>
      <x:c r="AG158" s="1" t="s">
        <x:v>1998</x:v>
      </x:c>
      <x:c r="AH158" s="8" t="s">
        <x:v>144</x:v>
      </x:c>
      <x:c r="AI158" s="1" t="s">
        <x:v>145</x:v>
      </x:c>
      <x:c r="AJ158" s="17">
        <x:v>46323</x:v>
      </x:c>
      <x:c r="AK158" s="1" t="s">
        <x:v>73</x:v>
      </x:c>
      <x:c r="AL158" s="8" t="s">
        <x:v>74</x:v>
      </x:c>
      <x:c r="AM158" s="1"/>
      <x:c r="AN158" s="8" t="s">
        <x:v>95</x:v>
      </x:c>
      <x:c r="AO158" s="1" t="s">
        <x:v>76</x:v>
      </x:c>
      <x:c r="AP158" s="8"/>
      <x:c r="AQ158" s="1" t="s">
        <x:v>77</x:v>
      </x:c>
      <x:c r="AR158" s="8" t="str">
        <x:v>Проверка автором исследования; дополнительная проверка Михаилом Саяпиным; согласование 28.10.2026</x:v>
      </x:c>
      <x:c r="AS158" s="1"/>
      <x:c r="AT158" s="8" t="s">
        <x:v>96</x:v>
      </x:c>
      <x:c r="AU158" s="1" t="s">
        <x:v>447</x:v>
      </x:c>
      <x:c r="AV158" s="17">
        <x:v>46321</x:v>
      </x:c>
      <x:c r="AW158" s="1" t="s">
        <x:v>81</x:v>
      </x:c>
      <x:c r="AX158" s="8" t="s">
        <x:v>146</x:v>
      </x:c>
      <x:c r="AY158" s="8" t="s">
        <x:v>1999</x:v>
      </x:c>
    </x:row>
    <x:row r="159" ht="69.94999694824219" customHeight="1">
      <x:c r="A159" s="1" t="s">
        <x:v>2000</x:v>
      </x:c>
      <x:c r="B159" s="8" t="s">
        <x:v>2001</x:v>
      </x:c>
      <x:c r="C159" s="1" t="s">
        <x:v>2002</x:v>
      </x:c>
      <x:c r="D159" s="8" t="s">
        <x:v>73</x:v>
      </x:c>
      <x:c r="E159" s="1" t="s">
        <x:v>76</x:v>
      </x:c>
      <x:c r="F159" s="8" t="s">
        <x:v>2003</x:v>
      </x:c>
      <x:c r="G159" s="1" t="s">
        <x:v>2004</x:v>
      </x:c>
      <x:c r="H159" s="8" t="s">
        <x:v>2005</x:v>
      </x:c>
      <x:c r="I159" s="4">
        <x:v>2023</x:v>
      </x:c>
      <x:c r="J159" s="8"/>
      <x:c r="K159" s="1" t="s">
        <x:v>2006</x:v>
      </x:c>
      <x:c r="L159" s="8" t="s">
        <x:v>2007</x:v>
      </x:c>
      <x:c r="M159" s="1" t="s">
        <x:v>61</x:v>
      </x:c>
      <x:c r="N159" s="8"/>
      <x:c r="O159" s="1"/>
      <x:c r="P159" s="8"/>
      <x:c r="Q159" s="1"/>
      <x:c r="R159" s="8"/>
      <x:c r="S159" s="3"/>
      <x:c r="T159" s="8" t="s">
        <x:v>63</x:v>
      </x:c>
      <x:c r="U159" s="1" t="s">
        <x:v>2008</x:v>
      </x:c>
      <x:c r="V159" s="13">
        <x:v>4</x:v>
      </x:c>
      <x:c r="W159" s="1" t="s">
        <x:v>65</x:v>
      </x:c>
      <x:c r="X159" s="8" t="s">
        <x:v>66</x:v>
      </x:c>
      <x:c r="Y159" s="1" t="str">
        <x:v>Проверено автором исследования</x:v>
      </x:c>
      <x:c r="Z159" s="8"/>
      <x:c r="AA159" s="1" t="s">
        <x:v>2009</x:v>
      </x:c>
      <x:c r="AB159" s="13">
        <x:v>2024</x:v>
      </x:c>
      <x:c r="AC159" s="3"/>
      <x:c r="AD159" s="8" t="s">
        <x:v>93</x:v>
      </x:c>
      <x:c r="AE159" s="1"/>
      <x:c r="AF159" s="8" t="s">
        <x:v>118</x:v>
      </x:c>
      <x:c r="AG159" s="1" t="s">
        <x:v>2010</x:v>
      </x:c>
      <x:c r="AH159" s="8" t="str">
        <x:v>Краткая затекстовая ссылка; повторная документальная сверка выполнена</x:v>
      </x:c>
      <x:c r="AI159" s="1"/>
      <x:c r="AJ159" s="17"/>
      <x:c r="AK159" s="1" t="s">
        <x:v>73</x:v>
      </x:c>
      <x:c r="AL159" s="8" t="s">
        <x:v>74</x:v>
      </x:c>
      <x:c r="AM159" s="1"/>
      <x:c r="AN159" s="8" t="s">
        <x:v>95</x:v>
      </x:c>
      <x:c r="AO159" s="1" t="s">
        <x:v>76</x:v>
      </x:c>
      <x:c r="AP159" s="8"/>
      <x:c r="AQ159" s="1" t="s">
        <x:v>77</x:v>
      </x:c>
      <x:c r="AR159" s="8" t="str">
        <x:v>Проверка автором исследования</x:v>
      </x:c>
      <x:c r="AS159" s="1"/>
      <x:c r="AT159" s="8" t="s">
        <x:v>96</x:v>
      </x:c>
      <x:c r="AU159" s="1" t="s">
        <x:v>97</x:v>
      </x:c>
      <x:c r="AV159" s="17"/>
      <x:c r="AW159" s="1" t="s">
        <x:v>98</x:v>
      </x:c>
      <x:c r="AX159" s="8" t="s">
        <x:v>82</x:v>
      </x:c>
      <x:c r="AY159" s="8"/>
    </x:row>
    <x:row r="160" ht="69.94999694824219" customHeight="1">
      <x:c r="A160" s="1" t="s">
        <x:v>2011</x:v>
      </x:c>
      <x:c r="B160" s="8" t="s">
        <x:v>2012</x:v>
      </x:c>
      <x:c r="C160" s="1" t="s">
        <x:v>2013</x:v>
      </x:c>
      <x:c r="D160" s="8" t="s">
        <x:v>73</x:v>
      </x:c>
      <x:c r="E160" s="1" t="s">
        <x:v>76</x:v>
      </x:c>
      <x:c r="F160" s="8" t="s">
        <x:v>2014</x:v>
      </x:c>
      <x:c r="G160" s="1" t="s">
        <x:v>2015</x:v>
      </x:c>
      <x:c r="H160" s="8" t="s">
        <x:v>2016</x:v>
      </x:c>
      <x:c r="I160" s="4">
        <x:v>2020</x:v>
      </x:c>
      <x:c r="J160" s="8"/>
      <x:c r="K160" s="1" t="s">
        <x:v>2017</x:v>
      </x:c>
      <x:c r="L160" s="8" t="s">
        <x:v>2018</x:v>
      </x:c>
      <x:c r="M160" s="1" t="s">
        <x:v>61</x:v>
      </x:c>
      <x:c r="N160" s="8"/>
      <x:c r="O160" s="1"/>
      <x:c r="P160" s="8"/>
      <x:c r="Q160" s="1"/>
      <x:c r="R160" s="8"/>
      <x:c r="S160" s="3"/>
      <x:c r="T160" s="8" t="s">
        <x:v>63</x:v>
      </x:c>
      <x:c r="U160" s="1" t="s">
        <x:v>2019</x:v>
      </x:c>
      <x:c r="V160" s="13">
        <x:v>3</x:v>
      </x:c>
      <x:c r="W160" s="1" t="s">
        <x:v>65</x:v>
      </x:c>
      <x:c r="X160" s="8" t="s">
        <x:v>66</x:v>
      </x:c>
      <x:c r="Y160" s="1" t="str">
        <x:v>Проверено автором исследования</x:v>
      </x:c>
      <x:c r="Z160" s="8"/>
      <x:c r="AA160" s="1" t="s">
        <x:v>2020</x:v>
      </x:c>
      <x:c r="AB160" s="13">
        <x:v>2024</x:v>
      </x:c>
      <x:c r="AC160" s="3"/>
      <x:c r="AD160" s="8" t="s">
        <x:v>93</x:v>
      </x:c>
      <x:c r="AE160" s="1"/>
      <x:c r="AF160" s="8" t="s">
        <x:v>71</x:v>
      </x:c>
      <x:c r="AG160" s="1" t="s">
        <x:v>2021</x:v>
      </x:c>
      <x:c r="AH160" s="8" t="str">
        <x:v>Краткая затекстовая ссылка; повторная документальная сверка выполнена</x:v>
      </x:c>
      <x:c r="AI160" s="1"/>
      <x:c r="AJ160" s="17"/>
      <x:c r="AK160" s="1" t="s">
        <x:v>73</x:v>
      </x:c>
      <x:c r="AL160" s="8" t="s">
        <x:v>74</x:v>
      </x:c>
      <x:c r="AM160" s="1"/>
      <x:c r="AN160" s="8" t="s">
        <x:v>95</x:v>
      </x:c>
      <x:c r="AO160" s="1" t="s">
        <x:v>76</x:v>
      </x:c>
      <x:c r="AP160" s="8"/>
      <x:c r="AQ160" s="1" t="s">
        <x:v>77</x:v>
      </x:c>
      <x:c r="AR160" s="8" t="str">
        <x:v>Проверка автором исследования</x:v>
      </x:c>
      <x:c r="AS160" s="1"/>
      <x:c r="AT160" s="8" t="s">
        <x:v>96</x:v>
      </x:c>
      <x:c r="AU160" s="1" t="s">
        <x:v>97</x:v>
      </x:c>
      <x:c r="AV160" s="17"/>
      <x:c r="AW160" s="1" t="s">
        <x:v>98</x:v>
      </x:c>
      <x:c r="AX160" s="8" t="s">
        <x:v>82</x:v>
      </x:c>
      <x:c r="AY160" s="8"/>
    </x:row>
    <x:row r="161" ht="69.94999694824219" customHeight="1">
      <x:c r="A161" s="1" t="s">
        <x:v>2022</x:v>
      </x:c>
      <x:c r="B161" s="8" t="s">
        <x:v>2023</x:v>
      </x:c>
      <x:c r="C161" s="1" t="s">
        <x:v>2024</x:v>
      </x:c>
      <x:c r="D161" s="8" t="s">
        <x:v>86</x:v>
      </x:c>
      <x:c r="E161" s="1" t="s">
        <x:v>76</x:v>
      </x:c>
      <x:c r="F161" s="8" t="s">
        <x:v>2025</x:v>
      </x:c>
      <x:c r="G161" s="1" t="s">
        <x:v>2026</x:v>
      </x:c>
      <x:c r="H161" s="8"/>
      <x:c r="I161" s="4">
        <x:v>2020</x:v>
      </x:c>
      <x:c r="J161" s="8"/>
      <x:c r="K161" s="1"/>
      <x:c r="L161" s="8" t="s">
        <x:v>2027</x:v>
      </x:c>
      <x:c r="M161" s="1" t="s">
        <x:v>90</x:v>
      </x:c>
      <x:c r="N161" s="8" t="s">
        <x:v>2028</x:v>
      </x:c>
      <x:c r="O161" s="1" t="s">
        <x:v>1822</x:v>
      </x:c>
      <x:c r="P161" s="8"/>
      <x:c r="Q161" s="1"/>
      <x:c r="R161" s="8"/>
      <x:c r="S161" s="3"/>
      <x:c r="T161" s="8" t="s">
        <x:v>63</x:v>
      </x:c>
      <x:c r="U161" s="1" t="s">
        <x:v>2029</x:v>
      </x:c>
      <x:c r="V161" s="13">
        <x:v>1</x:v>
      </x:c>
      <x:c r="W161" s="1" t="s">
        <x:v>65</x:v>
      </x:c>
      <x:c r="X161" s="8" t="s">
        <x:v>66</x:v>
      </x:c>
      <x:c r="Y161" s="1" t="str">
        <x:v>Проверено автором исследования</x:v>
      </x:c>
      <x:c r="Z161" s="8"/>
      <x:c r="AA161" s="1" t="s">
        <x:v>2030</x:v>
      </x:c>
      <x:c r="AB161" s="13">
        <x:v>2024</x:v>
      </x:c>
      <x:c r="AC161" s="3"/>
      <x:c r="AD161" s="8" t="s">
        <x:v>93</x:v>
      </x:c>
      <x:c r="AE161" s="1"/>
      <x:c r="AF161" s="8" t="s">
        <x:v>118</x:v>
      </x:c>
      <x:c r="AG161" s="1" t="s">
        <x:v>2031</x:v>
      </x:c>
      <x:c r="AH161" s="8" t="str">
        <x:v>Краткая затекстовая ссылка; повторная документальная сверка выполнена</x:v>
      </x:c>
      <x:c r="AI161" s="1"/>
      <x:c r="AJ161" s="17"/>
      <x:c r="AK161" s="1" t="s">
        <x:v>73</x:v>
      </x:c>
      <x:c r="AL161" s="8" t="s">
        <x:v>74</x:v>
      </x:c>
      <x:c r="AM161" s="1"/>
      <x:c r="AN161" s="8" t="s">
        <x:v>95</x:v>
      </x:c>
      <x:c r="AO161" s="1" t="s">
        <x:v>76</x:v>
      </x:c>
      <x:c r="AP161" s="8"/>
      <x:c r="AQ161" s="1" t="s">
        <x:v>77</x:v>
      </x:c>
      <x:c r="AR161" s="8" t="str">
        <x:v>Проверка автором исследования</x:v>
      </x:c>
      <x:c r="AS161" s="1"/>
      <x:c r="AT161" s="8" t="s">
        <x:v>96</x:v>
      </x:c>
      <x:c r="AU161" s="1" t="s">
        <x:v>97</x:v>
      </x:c>
      <x:c r="AV161" s="17"/>
      <x:c r="AW161" s="1" t="s">
        <x:v>98</x:v>
      </x:c>
      <x:c r="AX161" s="8" t="s">
        <x:v>82</x:v>
      </x:c>
      <x:c r="AY161" s="8"/>
    </x:row>
    <x:row r="162" ht="98.0999984741211" customHeight="1">
      <x:c r="A162" s="1" t="s">
        <x:v>2032</x:v>
      </x:c>
      <x:c r="B162" s="8" t="s">
        <x:v>2033</x:v>
      </x:c>
      <x:c r="C162" s="1" t="s">
        <x:v>2034</x:v>
      </x:c>
      <x:c r="D162" s="8" t="s">
        <x:v>53</x:v>
      </x:c>
      <x:c r="E162" s="1" t="s">
        <x:v>54</x:v>
      </x:c>
      <x:c r="F162" s="8" t="s">
        <x:v>2035</x:v>
      </x:c>
      <x:c r="G162" s="1" t="s">
        <x:v>2036</x:v>
      </x:c>
      <x:c r="H162" s="8" t="s">
        <x:v>2037</x:v>
      </x:c>
      <x:c r="I162" s="4">
        <x:v>2022</x:v>
      </x:c>
      <x:c r="J162" s="8" t="s">
        <x:v>684</x:v>
      </x:c>
      <x:c r="K162" s="1" t="s">
        <x:v>182</x:v>
      </x:c>
      <x:c r="L162" s="8" t="s">
        <x:v>2038</x:v>
      </x:c>
      <x:c r="M162" s="1" t="s">
        <x:v>61</x:v>
      </x:c>
      <x:c r="N162" s="8"/>
      <x:c r="O162" s="1"/>
      <x:c r="P162" s="8"/>
      <x:c r="Q162" s="1"/>
      <x:c r="R162" s="8" t="s">
        <x:v>2039</x:v>
      </x:c>
      <x:c r="S162" s="3"/>
      <x:c r="T162" s="8" t="s">
        <x:v>63</x:v>
      </x:c>
      <x:c r="U162" s="1" t="s">
        <x:v>2029</x:v>
      </x:c>
      <x:c r="V162" s="13">
        <x:v>11</x:v>
      </x:c>
      <x:c r="W162" s="1" t="s">
        <x:v>65</x:v>
      </x:c>
      <x:c r="X162" s="8" t="s">
        <x:v>66</x:v>
      </x:c>
      <x:c r="Y162" s="1" t="str">
        <x:v>Проверено автором исследования</x:v>
      </x:c>
      <x:c r="Z162" s="8" t="s">
        <x:v>2040</x:v>
      </x:c>
      <x:c r="AA162" s="1" t="s">
        <x:v>2030</x:v>
      </x:c>
      <x:c r="AB162" s="13">
        <x:v>2024</x:v>
      </x:c>
      <x:c r="AC162" s="3">
        <x:v>46322</x:v>
      </x:c>
      <x:c r="AD162" s="8" t="s">
        <x:v>69</x:v>
      </x:c>
      <x:c r="AE162" s="1"/>
      <x:c r="AF162" s="8" t="s">
        <x:v>118</x:v>
      </x:c>
      <x:c r="AG162" s="1" t="s">
        <x:v>2031</x:v>
      </x:c>
      <x:c r="AH162" s="8" t="str">
        <x:v>Краткая затекстовая ссылка; повторная документальная сверка выполнена</x:v>
      </x:c>
      <x:c r="AI162" s="1"/>
      <x:c r="AJ162" s="17"/>
      <x:c r="AK162" s="1" t="s">
        <x:v>73</x:v>
      </x:c>
      <x:c r="AL162" s="8" t="s">
        <x:v>74</x:v>
      </x:c>
      <x:c r="AM162" s="1"/>
      <x:c r="AN162" s="8" t="s">
        <x:v>75</x:v>
      </x:c>
      <x:c r="AO162" s="1" t="s">
        <x:v>76</x:v>
      </x:c>
      <x:c r="AP162" s="8"/>
      <x:c r="AQ162" s="1" t="s">
        <x:v>77</x:v>
      </x:c>
      <x:c r="AR162" s="8" t="str">
        <x:v>Проверка автором исследования</x:v>
      </x:c>
      <x:c r="AS162" s="1" t="s">
        <x:v>2041</x:v>
      </x:c>
      <x:c r="AT162" s="8" t="s">
        <x:v>2042</x:v>
      </x:c>
      <x:c r="AU162" s="1" t="s">
        <x:v>2043</x:v>
      </x:c>
      <x:c r="AV162" s="17">
        <x:v>46321</x:v>
      </x:c>
      <x:c r="AW162" s="1" t="s">
        <x:v>81</x:v>
      </x:c>
      <x:c r="AX162" s="8" t="s">
        <x:v>82</x:v>
      </x:c>
      <x:c r="AY162" s="8"/>
    </x:row>
    <x:row r="163" ht="69.94999694824219" customHeight="1">
      <x:c r="A163" s="1" t="s">
        <x:v>2044</x:v>
      </x:c>
      <x:c r="B163" s="8" t="s">
        <x:v>2045</x:v>
      </x:c>
      <x:c r="C163" s="1" t="s">
        <x:v>2046</x:v>
      </x:c>
      <x:c r="D163" s="8" t="s">
        <x:v>86</x:v>
      </x:c>
      <x:c r="E163" s="1" t="s">
        <x:v>76</x:v>
      </x:c>
      <x:c r="F163" s="8" t="s">
        <x:v>2047</x:v>
      </x:c>
      <x:c r="G163" s="1" t="s">
        <x:v>2048</x:v>
      </x:c>
      <x:c r="H163" s="8"/>
      <x:c r="I163" s="4">
        <x:v>2019</x:v>
      </x:c>
      <x:c r="J163" s="8"/>
      <x:c r="K163" s="1"/>
      <x:c r="L163" s="8" t="s">
        <x:v>2049</x:v>
      </x:c>
      <x:c r="M163" s="1" t="s">
        <x:v>90</x:v>
      </x:c>
      <x:c r="N163" s="8" t="s">
        <x:v>2050</x:v>
      </x:c>
      <x:c r="O163" s="1" t="s">
        <x:v>1122</x:v>
      </x:c>
      <x:c r="P163" s="8"/>
      <x:c r="Q163" s="1"/>
      <x:c r="R163" s="8"/>
      <x:c r="S163" s="3"/>
      <x:c r="T163" s="8" t="s">
        <x:v>63</x:v>
      </x:c>
      <x:c r="U163" s="1" t="s">
        <x:v>2029</x:v>
      </x:c>
      <x:c r="V163" s="13">
        <x:v>13</x:v>
      </x:c>
      <x:c r="W163" s="1" t="s">
        <x:v>65</x:v>
      </x:c>
      <x:c r="X163" s="8" t="s">
        <x:v>66</x:v>
      </x:c>
      <x:c r="Y163" s="1" t="str">
        <x:v>Проверено автором исследования</x:v>
      </x:c>
      <x:c r="Z163" s="8"/>
      <x:c r="AA163" s="1" t="s">
        <x:v>2030</x:v>
      </x:c>
      <x:c r="AB163" s="13">
        <x:v>2024</x:v>
      </x:c>
      <x:c r="AC163" s="3"/>
      <x:c r="AD163" s="8" t="s">
        <x:v>93</x:v>
      </x:c>
      <x:c r="AE163" s="1"/>
      <x:c r="AF163" s="8" t="s">
        <x:v>118</x:v>
      </x:c>
      <x:c r="AG163" s="1" t="s">
        <x:v>2031</x:v>
      </x:c>
      <x:c r="AH163" s="8" t="str">
        <x:v>Краткая затекстовая ссылка; повторная документальная сверка выполнена</x:v>
      </x:c>
      <x:c r="AI163" s="1"/>
      <x:c r="AJ163" s="17"/>
      <x:c r="AK163" s="1" t="s">
        <x:v>73</x:v>
      </x:c>
      <x:c r="AL163" s="8" t="s">
        <x:v>74</x:v>
      </x:c>
      <x:c r="AM163" s="1"/>
      <x:c r="AN163" s="8" t="s">
        <x:v>95</x:v>
      </x:c>
      <x:c r="AO163" s="1" t="s">
        <x:v>76</x:v>
      </x:c>
      <x:c r="AP163" s="8"/>
      <x:c r="AQ163" s="1" t="s">
        <x:v>77</x:v>
      </x:c>
      <x:c r="AR163" s="8" t="str">
        <x:v>Проверка автором исследования</x:v>
      </x:c>
      <x:c r="AS163" s="1"/>
      <x:c r="AT163" s="8" t="s">
        <x:v>96</x:v>
      </x:c>
      <x:c r="AU163" s="1" t="s">
        <x:v>97</x:v>
      </x:c>
      <x:c r="AV163" s="17"/>
      <x:c r="AW163" s="1" t="s">
        <x:v>98</x:v>
      </x:c>
      <x:c r="AX163" s="8" t="s">
        <x:v>82</x:v>
      </x:c>
      <x:c r="AY163" s="8"/>
    </x:row>
    <x:row r="164" ht="84" customHeight="1">
      <x:c r="A164" s="1" t="s">
        <x:v>2051</x:v>
      </x:c>
      <x:c r="B164" s="8" t="s">
        <x:v>2052</x:v>
      </x:c>
      <x:c r="C164" s="1" t="s">
        <x:v>2053</x:v>
      </x:c>
      <x:c r="D164" s="8" t="s">
        <x:v>73</x:v>
      </x:c>
      <x:c r="E164" s="1" t="s">
        <x:v>76</x:v>
      </x:c>
      <x:c r="F164" s="8" t="s">
        <x:v>2054</x:v>
      </x:c>
      <x:c r="G164" s="1" t="s">
        <x:v>2055</x:v>
      </x:c>
      <x:c r="H164" s="8" t="s">
        <x:v>2056</x:v>
      </x:c>
      <x:c r="I164" s="4">
        <x:v>2023</x:v>
      </x:c>
      <x:c r="J164" s="8"/>
      <x:c r="K164" s="1"/>
      <x:c r="L164" s="8" t="s">
        <x:v>2057</x:v>
      </x:c>
      <x:c r="M164" s="1" t="s">
        <x:v>61</x:v>
      </x:c>
      <x:c r="N164" s="8"/>
      <x:c r="O164" s="1"/>
      <x:c r="P164" s="8"/>
      <x:c r="Q164" s="1"/>
      <x:c r="R164" s="8"/>
      <x:c r="S164" s="3"/>
      <x:c r="T164" s="8" t="s">
        <x:v>63</x:v>
      </x:c>
      <x:c r="U164" s="1" t="s">
        <x:v>2058</x:v>
      </x:c>
      <x:c r="V164" s="13">
        <x:v>12</x:v>
      </x:c>
      <x:c r="W164" s="1" t="s">
        <x:v>65</x:v>
      </x:c>
      <x:c r="X164" s="8" t="s">
        <x:v>66</x:v>
      </x:c>
      <x:c r="Y164" s="1" t="str">
        <x:v>Проверено автором исследования</x:v>
      </x:c>
      <x:c r="Z164" s="8"/>
      <x:c r="AA164" s="1" t="s">
        <x:v>2059</x:v>
      </x:c>
      <x:c r="AB164" s="13">
        <x:v>2025</x:v>
      </x:c>
      <x:c r="AC164" s="3"/>
      <x:c r="AD164" s="8" t="s">
        <x:v>93</x:v>
      </x:c>
      <x:c r="AE164" s="1"/>
      <x:c r="AF164" s="8" t="s">
        <x:v>71</x:v>
      </x:c>
      <x:c r="AG164" s="1" t="s">
        <x:v>2060</x:v>
      </x:c>
      <x:c r="AH164" s="8" t="str">
        <x:v>Краткая затекстовая ссылка; повторная документальная сверка выполнена</x:v>
      </x:c>
      <x:c r="AI164" s="1"/>
      <x:c r="AJ164" s="17"/>
      <x:c r="AK164" s="1" t="s">
        <x:v>73</x:v>
      </x:c>
      <x:c r="AL164" s="8" t="s">
        <x:v>74</x:v>
      </x:c>
      <x:c r="AM164" s="1"/>
      <x:c r="AN164" s="8" t="s">
        <x:v>95</x:v>
      </x:c>
      <x:c r="AO164" s="1" t="s">
        <x:v>76</x:v>
      </x:c>
      <x:c r="AP164" s="8"/>
      <x:c r="AQ164" s="1" t="s">
        <x:v>77</x:v>
      </x:c>
      <x:c r="AR164" s="8" t="str">
        <x:v>Проверка автором исследования</x:v>
      </x:c>
      <x:c r="AS164" s="1"/>
      <x:c r="AT164" s="8" t="s">
        <x:v>96</x:v>
      </x:c>
      <x:c r="AU164" s="1" t="s">
        <x:v>97</x:v>
      </x:c>
      <x:c r="AV164" s="17"/>
      <x:c r="AW164" s="1" t="s">
        <x:v>98</x:v>
      </x:c>
      <x:c r="AX164" s="8" t="s">
        <x:v>82</x:v>
      </x:c>
      <x:c r="AY164" s="8"/>
    </x:row>
    <x:row r="165" ht="69.94999694824219" customHeight="1">
      <x:c r="A165" s="1" t="s">
        <x:v>2061</x:v>
      </x:c>
      <x:c r="B165" s="8" t="s">
        <x:v>2062</x:v>
      </x:c>
      <x:c r="C165" s="1" t="s">
        <x:v>2063</x:v>
      </x:c>
      <x:c r="D165" s="8" t="s">
        <x:v>86</x:v>
      </x:c>
      <x:c r="E165" s="1" t="s">
        <x:v>76</x:v>
      </x:c>
      <x:c r="F165" s="8" t="s">
        <x:v>2064</x:v>
      </x:c>
      <x:c r="G165" s="1" t="s">
        <x:v>2065</x:v>
      </x:c>
      <x:c r="H165" s="8"/>
      <x:c r="I165" s="4">
        <x:v>2004</x:v>
      </x:c>
      <x:c r="J165" s="8"/>
      <x:c r="K165" s="1"/>
      <x:c r="L165" s="8" t="s">
        <x:v>2066</x:v>
      </x:c>
      <x:c r="M165" s="1" t="s">
        <x:v>90</x:v>
      </x:c>
      <x:c r="N165" s="8" t="s">
        <x:v>2067</x:v>
      </x:c>
      <x:c r="O165" s="1" t="s">
        <x:v>2068</x:v>
      </x:c>
      <x:c r="P165" s="8"/>
      <x:c r="Q165" s="1"/>
      <x:c r="R165" s="8"/>
      <x:c r="S165" s="3"/>
      <x:c r="T165" s="8" t="s">
        <x:v>63</x:v>
      </x:c>
      <x:c r="U165" s="1" t="s">
        <x:v>2069</x:v>
      </x:c>
      <x:c r="V165" s="13">
        <x:v>7</x:v>
      </x:c>
      <x:c r="W165" s="1" t="s">
        <x:v>140</x:v>
      </x:c>
      <x:c r="X165" s="8" t="s">
        <x:v>66</x:v>
      </x:c>
      <x:c r="Y165" s="1" t="str">
        <x:v>Проверено автором; дополнительно проверено Михаилом Саяпиным</x:v>
      </x:c>
      <x:c r="Z165" s="8"/>
      <x:c r="AA165" s="1" t="s">
        <x:v>2070</x:v>
      </x:c>
      <x:c r="AB165" s="13">
        <x:v>2025</x:v>
      </x:c>
      <x:c r="AC165" s="3"/>
      <x:c r="AD165" s="8" t="s">
        <x:v>93</x:v>
      </x:c>
      <x:c r="AE165" s="1"/>
      <x:c r="AF165" s="8" t="s">
        <x:v>118</x:v>
      </x:c>
      <x:c r="AG165" s="1" t="s">
        <x:v>2071</x:v>
      </x:c>
      <x:c r="AH165" s="8" t="s">
        <x:v>144</x:v>
      </x:c>
      <x:c r="AI165" s="1" t="s">
        <x:v>145</x:v>
      </x:c>
      <x:c r="AJ165" s="17">
        <x:v>46323</x:v>
      </x:c>
      <x:c r="AK165" s="1" t="s">
        <x:v>73</x:v>
      </x:c>
      <x:c r="AL165" s="8" t="s">
        <x:v>74</x:v>
      </x:c>
      <x:c r="AM165" s="1"/>
      <x:c r="AN165" s="8" t="s">
        <x:v>95</x:v>
      </x:c>
      <x:c r="AO165" s="1" t="s">
        <x:v>76</x:v>
      </x:c>
      <x:c r="AP165" s="8"/>
      <x:c r="AQ165" s="1" t="s">
        <x:v>77</x:v>
      </x:c>
      <x:c r="AR165" s="8" t="str">
        <x:v>Проверка автором исследования; дополнительная проверка Михаилом Саяпиным; согласование 28.10.2026</x:v>
      </x:c>
      <x:c r="AS165" s="1"/>
      <x:c r="AT165" s="8" t="s">
        <x:v>96</x:v>
      </x:c>
      <x:c r="AU165" s="1" t="s">
        <x:v>97</x:v>
      </x:c>
      <x:c r="AV165" s="17"/>
      <x:c r="AW165" s="1" t="s">
        <x:v>98</x:v>
      </x:c>
      <x:c r="AX165" s="8" t="s">
        <x:v>146</x:v>
      </x:c>
      <x:c r="AY165" s="8" t="s">
        <x:v>2072</x:v>
      </x:c>
    </x:row>
    <x:row r="166" ht="126" customHeight="1">
      <x:c r="A166" s="1" t="s">
        <x:v>2073</x:v>
      </x:c>
      <x:c r="B166" s="8" t="s">
        <x:v>2074</x:v>
      </x:c>
      <x:c r="C166" s="1" t="s">
        <x:v>2075</x:v>
      </x:c>
      <x:c r="D166" s="8" t="s">
        <x:v>53</x:v>
      </x:c>
      <x:c r="E166" s="1" t="s">
        <x:v>54</x:v>
      </x:c>
      <x:c r="F166" s="8" t="s">
        <x:v>2076</x:v>
      </x:c>
      <x:c r="G166" s="1" t="s">
        <x:v>2077</x:v>
      </x:c>
      <x:c r="H166" s="8" t="s">
        <x:v>1978</x:v>
      </x:c>
      <x:c r="I166" s="4">
        <x:v>2021</x:v>
      </x:c>
      <x:c r="J166" s="8"/>
      <x:c r="K166" s="1" t="s">
        <x:v>416</x:v>
      </x:c>
      <x:c r="L166" s="8" t="s">
        <x:v>2078</x:v>
      </x:c>
      <x:c r="M166" s="1" t="s">
        <x:v>61</x:v>
      </x:c>
      <x:c r="N166" s="8"/>
      <x:c r="O166" s="1"/>
      <x:c r="P166" s="8"/>
      <x:c r="Q166" s="1"/>
      <x:c r="R166" s="8" t="s">
        <x:v>2079</x:v>
      </x:c>
      <x:c r="S166" s="3"/>
      <x:c r="T166" s="8" t="s">
        <x:v>63</x:v>
      </x:c>
      <x:c r="U166" s="1" t="s">
        <x:v>2080</x:v>
      </x:c>
      <x:c r="V166" s="13">
        <x:v>7</x:v>
      </x:c>
      <x:c r="W166" s="1" t="s">
        <x:v>65</x:v>
      </x:c>
      <x:c r="X166" s="8" t="s">
        <x:v>66</x:v>
      </x:c>
      <x:c r="Y166" s="1" t="str">
        <x:v>Проверено автором исследования</x:v>
      </x:c>
      <x:c r="Z166" s="8" t="s">
        <x:v>2081</x:v>
      </x:c>
      <x:c r="AA166" s="1" t="s">
        <x:v>2082</x:v>
      </x:c>
      <x:c r="AB166" s="13">
        <x:v>2025</x:v>
      </x:c>
      <x:c r="AC166" s="3">
        <x:v>46322</x:v>
      </x:c>
      <x:c r="AD166" s="8" t="s">
        <x:v>69</x:v>
      </x:c>
      <x:c r="AE166" s="1"/>
      <x:c r="AF166" s="8" t="s">
        <x:v>118</x:v>
      </x:c>
      <x:c r="AG166" s="1" t="s">
        <x:v>2083</x:v>
      </x:c>
      <x:c r="AH166" s="8" t="str">
        <x:v>Краткая затекстовая ссылка; повторная документальная сверка выполнена</x:v>
      </x:c>
      <x:c r="AI166" s="1"/>
      <x:c r="AJ166" s="17"/>
      <x:c r="AK166" s="1" t="s">
        <x:v>73</x:v>
      </x:c>
      <x:c r="AL166" s="8" t="s">
        <x:v>74</x:v>
      </x:c>
      <x:c r="AM166" s="1"/>
      <x:c r="AN166" s="8" t="s">
        <x:v>75</x:v>
      </x:c>
      <x:c r="AO166" s="1" t="s">
        <x:v>76</x:v>
      </x:c>
      <x:c r="AP166" s="8"/>
      <x:c r="AQ166" s="1" t="s">
        <x:v>77</x:v>
      </x:c>
      <x:c r="AR166" s="8" t="str">
        <x:v>Проверка автором исследования</x:v>
      </x:c>
      <x:c r="AS166" s="1" t="s">
        <x:v>2084</x:v>
      </x:c>
      <x:c r="AT166" s="8" t="s">
        <x:v>2085</x:v>
      </x:c>
      <x:c r="AU166" s="1" t="s">
        <x:v>2086</x:v>
      </x:c>
      <x:c r="AV166" s="17">
        <x:v>46321</x:v>
      </x:c>
      <x:c r="AW166" s="1" t="s">
        <x:v>81</x:v>
      </x:c>
      <x:c r="AX166" s="8" t="s">
        <x:v>82</x:v>
      </x:c>
      <x:c r="AY166" s="8"/>
    </x:row>
    <x:row r="167" ht="98.0999984741211" customHeight="1">
      <x:c r="A167" s="1" t="s">
        <x:v>2087</x:v>
      </x:c>
      <x:c r="B167" s="8" t="s">
        <x:v>2088</x:v>
      </x:c>
      <x:c r="C167" s="1" t="s">
        <x:v>2089</x:v>
      </x:c>
      <x:c r="D167" s="8" t="s">
        <x:v>53</x:v>
      </x:c>
      <x:c r="E167" s="1" t="s">
        <x:v>54</x:v>
      </x:c>
      <x:c r="F167" s="8" t="s">
        <x:v>2090</x:v>
      </x:c>
      <x:c r="G167" s="1" t="s">
        <x:v>2091</x:v>
      </x:c>
      <x:c r="H167" s="8" t="s">
        <x:v>2092</x:v>
      </x:c>
      <x:c r="I167" s="4">
        <x:v>2020</x:v>
      </x:c>
      <x:c r="J167" s="8" t="s">
        <x:v>239</x:v>
      </x:c>
      <x:c r="K167" s="1" t="s">
        <x:v>2093</x:v>
      </x:c>
      <x:c r="L167" s="8" t="s">
        <x:v>2094</x:v>
      </x:c>
      <x:c r="M167" s="1" t="s">
        <x:v>61</x:v>
      </x:c>
      <x:c r="N167" s="8"/>
      <x:c r="O167" s="1"/>
      <x:c r="P167" s="8"/>
      <x:c r="Q167" s="1"/>
      <x:c r="R167" s="8" t="s">
        <x:v>2095</x:v>
      </x:c>
      <x:c r="S167" s="3"/>
      <x:c r="T167" s="8" t="s">
        <x:v>63</x:v>
      </x:c>
      <x:c r="U167" s="1" t="s">
        <x:v>2096</x:v>
      </x:c>
      <x:c r="V167" s="13">
        <x:v>6</x:v>
      </x:c>
      <x:c r="W167" s="1" t="s">
        <x:v>65</x:v>
      </x:c>
      <x:c r="X167" s="8" t="s">
        <x:v>66</x:v>
      </x:c>
      <x:c r="Y167" s="1" t="str">
        <x:v>Проверено автором исследования</x:v>
      </x:c>
      <x:c r="Z167" s="8"/>
      <x:c r="AA167" s="1" t="s">
        <x:v>2097</x:v>
      </x:c>
      <x:c r="AB167" s="13">
        <x:v>2025</x:v>
      </x:c>
      <x:c r="AC167" s="3">
        <x:v>46322</x:v>
      </x:c>
      <x:c r="AD167" s="8" t="s">
        <x:v>69</x:v>
      </x:c>
      <x:c r="AE167" s="1"/>
      <x:c r="AF167" s="8" t="s">
        <x:v>118</x:v>
      </x:c>
      <x:c r="AG167" s="1" t="s">
        <x:v>2098</x:v>
      </x:c>
      <x:c r="AH167" s="8" t="str">
        <x:v>Краткая затекстовая ссылка; повторная документальная сверка выполнена</x:v>
      </x:c>
      <x:c r="AI167" s="1"/>
      <x:c r="AJ167" s="17"/>
      <x:c r="AK167" s="1" t="s">
        <x:v>73</x:v>
      </x:c>
      <x:c r="AL167" s="8" t="s">
        <x:v>74</x:v>
      </x:c>
      <x:c r="AM167" s="1"/>
      <x:c r="AN167" s="8" t="s">
        <x:v>75</x:v>
      </x:c>
      <x:c r="AO167" s="1" t="s">
        <x:v>54</x:v>
      </x:c>
      <x:c r="AP167" s="8"/>
      <x:c r="AQ167" s="1" t="s">
        <x:v>77</x:v>
      </x:c>
      <x:c r="AR167" s="8" t="str">
        <x:v>Проверка автором исследования</x:v>
      </x:c>
      <x:c r="AS167" s="1" t="s">
        <x:v>2095</x:v>
      </x:c>
      <x:c r="AT167" s="8" t="s">
        <x:v>2099</x:v>
      </x:c>
      <x:c r="AU167" s="1" t="s">
        <x:v>2100</x:v>
      </x:c>
      <x:c r="AV167" s="17">
        <x:v>46321</x:v>
      </x:c>
      <x:c r="AW167" s="1" t="s">
        <x:v>953</x:v>
      </x:c>
      <x:c r="AX167" s="8" t="s">
        <x:v>82</x:v>
      </x:c>
      <x:c r="AY167" s="8"/>
    </x:row>
    <x:row r="168" ht="69.94999694824219" customHeight="1">
      <x:c r="A168" s="1" t="s">
        <x:v>2101</x:v>
      </x:c>
      <x:c r="B168" s="8" t="s">
        <x:v>2102</x:v>
      </x:c>
      <x:c r="C168" s="1" t="s">
        <x:v>2103</x:v>
      </x:c>
      <x:c r="D168" s="8" t="s">
        <x:v>73</x:v>
      </x:c>
      <x:c r="E168" s="1" t="s">
        <x:v>76</x:v>
      </x:c>
      <x:c r="F168" s="8" t="s">
        <x:v>2104</x:v>
      </x:c>
      <x:c r="G168" s="1" t="s">
        <x:v>2105</x:v>
      </x:c>
      <x:c r="H168" s="8" t="s">
        <x:v>2106</x:v>
      </x:c>
      <x:c r="I168" s="4">
        <x:v>2023</x:v>
      </x:c>
      <x:c r="J168" s="8"/>
      <x:c r="K168" s="1" t="s">
        <x:v>2107</x:v>
      </x:c>
      <x:c r="L168" s="8" t="s">
        <x:v>2108</x:v>
      </x:c>
      <x:c r="M168" s="1" t="s">
        <x:v>61</x:v>
      </x:c>
      <x:c r="N168" s="8"/>
      <x:c r="O168" s="1"/>
      <x:c r="P168" s="8"/>
      <x:c r="Q168" s="1"/>
      <x:c r="R168" s="8"/>
      <x:c r="S168" s="3"/>
      <x:c r="T168" s="8" t="s">
        <x:v>63</x:v>
      </x:c>
      <x:c r="U168" s="1" t="s">
        <x:v>2109</x:v>
      </x:c>
      <x:c r="V168" s="13">
        <x:v>13</x:v>
      </x:c>
      <x:c r="W168" s="1" t="s">
        <x:v>65</x:v>
      </x:c>
      <x:c r="X168" s="8" t="s">
        <x:v>66</x:v>
      </x:c>
      <x:c r="Y168" s="1" t="str">
        <x:v>Проверено автором исследования</x:v>
      </x:c>
      <x:c r="Z168" s="8"/>
      <x:c r="AA168" s="1" t="s">
        <x:v>2110</x:v>
      </x:c>
      <x:c r="AB168" s="13">
        <x:v>2025</x:v>
      </x:c>
      <x:c r="AC168" s="3"/>
      <x:c r="AD168" s="8" t="s">
        <x:v>93</x:v>
      </x:c>
      <x:c r="AE168" s="1"/>
      <x:c r="AF168" s="8" t="s">
        <x:v>118</x:v>
      </x:c>
      <x:c r="AG168" s="1" t="s">
        <x:v>2111</x:v>
      </x:c>
      <x:c r="AH168" s="8" t="str">
        <x:v>Краткая затекстовая ссылка; повторная документальная сверка выполнена</x:v>
      </x:c>
      <x:c r="AI168" s="1"/>
      <x:c r="AJ168" s="17"/>
      <x:c r="AK168" s="1" t="s">
        <x:v>73</x:v>
      </x:c>
      <x:c r="AL168" s="8" t="s">
        <x:v>74</x:v>
      </x:c>
      <x:c r="AM168" s="1"/>
      <x:c r="AN168" s="8" t="s">
        <x:v>95</x:v>
      </x:c>
      <x:c r="AO168" s="1" t="s">
        <x:v>76</x:v>
      </x:c>
      <x:c r="AP168" s="8"/>
      <x:c r="AQ168" s="1" t="s">
        <x:v>77</x:v>
      </x:c>
      <x:c r="AR168" s="8" t="str">
        <x:v>Проверка автором исследования</x:v>
      </x:c>
      <x:c r="AS168" s="1"/>
      <x:c r="AT168" s="8" t="s">
        <x:v>96</x:v>
      </x:c>
      <x:c r="AU168" s="1" t="s">
        <x:v>97</x:v>
      </x:c>
      <x:c r="AV168" s="17"/>
      <x:c r="AW168" s="1" t="s">
        <x:v>98</x:v>
      </x:c>
      <x:c r="AX168" s="8" t="s">
        <x:v>82</x:v>
      </x:c>
      <x:c r="AY168" s="8"/>
    </x:row>
    <x:row r="169" ht="69.94999694824219" customHeight="1">
      <x:c r="A169" s="1" t="s">
        <x:v>2112</x:v>
      </x:c>
      <x:c r="B169" s="8" t="s">
        <x:v>2113</x:v>
      </x:c>
      <x:c r="C169" s="1" t="s">
        <x:v>2114</x:v>
      </x:c>
      <x:c r="D169" s="8" t="s">
        <x:v>86</x:v>
      </x:c>
      <x:c r="E169" s="1" t="s">
        <x:v>76</x:v>
      </x:c>
      <x:c r="F169" s="8" t="s">
        <x:v>2115</x:v>
      </x:c>
      <x:c r="G169" s="1" t="s">
        <x:v>2116</x:v>
      </x:c>
      <x:c r="H169" s="8"/>
      <x:c r="I169" s="4">
        <x:v>2017</x:v>
      </x:c>
      <x:c r="J169" s="8"/>
      <x:c r="K169" s="1"/>
      <x:c r="L169" s="8" t="s">
        <x:v>2117</x:v>
      </x:c>
      <x:c r="M169" s="1" t="s">
        <x:v>90</x:v>
      </x:c>
      <x:c r="N169" s="8" t="s">
        <x:v>2118</x:v>
      </x:c>
      <x:c r="O169" s="1" t="s">
        <x:v>1122</x:v>
      </x:c>
      <x:c r="P169" s="8"/>
      <x:c r="Q169" s="1"/>
      <x:c r="R169" s="8"/>
      <x:c r="S169" s="3"/>
      <x:c r="T169" s="8" t="s">
        <x:v>63</x:v>
      </x:c>
      <x:c r="U169" s="1" t="s">
        <x:v>2119</x:v>
      </x:c>
      <x:c r="V169" s="13">
        <x:v>4</x:v>
      </x:c>
      <x:c r="W169" s="1" t="s">
        <x:v>2120</x:v>
      </x:c>
      <x:c r="X169" s="8" t="s">
        <x:v>66</x:v>
      </x:c>
      <x:c r="Y169" s="1" t="str">
        <x:v>Проверено автором; дополнительно проверено Михаилом Саяпиным</x:v>
      </x:c>
      <x:c r="Z169" s="8"/>
      <x:c r="AA169" s="1" t="s">
        <x:v>2121</x:v>
      </x:c>
      <x:c r="AB169" s="13">
        <x:v>2025</x:v>
      </x:c>
      <x:c r="AC169" s="3"/>
      <x:c r="AD169" s="8" t="s">
        <x:v>93</x:v>
      </x:c>
      <x:c r="AE169" s="1"/>
      <x:c r="AF169" s="8" t="s">
        <x:v>118</x:v>
      </x:c>
      <x:c r="AG169" s="1" t="s">
        <x:v>2122</x:v>
      </x:c>
      <x:c r="AH169" s="8" t="s">
        <x:v>144</x:v>
      </x:c>
      <x:c r="AI169" s="1" t="s">
        <x:v>145</x:v>
      </x:c>
      <x:c r="AJ169" s="17">
        <x:v>46323</x:v>
      </x:c>
      <x:c r="AK169" s="1" t="s">
        <x:v>73</x:v>
      </x:c>
      <x:c r="AL169" s="8" t="s">
        <x:v>74</x:v>
      </x:c>
      <x:c r="AM169" s="1"/>
      <x:c r="AN169" s="8" t="s">
        <x:v>95</x:v>
      </x:c>
      <x:c r="AO169" s="1" t="s">
        <x:v>76</x:v>
      </x:c>
      <x:c r="AP169" s="8"/>
      <x:c r="AQ169" s="1" t="s">
        <x:v>77</x:v>
      </x:c>
      <x:c r="AR169" s="8" t="str">
        <x:v>Проверка автором исследования; дополнительная проверка Михаилом Саяпиным; согласование 28.10.2026</x:v>
      </x:c>
      <x:c r="AS169" s="1"/>
      <x:c r="AT169" s="8" t="s">
        <x:v>96</x:v>
      </x:c>
      <x:c r="AU169" s="1" t="s">
        <x:v>97</x:v>
      </x:c>
      <x:c r="AV169" s="17"/>
      <x:c r="AW169" s="1" t="s">
        <x:v>98</x:v>
      </x:c>
      <x:c r="AX169" s="8" t="s">
        <x:v>146</x:v>
      </x:c>
      <x:c r="AY169" s="8" t="s">
        <x:v>2123</x:v>
      </x:c>
    </x:row>
    <x:row r="170" ht="69.94999694824219" customHeight="1">
      <x:c r="A170" s="1" t="s">
        <x:v>2124</x:v>
      </x:c>
      <x:c r="B170" s="8" t="s">
        <x:v>2125</x:v>
      </x:c>
      <x:c r="C170" s="1" t="s">
        <x:v>2126</x:v>
      </x:c>
      <x:c r="D170" s="8" t="s">
        <x:v>86</x:v>
      </x:c>
      <x:c r="E170" s="1" t="s">
        <x:v>76</x:v>
      </x:c>
      <x:c r="F170" s="8" t="s">
        <x:v>2127</x:v>
      </x:c>
      <x:c r="G170" s="1" t="s">
        <x:v>2128</x:v>
      </x:c>
      <x:c r="H170" s="8"/>
      <x:c r="I170" s="4">
        <x:v>1989</x:v>
      </x:c>
      <x:c r="J170" s="8"/>
      <x:c r="K170" s="1"/>
      <x:c r="L170" s="8" t="s">
        <x:v>2129</x:v>
      </x:c>
      <x:c r="M170" s="1" t="s">
        <x:v>90</x:v>
      </x:c>
      <x:c r="N170" s="8" t="s">
        <x:v>2130</x:v>
      </x:c>
      <x:c r="O170" s="1" t="s">
        <x:v>1122</x:v>
      </x:c>
      <x:c r="P170" s="8"/>
      <x:c r="Q170" s="1"/>
      <x:c r="R170" s="8"/>
      <x:c r="S170" s="3"/>
      <x:c r="T170" s="8" t="s">
        <x:v>63</x:v>
      </x:c>
      <x:c r="U170" s="1" t="s">
        <x:v>2119</x:v>
      </x:c>
      <x:c r="V170" s="13">
        <x:v>6</x:v>
      </x:c>
      <x:c r="W170" s="1" t="s">
        <x:v>65</x:v>
      </x:c>
      <x:c r="X170" s="8" t="s">
        <x:v>66</x:v>
      </x:c>
      <x:c r="Y170" s="1" t="str">
        <x:v>Проверено автором исследования</x:v>
      </x:c>
      <x:c r="Z170" s="8"/>
      <x:c r="AA170" s="1" t="s">
        <x:v>2121</x:v>
      </x:c>
      <x:c r="AB170" s="13">
        <x:v>2025</x:v>
      </x:c>
      <x:c r="AC170" s="3"/>
      <x:c r="AD170" s="8" t="s">
        <x:v>93</x:v>
      </x:c>
      <x:c r="AE170" s="1"/>
      <x:c r="AF170" s="8" t="s">
        <x:v>118</x:v>
      </x:c>
      <x:c r="AG170" s="1" t="s">
        <x:v>2122</x:v>
      </x:c>
      <x:c r="AH170" s="8" t="str">
        <x:v>Краткая затекстовая ссылка; повторная документальная сверка выполнена</x:v>
      </x:c>
      <x:c r="AI170" s="1"/>
      <x:c r="AJ170" s="17"/>
      <x:c r="AK170" s="1" t="s">
        <x:v>73</x:v>
      </x:c>
      <x:c r="AL170" s="8" t="s">
        <x:v>74</x:v>
      </x:c>
      <x:c r="AM170" s="1"/>
      <x:c r="AN170" s="8" t="s">
        <x:v>95</x:v>
      </x:c>
      <x:c r="AO170" s="1" t="s">
        <x:v>76</x:v>
      </x:c>
      <x:c r="AP170" s="8"/>
      <x:c r="AQ170" s="1" t="s">
        <x:v>77</x:v>
      </x:c>
      <x:c r="AR170" s="8" t="str">
        <x:v>Проверка автором исследования</x:v>
      </x:c>
      <x:c r="AS170" s="1"/>
      <x:c r="AT170" s="8" t="s">
        <x:v>96</x:v>
      </x:c>
      <x:c r="AU170" s="1" t="s">
        <x:v>97</x:v>
      </x:c>
      <x:c r="AV170" s="17"/>
      <x:c r="AW170" s="1" t="s">
        <x:v>98</x:v>
      </x:c>
      <x:c r="AX170" s="8" t="s">
        <x:v>82</x:v>
      </x:c>
      <x:c r="AY170" s="8"/>
    </x:row>
    <x:row r="171" ht="69.94999694824219" customHeight="1">
      <x:c r="A171" s="1" t="s">
        <x:v>2131</x:v>
      </x:c>
      <x:c r="B171" s="8" t="s">
        <x:v>2132</x:v>
      </x:c>
      <x:c r="C171" s="1" t="s">
        <x:v>2133</x:v>
      </x:c>
      <x:c r="D171" s="8" t="s">
        <x:v>73</x:v>
      </x:c>
      <x:c r="E171" s="1" t="s">
        <x:v>76</x:v>
      </x:c>
      <x:c r="F171" s="8" t="s">
        <x:v>2134</x:v>
      </x:c>
      <x:c r="G171" s="1" t="s">
        <x:v>2135</x:v>
      </x:c>
      <x:c r="H171" s="8" t="s">
        <x:v>2136</x:v>
      </x:c>
      <x:c r="I171" s="4">
        <x:v>2024</x:v>
      </x:c>
      <x:c r="J171" s="8"/>
      <x:c r="K171" s="1" t="s">
        <x:v>2137</x:v>
      </x:c>
      <x:c r="L171" s="8" t="s">
        <x:v>2138</x:v>
      </x:c>
      <x:c r="M171" s="1" t="s">
        <x:v>61</x:v>
      </x:c>
      <x:c r="N171" s="8"/>
      <x:c r="O171" s="1"/>
      <x:c r="P171" s="8"/>
      <x:c r="Q171" s="1"/>
      <x:c r="R171" s="8"/>
      <x:c r="S171" s="3"/>
      <x:c r="T171" s="8" t="s">
        <x:v>63</x:v>
      </x:c>
      <x:c r="U171" s="1" t="s">
        <x:v>2139</x:v>
      </x:c>
      <x:c r="V171" s="13">
        <x:v>14</x:v>
      </x:c>
      <x:c r="W171" s="1" t="s">
        <x:v>65</x:v>
      </x:c>
      <x:c r="X171" s="8" t="s">
        <x:v>66</x:v>
      </x:c>
      <x:c r="Y171" s="1" t="str">
        <x:v>Проверено автором исследования</x:v>
      </x:c>
      <x:c r="Z171" s="8"/>
      <x:c r="AA171" s="1" t="s">
        <x:v>2140</x:v>
      </x:c>
      <x:c r="AB171" s="13">
        <x:v>2025</x:v>
      </x:c>
      <x:c r="AC171" s="3"/>
      <x:c r="AD171" s="8" t="s">
        <x:v>93</x:v>
      </x:c>
      <x:c r="AE171" s="1"/>
      <x:c r="AF171" s="8" t="s">
        <x:v>118</x:v>
      </x:c>
      <x:c r="AG171" s="1" t="s">
        <x:v>2141</x:v>
      </x:c>
      <x:c r="AH171" s="8" t="str">
        <x:v>Краткая затекстовая ссылка; повторная документальная сверка выполнена</x:v>
      </x:c>
      <x:c r="AI171" s="1"/>
      <x:c r="AJ171" s="17"/>
      <x:c r="AK171" s="1" t="s">
        <x:v>73</x:v>
      </x:c>
      <x:c r="AL171" s="8" t="s">
        <x:v>74</x:v>
      </x:c>
      <x:c r="AM171" s="1"/>
      <x:c r="AN171" s="8" t="s">
        <x:v>95</x:v>
      </x:c>
      <x:c r="AO171" s="1" t="s">
        <x:v>76</x:v>
      </x:c>
      <x:c r="AP171" s="8"/>
      <x:c r="AQ171" s="1" t="s">
        <x:v>77</x:v>
      </x:c>
      <x:c r="AR171" s="8" t="str">
        <x:v>Проверка автором исследования</x:v>
      </x:c>
      <x:c r="AS171" s="1"/>
      <x:c r="AT171" s="8" t="s">
        <x:v>96</x:v>
      </x:c>
      <x:c r="AU171" s="1" t="s">
        <x:v>97</x:v>
      </x:c>
      <x:c r="AV171" s="17"/>
      <x:c r="AW171" s="1" t="s">
        <x:v>98</x:v>
      </x:c>
      <x:c r="AX171" s="8" t="s">
        <x:v>82</x:v>
      </x:c>
      <x:c r="AY171" s="8"/>
    </x:row>
    <x:row r="172" ht="111.94999694824219" customHeight="1">
      <x:c r="A172" s="1" t="s">
        <x:v>2142</x:v>
      </x:c>
      <x:c r="B172" s="8" t="s">
        <x:v>2143</x:v>
      </x:c>
      <x:c r="C172" s="1" t="s">
        <x:v>2144</x:v>
      </x:c>
      <x:c r="D172" s="8" t="s">
        <x:v>53</x:v>
      </x:c>
      <x:c r="E172" s="1" t="s">
        <x:v>54</x:v>
      </x:c>
      <x:c r="F172" s="8" t="s">
        <x:v>2145</x:v>
      </x:c>
      <x:c r="G172" s="1" t="s">
        <x:v>2146</x:v>
      </x:c>
      <x:c r="H172" s="8" t="s">
        <x:v>2147</x:v>
      </x:c>
      <x:c r="I172" s="4">
        <x:v>2024</x:v>
      </x:c>
      <x:c r="J172" s="8"/>
      <x:c r="K172" s="1"/>
      <x:c r="L172" s="8" t="s">
        <x:v>2148</x:v>
      </x:c>
      <x:c r="M172" s="1" t="s">
        <x:v>61</x:v>
      </x:c>
      <x:c r="N172" s="8"/>
      <x:c r="O172" s="1"/>
      <x:c r="P172" s="8"/>
      <x:c r="Q172" s="1"/>
      <x:c r="R172" s="8" t="s">
        <x:v>2149</x:v>
      </x:c>
      <x:c r="S172" s="3"/>
      <x:c r="T172" s="8" t="s">
        <x:v>63</x:v>
      </x:c>
      <x:c r="U172" s="1" t="s">
        <x:v>2150</x:v>
      </x:c>
      <x:c r="V172" s="13">
        <x:v>11</x:v>
      </x:c>
      <x:c r="W172" s="1" t="s">
        <x:v>65</x:v>
      </x:c>
      <x:c r="X172" s="8" t="s">
        <x:v>66</x:v>
      </x:c>
      <x:c r="Y172" s="1" t="str">
        <x:v>Проверено автором исследования</x:v>
      </x:c>
      <x:c r="Z172" s="8" t="s">
        <x:v>2151</x:v>
      </x:c>
      <x:c r="AA172" s="1" t="s">
        <x:v>2152</x:v>
      </x:c>
      <x:c r="AB172" s="13">
        <x:v>2025</x:v>
      </x:c>
      <x:c r="AC172" s="3">
        <x:v>46322</x:v>
      </x:c>
      <x:c r="AD172" s="8" t="s">
        <x:v>69</x:v>
      </x:c>
      <x:c r="AE172" s="1" t="s">
        <x:v>2153</x:v>
      </x:c>
      <x:c r="AF172" s="8" t="s">
        <x:v>118</x:v>
      </x:c>
      <x:c r="AG172" s="1" t="s">
        <x:v>2154</x:v>
      </x:c>
      <x:c r="AH172" s="8" t="str">
        <x:v>Краткая затекстовая ссылка; повторная документальная сверка выполнена</x:v>
      </x:c>
      <x:c r="AI172" s="1"/>
      <x:c r="AJ172" s="17"/>
      <x:c r="AK172" s="1" t="s">
        <x:v>73</x:v>
      </x:c>
      <x:c r="AL172" s="8" t="s">
        <x:v>74</x:v>
      </x:c>
      <x:c r="AM172" s="1"/>
      <x:c r="AN172" s="8" t="s">
        <x:v>75</x:v>
      </x:c>
      <x:c r="AO172" s="1" t="s">
        <x:v>76</x:v>
      </x:c>
      <x:c r="AP172" s="8"/>
      <x:c r="AQ172" s="1" t="s">
        <x:v>77</x:v>
      </x:c>
      <x:c r="AR172" s="8" t="str">
        <x:v>Проверка автором исследования</x:v>
      </x:c>
      <x:c r="AS172" s="1" t="s">
        <x:v>2155</x:v>
      </x:c>
      <x:c r="AT172" s="8" t="s">
        <x:v>2156</x:v>
      </x:c>
      <x:c r="AU172" s="1" t="s">
        <x:v>2157</x:v>
      </x:c>
      <x:c r="AV172" s="17">
        <x:v>46321</x:v>
      </x:c>
      <x:c r="AW172" s="1" t="s">
        <x:v>81</x:v>
      </x:c>
      <x:c r="AX172" s="8" t="s">
        <x:v>82</x:v>
      </x:c>
      <x:c r="AY172" s="8"/>
    </x:row>
    <x:row r="173" ht="69.94999694824219" customHeight="1">
      <x:c r="A173" s="1" t="s">
        <x:v>2158</x:v>
      </x:c>
      <x:c r="B173" s="8" t="s">
        <x:v>2159</x:v>
      </x:c>
      <x:c r="C173" s="1" t="s">
        <x:v>2160</x:v>
      </x:c>
      <x:c r="D173" s="8" t="s">
        <x:v>73</x:v>
      </x:c>
      <x:c r="E173" s="1" t="s">
        <x:v>76</x:v>
      </x:c>
      <x:c r="F173" s="8" t="s">
        <x:v>2161</x:v>
      </x:c>
      <x:c r="G173" s="1" t="s">
        <x:v>2162</x:v>
      </x:c>
      <x:c r="H173" s="8" t="s">
        <x:v>2163</x:v>
      </x:c>
      <x:c r="I173" s="4">
        <x:v>2020</x:v>
      </x:c>
      <x:c r="J173" s="8"/>
      <x:c r="K173" s="1" t="s">
        <x:v>239</x:v>
      </x:c>
      <x:c r="L173" s="8" t="s">
        <x:v>2164</x:v>
      </x:c>
      <x:c r="M173" s="1" t="s">
        <x:v>61</x:v>
      </x:c>
      <x:c r="N173" s="8"/>
      <x:c r="O173" s="1"/>
      <x:c r="P173" s="8"/>
      <x:c r="Q173" s="1"/>
      <x:c r="R173" s="8"/>
      <x:c r="S173" s="3"/>
      <x:c r="T173" s="8" t="s">
        <x:v>63</x:v>
      </x:c>
      <x:c r="U173" s="1" t="s">
        <x:v>2150</x:v>
      </x:c>
      <x:c r="V173" s="13">
        <x:v>17</x:v>
      </x:c>
      <x:c r="W173" s="1" t="s">
        <x:v>65</x:v>
      </x:c>
      <x:c r="X173" s="8" t="s">
        <x:v>66</x:v>
      </x:c>
      <x:c r="Y173" s="1" t="str">
        <x:v>Проверено автором исследования</x:v>
      </x:c>
      <x:c r="Z173" s="8"/>
      <x:c r="AA173" s="1" t="s">
        <x:v>2152</x:v>
      </x:c>
      <x:c r="AB173" s="13">
        <x:v>2025</x:v>
      </x:c>
      <x:c r="AC173" s="3"/>
      <x:c r="AD173" s="8" t="s">
        <x:v>93</x:v>
      </x:c>
      <x:c r="AE173" s="1" t="s">
        <x:v>2165</x:v>
      </x:c>
      <x:c r="AF173" s="8" t="s">
        <x:v>118</x:v>
      </x:c>
      <x:c r="AG173" s="1" t="s">
        <x:v>2154</x:v>
      </x:c>
      <x:c r="AH173" s="8" t="str">
        <x:v>Краткая затекстовая ссылка; повторная документальная сверка выполнена</x:v>
      </x:c>
      <x:c r="AI173" s="1"/>
      <x:c r="AJ173" s="17"/>
      <x:c r="AK173" s="1" t="s">
        <x:v>73</x:v>
      </x:c>
      <x:c r="AL173" s="8" t="s">
        <x:v>74</x:v>
      </x:c>
      <x:c r="AM173" s="1"/>
      <x:c r="AN173" s="8" t="s">
        <x:v>95</x:v>
      </x:c>
      <x:c r="AO173" s="1" t="s">
        <x:v>76</x:v>
      </x:c>
      <x:c r="AP173" s="8"/>
      <x:c r="AQ173" s="1" t="s">
        <x:v>77</x:v>
      </x:c>
      <x:c r="AR173" s="8" t="str">
        <x:v>Проверка автором исследования</x:v>
      </x:c>
      <x:c r="AS173" s="1"/>
      <x:c r="AT173" s="8" t="s">
        <x:v>96</x:v>
      </x:c>
      <x:c r="AU173" s="1" t="s">
        <x:v>97</x:v>
      </x:c>
      <x:c r="AV173" s="17"/>
      <x:c r="AW173" s="1" t="s">
        <x:v>98</x:v>
      </x:c>
      <x:c r="AX173" s="8" t="s">
        <x:v>82</x:v>
      </x:c>
      <x:c r="AY173" s="8"/>
    </x:row>
    <x:row r="174" ht="69.94999694824219" customHeight="1">
      <x:c r="A174" s="1" t="s">
        <x:v>2166</x:v>
      </x:c>
      <x:c r="B174" s="8" t="s">
        <x:v>2167</x:v>
      </x:c>
      <x:c r="C174" s="1" t="s">
        <x:v>2168</x:v>
      </x:c>
      <x:c r="D174" s="8" t="s">
        <x:v>53</x:v>
      </x:c>
      <x:c r="E174" s="1" t="s">
        <x:v>54</x:v>
      </x:c>
      <x:c r="F174" s="8" t="s">
        <x:v>2169</x:v>
      </x:c>
      <x:c r="G174" s="1" t="s">
        <x:v>2170</x:v>
      </x:c>
      <x:c r="H174" s="8" t="s">
        <x:v>2171</x:v>
      </x:c>
      <x:c r="I174" s="4">
        <x:v>2022</x:v>
      </x:c>
      <x:c r="J174" s="8"/>
      <x:c r="K174" s="1" t="s">
        <x:v>239</x:v>
      </x:c>
      <x:c r="L174" s="8" t="s">
        <x:v>2172</x:v>
      </x:c>
      <x:c r="M174" s="1" t="s">
        <x:v>61</x:v>
      </x:c>
      <x:c r="N174" s="8"/>
      <x:c r="O174" s="1"/>
      <x:c r="P174" s="8"/>
      <x:c r="Q174" s="1"/>
      <x:c r="R174" s="8" t="s">
        <x:v>2173</x:v>
      </x:c>
      <x:c r="S174" s="3"/>
      <x:c r="T174" s="8" t="s">
        <x:v>63</x:v>
      </x:c>
      <x:c r="U174" s="1" t="s">
        <x:v>2174</x:v>
      </x:c>
      <x:c r="V174" s="13">
        <x:v>14</x:v>
      </x:c>
      <x:c r="W174" s="1" t="s">
        <x:v>65</x:v>
      </x:c>
      <x:c r="X174" s="8" t="s">
        <x:v>66</x:v>
      </x:c>
      <x:c r="Y174" s="1" t="str">
        <x:v>Проверено автором исследования</x:v>
      </x:c>
      <x:c r="Z174" s="8" t="s">
        <x:v>2175</x:v>
      </x:c>
      <x:c r="AA174" s="1" t="s">
        <x:v>2176</x:v>
      </x:c>
      <x:c r="AB174" s="13">
        <x:v>2025</x:v>
      </x:c>
      <x:c r="AC174" s="3">
        <x:v>46322</x:v>
      </x:c>
      <x:c r="AD174" s="8" t="s">
        <x:v>69</x:v>
      </x:c>
      <x:c r="AE174" s="1" t="s">
        <x:v>2177</x:v>
      </x:c>
      <x:c r="AF174" s="8" t="s">
        <x:v>118</x:v>
      </x:c>
      <x:c r="AG174" s="1" t="s">
        <x:v>2178</x:v>
      </x:c>
      <x:c r="AH174" s="8" t="str">
        <x:v>Краткая затекстовая ссылка; повторная документальная сверка выполнена</x:v>
      </x:c>
      <x:c r="AI174" s="1"/>
      <x:c r="AJ174" s="17"/>
      <x:c r="AK174" s="1" t="s">
        <x:v>73</x:v>
      </x:c>
      <x:c r="AL174" s="8" t="s">
        <x:v>74</x:v>
      </x:c>
      <x:c r="AM174" s="1"/>
      <x:c r="AN174" s="8" t="s">
        <x:v>75</x:v>
      </x:c>
      <x:c r="AO174" s="1" t="s">
        <x:v>76</x:v>
      </x:c>
      <x:c r="AP174" s="8"/>
      <x:c r="AQ174" s="1" t="s">
        <x:v>77</x:v>
      </x:c>
      <x:c r="AR174" s="8" t="str">
        <x:v>Проверка автором исследования</x:v>
      </x:c>
      <x:c r="AS174" s="1" t="s">
        <x:v>2179</x:v>
      </x:c>
      <x:c r="AT174" s="8" t="s">
        <x:v>2180</x:v>
      </x:c>
      <x:c r="AU174" s="1" t="s">
        <x:v>2181</x:v>
      </x:c>
      <x:c r="AV174" s="17">
        <x:v>46321</x:v>
      </x:c>
      <x:c r="AW174" s="1" t="s">
        <x:v>81</x:v>
      </x:c>
      <x:c r="AX174" s="8" t="s">
        <x:v>82</x:v>
      </x:c>
      <x:c r="AY174" s="8"/>
    </x:row>
    <x:row r="175" ht="84" customHeight="1">
      <x:c r="A175" s="1" t="s">
        <x:v>2182</x:v>
      </x:c>
      <x:c r="B175" s="8" t="s">
        <x:v>2183</x:v>
      </x:c>
      <x:c r="C175" s="1" t="s">
        <x:v>2184</x:v>
      </x:c>
      <x:c r="D175" s="8" t="s">
        <x:v>53</x:v>
      </x:c>
      <x:c r="E175" s="1" t="s">
        <x:v>54</x:v>
      </x:c>
      <x:c r="F175" s="8" t="s">
        <x:v>2185</x:v>
      </x:c>
      <x:c r="G175" s="1" t="s">
        <x:v>2186</x:v>
      </x:c>
      <x:c r="H175" s="8" t="s">
        <x:v>2187</x:v>
      </x:c>
      <x:c r="I175" s="4">
        <x:v>2021</x:v>
      </x:c>
      <x:c r="J175" s="8" t="s">
        <x:v>1044</x:v>
      </x:c>
      <x:c r="K175" s="1" t="s">
        <x:v>416</x:v>
      </x:c>
      <x:c r="L175" s="8" t="s">
        <x:v>2188</x:v>
      </x:c>
      <x:c r="M175" s="1" t="s">
        <x:v>61</x:v>
      </x:c>
      <x:c r="N175" s="8"/>
      <x:c r="O175" s="1"/>
      <x:c r="P175" s="8"/>
      <x:c r="Q175" s="1"/>
      <x:c r="R175" s="8" t="s">
        <x:v>2189</x:v>
      </x:c>
      <x:c r="S175" s="3"/>
      <x:c r="T175" s="8" t="s">
        <x:v>63</x:v>
      </x:c>
      <x:c r="U175" s="1" t="s">
        <x:v>2190</x:v>
      </x:c>
      <x:c r="V175" s="13">
        <x:v>9</x:v>
      </x:c>
      <x:c r="W175" s="1" t="s">
        <x:v>65</x:v>
      </x:c>
      <x:c r="X175" s="8" t="s">
        <x:v>66</x:v>
      </x:c>
      <x:c r="Y175" s="1" t="str">
        <x:v>Проверено автором исследования</x:v>
      </x:c>
      <x:c r="Z175" s="8" t="s">
        <x:v>2191</x:v>
      </x:c>
      <x:c r="AA175" s="1" t="s">
        <x:v>2192</x:v>
      </x:c>
      <x:c r="AB175" s="13">
        <x:v>2025</x:v>
      </x:c>
      <x:c r="AC175" s="3">
        <x:v>46322</x:v>
      </x:c>
      <x:c r="AD175" s="8" t="s">
        <x:v>69</x:v>
      </x:c>
      <x:c r="AE175" s="1" t="s">
        <x:v>2193</x:v>
      </x:c>
      <x:c r="AF175" s="8" t="s">
        <x:v>118</x:v>
      </x:c>
      <x:c r="AG175" s="1" t="s">
        <x:v>2194</x:v>
      </x:c>
      <x:c r="AH175" s="8" t="str">
        <x:v>Краткая затекстовая ссылка; повторная документальная сверка выполнена</x:v>
      </x:c>
      <x:c r="AI175" s="1"/>
      <x:c r="AJ175" s="17"/>
      <x:c r="AK175" s="1" t="s">
        <x:v>73</x:v>
      </x:c>
      <x:c r="AL175" s="8" t="s">
        <x:v>74</x:v>
      </x:c>
      <x:c r="AM175" s="1"/>
      <x:c r="AN175" s="8" t="s">
        <x:v>75</x:v>
      </x:c>
      <x:c r="AO175" s="1" t="s">
        <x:v>76</x:v>
      </x:c>
      <x:c r="AP175" s="8"/>
      <x:c r="AQ175" s="1" t="s">
        <x:v>77</x:v>
      </x:c>
      <x:c r="AR175" s="8" t="str">
        <x:v>Проверка автором исследования</x:v>
      </x:c>
      <x:c r="AS175" s="1" t="s">
        <x:v>2195</x:v>
      </x:c>
      <x:c r="AT175" s="8" t="s">
        <x:v>2196</x:v>
      </x:c>
      <x:c r="AU175" s="1" t="s">
        <x:v>2197</x:v>
      </x:c>
      <x:c r="AV175" s="17">
        <x:v>46321</x:v>
      </x:c>
      <x:c r="AW175" s="1" t="s">
        <x:v>81</x:v>
      </x:c>
      <x:c r="AX175" s="8" t="s">
        <x:v>82</x:v>
      </x:c>
      <x:c r="AY175" s="8"/>
    </x:row>
    <x:row r="176" ht="69.94999694824219" customHeight="1">
      <x:c r="A176" s="1" t="s">
        <x:v>2198</x:v>
      </x:c>
      <x:c r="B176" s="8" t="s">
        <x:v>2199</x:v>
      </x:c>
      <x:c r="C176" s="1" t="s">
        <x:v>2200</x:v>
      </x:c>
      <x:c r="D176" s="8" t="s">
        <x:v>73</x:v>
      </x:c>
      <x:c r="E176" s="1" t="s">
        <x:v>76</x:v>
      </x:c>
      <x:c r="F176" s="8" t="s">
        <x:v>2201</x:v>
      </x:c>
      <x:c r="G176" s="1" t="s">
        <x:v>2202</x:v>
      </x:c>
      <x:c r="H176" s="8" t="s">
        <x:v>2203</x:v>
      </x:c>
      <x:c r="I176" s="4">
        <x:v>2023</x:v>
      </x:c>
      <x:c r="J176" s="8"/>
      <x:c r="K176" s="1" t="s">
        <x:v>190</x:v>
      </x:c>
      <x:c r="L176" s="8" t="s">
        <x:v>2204</x:v>
      </x:c>
      <x:c r="M176" s="1" t="s">
        <x:v>61</x:v>
      </x:c>
      <x:c r="N176" s="8"/>
      <x:c r="O176" s="1"/>
      <x:c r="P176" s="8"/>
      <x:c r="Q176" s="1"/>
      <x:c r="R176" s="8"/>
      <x:c r="S176" s="3"/>
      <x:c r="T176" s="8" t="s">
        <x:v>63</x:v>
      </x:c>
      <x:c r="U176" s="1" t="s">
        <x:v>2205</x:v>
      </x:c>
      <x:c r="V176" s="13">
        <x:v>8</x:v>
      </x:c>
      <x:c r="W176" s="1" t="s">
        <x:v>65</x:v>
      </x:c>
      <x:c r="X176" s="8" t="s">
        <x:v>66</x:v>
      </x:c>
      <x:c r="Y176" s="1" t="str">
        <x:v>Проверено автором исследования</x:v>
      </x:c>
      <x:c r="Z176" s="8"/>
      <x:c r="AA176" s="1" t="s">
        <x:v>2206</x:v>
      </x:c>
      <x:c r="AB176" s="13">
        <x:v>2025</x:v>
      </x:c>
      <x:c r="AC176" s="3"/>
      <x:c r="AD176" s="8" t="s">
        <x:v>93</x:v>
      </x:c>
      <x:c r="AE176" s="1" t="s">
        <x:v>2207</x:v>
      </x:c>
      <x:c r="AF176" s="8" t="s">
        <x:v>118</x:v>
      </x:c>
      <x:c r="AG176" s="1" t="s">
        <x:v>2208</x:v>
      </x:c>
      <x:c r="AH176" s="8" t="str">
        <x:v>Краткая затекстовая ссылка; повторная документальная сверка выполнена</x:v>
      </x:c>
      <x:c r="AI176" s="1"/>
      <x:c r="AJ176" s="17"/>
      <x:c r="AK176" s="1" t="s">
        <x:v>73</x:v>
      </x:c>
      <x:c r="AL176" s="8" t="s">
        <x:v>74</x:v>
      </x:c>
      <x:c r="AM176" s="1"/>
      <x:c r="AN176" s="8" t="s">
        <x:v>95</x:v>
      </x:c>
      <x:c r="AO176" s="1" t="s">
        <x:v>76</x:v>
      </x:c>
      <x:c r="AP176" s="8"/>
      <x:c r="AQ176" s="1" t="s">
        <x:v>77</x:v>
      </x:c>
      <x:c r="AR176" s="8" t="str">
        <x:v>Проверка автором исследования</x:v>
      </x:c>
      <x:c r="AS176" s="1"/>
      <x:c r="AT176" s="8" t="s">
        <x:v>96</x:v>
      </x:c>
      <x:c r="AU176" s="1" t="s">
        <x:v>97</x:v>
      </x:c>
      <x:c r="AV176" s="17"/>
      <x:c r="AW176" s="1" t="s">
        <x:v>98</x:v>
      </x:c>
      <x:c r="AX176" s="8" t="s">
        <x:v>82</x:v>
      </x:c>
      <x:c r="AY176" s="8"/>
    </x:row>
    <x:row r="177" ht="69.94999694824219" customHeight="1">
      <x:c r="A177" s="1" t="s">
        <x:v>2209</x:v>
      </x:c>
      <x:c r="B177" s="8" t="s">
        <x:v>2210</x:v>
      </x:c>
      <x:c r="C177" s="1" t="s">
        <x:v>2211</x:v>
      </x:c>
      <x:c r="D177" s="8" t="s">
        <x:v>73</x:v>
      </x:c>
      <x:c r="E177" s="1" t="s">
        <x:v>76</x:v>
      </x:c>
      <x:c r="F177" s="8" t="s">
        <x:v>2212</x:v>
      </x:c>
      <x:c r="G177" s="1" t="s">
        <x:v>2213</x:v>
      </x:c>
      <x:c r="H177" s="8" t="s">
        <x:v>2214</x:v>
      </x:c>
      <x:c r="I177" s="4">
        <x:v>2023</x:v>
      </x:c>
      <x:c r="J177" s="8" t="s">
        <x:v>975</x:v>
      </x:c>
      <x:c r="K177" s="1" t="s">
        <x:v>182</x:v>
      </x:c>
      <x:c r="L177" s="8" t="s">
        <x:v>2215</x:v>
      </x:c>
      <x:c r="M177" s="1" t="s">
        <x:v>61</x:v>
      </x:c>
      <x:c r="N177" s="8"/>
      <x:c r="O177" s="1"/>
      <x:c r="P177" s="8"/>
      <x:c r="Q177" s="1"/>
      <x:c r="R177" s="8" t="s">
        <x:v>2216</x:v>
      </x:c>
      <x:c r="S177" s="3"/>
      <x:c r="T177" s="8" t="s">
        <x:v>63</x:v>
      </x:c>
      <x:c r="U177" s="1" t="s">
        <x:v>2217</x:v>
      </x:c>
      <x:c r="V177" s="13">
        <x:v>10</x:v>
      </x:c>
      <x:c r="W177" s="1" t="s">
        <x:v>65</x:v>
      </x:c>
      <x:c r="X177" s="8" t="s">
        <x:v>66</x:v>
      </x:c>
      <x:c r="Y177" s="1" t="str">
        <x:v>Проверено автором исследования</x:v>
      </x:c>
      <x:c r="Z177" s="8" t="s">
        <x:v>2218</x:v>
      </x:c>
      <x:c r="AA177" s="1" t="s">
        <x:v>2219</x:v>
      </x:c>
      <x:c r="AB177" s="13">
        <x:v>2025</x:v>
      </x:c>
      <x:c r="AC177" s="3"/>
      <x:c r="AD177" s="8" t="s">
        <x:v>93</x:v>
      </x:c>
      <x:c r="AE177" s="1" t="s">
        <x:v>2220</x:v>
      </x:c>
      <x:c r="AF177" s="8" t="s">
        <x:v>118</x:v>
      </x:c>
      <x:c r="AG177" s="1" t="s">
        <x:v>2221</x:v>
      </x:c>
      <x:c r="AH177" s="8" t="str">
        <x:v>Краткая затекстовая ссылка; повторная документальная сверка выполнена</x:v>
      </x:c>
      <x:c r="AI177" s="1"/>
      <x:c r="AJ177" s="17"/>
      <x:c r="AK177" s="1" t="s">
        <x:v>73</x:v>
      </x:c>
      <x:c r="AL177" s="8" t="s">
        <x:v>74</x:v>
      </x:c>
      <x:c r="AM177" s="1"/>
      <x:c r="AN177" s="8" t="s">
        <x:v>95</x:v>
      </x:c>
      <x:c r="AO177" s="1" t="s">
        <x:v>76</x:v>
      </x:c>
      <x:c r="AP177" s="8"/>
      <x:c r="AQ177" s="1" t="s">
        <x:v>77</x:v>
      </x:c>
      <x:c r="AR177" s="8" t="str">
        <x:v>Проверка автором исследования</x:v>
      </x:c>
      <x:c r="AS177" s="1"/>
      <x:c r="AT177" s="8" t="s">
        <x:v>96</x:v>
      </x:c>
      <x:c r="AU177" s="1" t="s">
        <x:v>458</x:v>
      </x:c>
      <x:c r="AV177" s="17">
        <x:v>46321</x:v>
      </x:c>
      <x:c r="AW177" s="1" t="s">
        <x:v>81</x:v>
      </x:c>
      <x:c r="AX177" s="8" t="s">
        <x:v>82</x:v>
      </x:c>
      <x:c r="AY177" s="8"/>
    </x:row>
    <x:row r="178" ht="111.94999694824219" customHeight="1">
      <x:c r="A178" s="1" t="s">
        <x:v>2222</x:v>
      </x:c>
      <x:c r="B178" s="8" t="s">
        <x:v>2223</x:v>
      </x:c>
      <x:c r="C178" s="1" t="s">
        <x:v>2224</x:v>
      </x:c>
      <x:c r="D178" s="8" t="s">
        <x:v>53</x:v>
      </x:c>
      <x:c r="E178" s="1" t="s">
        <x:v>54</x:v>
      </x:c>
      <x:c r="F178" s="8" t="s">
        <x:v>2225</x:v>
      </x:c>
      <x:c r="G178" s="1" t="s">
        <x:v>2226</x:v>
      </x:c>
      <x:c r="H178" s="8" t="s">
        <x:v>2227</x:v>
      </x:c>
      <x:c r="I178" s="4">
        <x:v>2023</x:v>
      </x:c>
      <x:c r="J178" s="8" t="s">
        <x:v>485</x:v>
      </x:c>
      <x:c r="K178" s="1" t="s">
        <x:v>975</x:v>
      </x:c>
      <x:c r="L178" s="8" t="s">
        <x:v>2228</x:v>
      </x:c>
      <x:c r="M178" s="1" t="s">
        <x:v>61</x:v>
      </x:c>
      <x:c r="N178" s="8"/>
      <x:c r="O178" s="1"/>
      <x:c r="P178" s="8"/>
      <x:c r="Q178" s="1"/>
      <x:c r="R178" s="8" t="s">
        <x:v>2229</x:v>
      </x:c>
      <x:c r="S178" s="3"/>
      <x:c r="T178" s="8" t="s">
        <x:v>63</x:v>
      </x:c>
      <x:c r="U178" s="1" t="s">
        <x:v>2230</x:v>
      </x:c>
      <x:c r="V178" s="13">
        <x:v>19</x:v>
      </x:c>
      <x:c r="W178" s="1" t="s">
        <x:v>65</x:v>
      </x:c>
      <x:c r="X178" s="8" t="s">
        <x:v>66</x:v>
      </x:c>
      <x:c r="Y178" s="1" t="str">
        <x:v>Проверено автором исследования</x:v>
      </x:c>
      <x:c r="Z178" s="8" t="s">
        <x:v>2231</x:v>
      </x:c>
      <x:c r="AA178" s="1" t="s">
        <x:v>2232</x:v>
      </x:c>
      <x:c r="AB178" s="13">
        <x:v>2025</x:v>
      </x:c>
      <x:c r="AC178" s="3">
        <x:v>46322</x:v>
      </x:c>
      <x:c r="AD178" s="8" t="s">
        <x:v>69</x:v>
      </x:c>
      <x:c r="AE178" s="1" t="s">
        <x:v>2233</x:v>
      </x:c>
      <x:c r="AF178" s="8" t="s">
        <x:v>71</x:v>
      </x:c>
      <x:c r="AG178" s="1" t="s">
        <x:v>2234</x:v>
      </x:c>
      <x:c r="AH178" s="8" t="str">
        <x:v>Краткая затекстовая ссылка; повторная документальная сверка выполнена</x:v>
      </x:c>
      <x:c r="AI178" s="1"/>
      <x:c r="AJ178" s="17"/>
      <x:c r="AK178" s="1" t="s">
        <x:v>73</x:v>
      </x:c>
      <x:c r="AL178" s="8" t="s">
        <x:v>74</x:v>
      </x:c>
      <x:c r="AM178" s="1"/>
      <x:c r="AN178" s="8" t="s">
        <x:v>75</x:v>
      </x:c>
      <x:c r="AO178" s="1" t="s">
        <x:v>76</x:v>
      </x:c>
      <x:c r="AP178" s="8"/>
      <x:c r="AQ178" s="1" t="s">
        <x:v>77</x:v>
      </x:c>
      <x:c r="AR178" s="8" t="str">
        <x:v>Проверка автором исследования</x:v>
      </x:c>
      <x:c r="AS178" s="1" t="s">
        <x:v>2235</x:v>
      </x:c>
      <x:c r="AT178" s="8" t="s">
        <x:v>2236</x:v>
      </x:c>
      <x:c r="AU178" s="1" t="s">
        <x:v>2237</x:v>
      </x:c>
      <x:c r="AV178" s="17">
        <x:v>46321</x:v>
      </x:c>
      <x:c r="AW178" s="1" t="s">
        <x:v>81</x:v>
      </x:c>
      <x:c r="AX178" s="8" t="s">
        <x:v>82</x:v>
      </x:c>
      <x:c r="AY178" s="8"/>
    </x:row>
    <x:row r="179" ht="111.94999694824219" customHeight="1">
      <x:c r="A179" s="1" t="s">
        <x:v>2238</x:v>
      </x:c>
      <x:c r="B179" s="8" t="s">
        <x:v>2239</x:v>
      </x:c>
      <x:c r="C179" s="1" t="s">
        <x:v>2240</x:v>
      </x:c>
      <x:c r="D179" s="8" t="s">
        <x:v>53</x:v>
      </x:c>
      <x:c r="E179" s="1" t="s">
        <x:v>54</x:v>
      </x:c>
      <x:c r="F179" s="8" t="s">
        <x:v>2241</x:v>
      </x:c>
      <x:c r="G179" s="1" t="s">
        <x:v>2242</x:v>
      </x:c>
      <x:c r="H179" s="8" t="s">
        <x:v>1889</x:v>
      </x:c>
      <x:c r="I179" s="4">
        <x:v>2025</x:v>
      </x:c>
      <x:c r="J179" s="8"/>
      <x:c r="K179" s="1" t="s">
        <x:v>2243</x:v>
      </x:c>
      <x:c r="L179" s="8" t="s">
        <x:v>2244</x:v>
      </x:c>
      <x:c r="M179" s="1" t="s">
        <x:v>61</x:v>
      </x:c>
      <x:c r="N179" s="8"/>
      <x:c r="O179" s="1"/>
      <x:c r="P179" s="8"/>
      <x:c r="Q179" s="1"/>
      <x:c r="R179" s="8" t="s">
        <x:v>2245</x:v>
      </x:c>
      <x:c r="S179" s="3"/>
      <x:c r="T179" s="8" t="s">
        <x:v>63</x:v>
      </x:c>
      <x:c r="U179" s="1" t="s">
        <x:v>2246</x:v>
      </x:c>
      <x:c r="V179" s="13">
        <x:v>15</x:v>
      </x:c>
      <x:c r="W179" s="1" t="s">
        <x:v>65</x:v>
      </x:c>
      <x:c r="X179" s="8" t="s">
        <x:v>66</x:v>
      </x:c>
      <x:c r="Y179" s="1" t="str">
        <x:v>Проверено автором исследования</x:v>
      </x:c>
      <x:c r="Z179" s="8" t="s">
        <x:v>2247</x:v>
      </x:c>
      <x:c r="AA179" s="1" t="s">
        <x:v>2248</x:v>
      </x:c>
      <x:c r="AB179" s="13">
        <x:v>2026</x:v>
      </x:c>
      <x:c r="AC179" s="3">
        <x:v>46322</x:v>
      </x:c>
      <x:c r="AD179" s="8" t="s">
        <x:v>69</x:v>
      </x:c>
      <x:c r="AE179" s="1"/>
      <x:c r="AF179" s="8" t="s">
        <x:v>71</x:v>
      </x:c>
      <x:c r="AG179" s="1" t="s">
        <x:v>2249</x:v>
      </x:c>
      <x:c r="AH179" s="8" t="str">
        <x:v>Краткая затекстовая ссылка; повторная документальная сверка выполнена</x:v>
      </x:c>
      <x:c r="AI179" s="1"/>
      <x:c r="AJ179" s="17"/>
      <x:c r="AK179" s="1" t="s">
        <x:v>73</x:v>
      </x:c>
      <x:c r="AL179" s="8" t="s">
        <x:v>74</x:v>
      </x:c>
      <x:c r="AM179" s="1"/>
      <x:c r="AN179" s="8" t="s">
        <x:v>75</x:v>
      </x:c>
      <x:c r="AO179" s="1" t="s">
        <x:v>76</x:v>
      </x:c>
      <x:c r="AP179" s="8"/>
      <x:c r="AQ179" s="1" t="s">
        <x:v>77</x:v>
      </x:c>
      <x:c r="AR179" s="8" t="str">
        <x:v>Проверка автором исследования</x:v>
      </x:c>
      <x:c r="AS179" s="1" t="s">
        <x:v>2250</x:v>
      </x:c>
      <x:c r="AT179" s="8" t="s">
        <x:v>2251</x:v>
      </x:c>
      <x:c r="AU179" s="1" t="s">
        <x:v>2252</x:v>
      </x:c>
      <x:c r="AV179" s="17">
        <x:v>46321</x:v>
      </x:c>
      <x:c r="AW179" s="1" t="s">
        <x:v>81</x:v>
      </x:c>
      <x:c r="AX179" s="8" t="s">
        <x:v>82</x:v>
      </x:c>
      <x:c r="AY179" s="8"/>
    </x:row>
    <x:row r="180" ht="84" customHeight="1">
      <x:c r="A180" s="1" t="s">
        <x:v>2253</x:v>
      </x:c>
      <x:c r="B180" s="8" t="s">
        <x:v>2254</x:v>
      </x:c>
      <x:c r="C180" s="1" t="s">
        <x:v>2255</x:v>
      </x:c>
      <x:c r="D180" s="8" t="s">
        <x:v>53</x:v>
      </x:c>
      <x:c r="E180" s="1" t="s">
        <x:v>54</x:v>
      </x:c>
      <x:c r="F180" s="8" t="s">
        <x:v>2256</x:v>
      </x:c>
      <x:c r="G180" s="1" t="s">
        <x:v>2257</x:v>
      </x:c>
      <x:c r="H180" s="8" t="s">
        <x:v>2258</x:v>
      </x:c>
      <x:c r="I180" s="4">
        <x:v>2020</x:v>
      </x:c>
      <x:c r="J180" s="8"/>
      <x:c r="K180" s="1" t="s">
        <x:v>190</x:v>
      </x:c>
      <x:c r="L180" s="8" t="s">
        <x:v>2259</x:v>
      </x:c>
      <x:c r="M180" s="1" t="s">
        <x:v>61</x:v>
      </x:c>
      <x:c r="N180" s="8"/>
      <x:c r="O180" s="1"/>
      <x:c r="P180" s="8"/>
      <x:c r="Q180" s="1"/>
      <x:c r="R180" s="8" t="s">
        <x:v>2260</x:v>
      </x:c>
      <x:c r="S180" s="3"/>
      <x:c r="T180" s="8" t="s">
        <x:v>63</x:v>
      </x:c>
      <x:c r="U180" s="1" t="s">
        <x:v>2261</x:v>
      </x:c>
      <x:c r="V180" s="13">
        <x:v>3</x:v>
      </x:c>
      <x:c r="W180" s="1" t="s">
        <x:v>65</x:v>
      </x:c>
      <x:c r="X180" s="8" t="s">
        <x:v>66</x:v>
      </x:c>
      <x:c r="Y180" s="1" t="str">
        <x:v>Проверено автором исследования</x:v>
      </x:c>
      <x:c r="Z180" s="8" t="s">
        <x:v>2262</x:v>
      </x:c>
      <x:c r="AA180" s="1" t="s">
        <x:v>2263</x:v>
      </x:c>
      <x:c r="AB180" s="13">
        <x:v>2026</x:v>
      </x:c>
      <x:c r="AC180" s="3">
        <x:v>46322</x:v>
      </x:c>
      <x:c r="AD180" s="8" t="s">
        <x:v>69</x:v>
      </x:c>
      <x:c r="AE180" s="1" t="s">
        <x:v>2264</x:v>
      </x:c>
      <x:c r="AF180" s="8" t="s">
        <x:v>118</x:v>
      </x:c>
      <x:c r="AG180" s="1" t="s">
        <x:v>2265</x:v>
      </x:c>
      <x:c r="AH180" s="8" t="str">
        <x:v>Краткая затекстовая ссылка; повторная документальная сверка выполнена</x:v>
      </x:c>
      <x:c r="AI180" s="1"/>
      <x:c r="AJ180" s="17"/>
      <x:c r="AK180" s="1" t="s">
        <x:v>73</x:v>
      </x:c>
      <x:c r="AL180" s="8" t="s">
        <x:v>74</x:v>
      </x:c>
      <x:c r="AM180" s="1"/>
      <x:c r="AN180" s="8" t="s">
        <x:v>75</x:v>
      </x:c>
      <x:c r="AO180" s="1" t="s">
        <x:v>76</x:v>
      </x:c>
      <x:c r="AP180" s="8"/>
      <x:c r="AQ180" s="1" t="s">
        <x:v>77</x:v>
      </x:c>
      <x:c r="AR180" s="8" t="str">
        <x:v>Проверка автором исследования</x:v>
      </x:c>
      <x:c r="AS180" s="1" t="s">
        <x:v>2266</x:v>
      </x:c>
      <x:c r="AT180" s="8" t="s">
        <x:v>2267</x:v>
      </x:c>
      <x:c r="AU180" s="1" t="s">
        <x:v>2268</x:v>
      </x:c>
      <x:c r="AV180" s="17">
        <x:v>46321</x:v>
      </x:c>
      <x:c r="AW180" s="1" t="s">
        <x:v>81</x:v>
      </x:c>
      <x:c r="AX180" s="8" t="s">
        <x:v>82</x:v>
      </x:c>
      <x:c r="AY180" s="8"/>
    </x:row>
    <x:row r="181" ht="69.94999694824219" customHeight="1">
      <x:c r="A181" s="1" t="s">
        <x:v>2269</x:v>
      </x:c>
      <x:c r="B181" s="8" t="s">
        <x:v>2270</x:v>
      </x:c>
      <x:c r="C181" s="1" t="s">
        <x:v>2271</x:v>
      </x:c>
      <x:c r="D181" s="8" t="s">
        <x:v>73</x:v>
      </x:c>
      <x:c r="E181" s="1" t="s">
        <x:v>76</x:v>
      </x:c>
      <x:c r="F181" s="8" t="s">
        <x:v>2272</x:v>
      </x:c>
      <x:c r="G181" s="1" t="s">
        <x:v>2273</x:v>
      </x:c>
      <x:c r="H181" s="8" t="s">
        <x:v>2274</x:v>
      </x:c>
      <x:c r="I181" s="4">
        <x:v>2004</x:v>
      </x:c>
      <x:c r="J181" s="8"/>
      <x:c r="K181" s="1" t="s">
        <x:v>1979</x:v>
      </x:c>
      <x:c r="L181" s="8" t="s">
        <x:v>2275</x:v>
      </x:c>
      <x:c r="M181" s="1" t="s">
        <x:v>61</x:v>
      </x:c>
      <x:c r="N181" s="8"/>
      <x:c r="O181" s="1"/>
      <x:c r="P181" s="8"/>
      <x:c r="Q181" s="1"/>
      <x:c r="R181" s="8"/>
      <x:c r="S181" s="3"/>
      <x:c r="T181" s="8" t="s">
        <x:v>63</x:v>
      </x:c>
      <x:c r="U181" s="1" t="s">
        <x:v>2261</x:v>
      </x:c>
      <x:c r="V181" s="13">
        <x:v>11</x:v>
      </x:c>
      <x:c r="W181" s="1" t="s">
        <x:v>65</x:v>
      </x:c>
      <x:c r="X181" s="8" t="s">
        <x:v>66</x:v>
      </x:c>
      <x:c r="Y181" s="1" t="str">
        <x:v>Проверено автором исследования</x:v>
      </x:c>
      <x:c r="Z181" s="8"/>
      <x:c r="AA181" s="1" t="s">
        <x:v>2263</x:v>
      </x:c>
      <x:c r="AB181" s="13">
        <x:v>2026</x:v>
      </x:c>
      <x:c r="AC181" s="3"/>
      <x:c r="AD181" s="8" t="s">
        <x:v>93</x:v>
      </x:c>
      <x:c r="AE181" s="1"/>
      <x:c r="AF181" s="8" t="s">
        <x:v>118</x:v>
      </x:c>
      <x:c r="AG181" s="1" t="s">
        <x:v>2265</x:v>
      </x:c>
      <x:c r="AH181" s="8" t="str">
        <x:v>Краткая затекстовая ссылка; повторная документальная сверка выполнена</x:v>
      </x:c>
      <x:c r="AI181" s="1"/>
      <x:c r="AJ181" s="17"/>
      <x:c r="AK181" s="1" t="s">
        <x:v>73</x:v>
      </x:c>
      <x:c r="AL181" s="8" t="s">
        <x:v>74</x:v>
      </x:c>
      <x:c r="AM181" s="1"/>
      <x:c r="AN181" s="8" t="s">
        <x:v>95</x:v>
      </x:c>
      <x:c r="AO181" s="1" t="s">
        <x:v>76</x:v>
      </x:c>
      <x:c r="AP181" s="8"/>
      <x:c r="AQ181" s="1" t="s">
        <x:v>77</x:v>
      </x:c>
      <x:c r="AR181" s="8" t="str">
        <x:v>Проверка автором исследования</x:v>
      </x:c>
      <x:c r="AS181" s="1"/>
      <x:c r="AT181" s="8" t="s">
        <x:v>96</x:v>
      </x:c>
      <x:c r="AU181" s="1" t="s">
        <x:v>97</x:v>
      </x:c>
      <x:c r="AV181" s="17"/>
      <x:c r="AW181" s="1" t="s">
        <x:v>98</x:v>
      </x:c>
      <x:c r="AX181" s="8" t="s">
        <x:v>82</x:v>
      </x:c>
      <x:c r="AY181" s="8"/>
    </x:row>
    <x:row r="182" ht="111.94999694824219" customHeight="1">
      <x:c r="A182" s="1" t="s">
        <x:v>2276</x:v>
      </x:c>
      <x:c r="B182" s="8" t="s">
        <x:v>2277</x:v>
      </x:c>
      <x:c r="C182" s="1" t="s">
        <x:v>2278</x:v>
      </x:c>
      <x:c r="D182" s="8" t="s">
        <x:v>53</x:v>
      </x:c>
      <x:c r="E182" s="1" t="s">
        <x:v>54</x:v>
      </x:c>
      <x:c r="F182" s="8" t="s">
        <x:v>2279</x:v>
      </x:c>
      <x:c r="G182" s="1" t="s">
        <x:v>2280</x:v>
      </x:c>
      <x:c r="H182" s="8" t="s">
        <x:v>2281</x:v>
      </x:c>
      <x:c r="I182" s="4">
        <x:v>2024</x:v>
      </x:c>
      <x:c r="J182" s="8"/>
      <x:c r="K182" s="1" t="s">
        <x:v>2282</x:v>
      </x:c>
      <x:c r="L182" s="8" t="s">
        <x:v>2283</x:v>
      </x:c>
      <x:c r="M182" s="1" t="s">
        <x:v>61</x:v>
      </x:c>
      <x:c r="N182" s="8"/>
      <x:c r="O182" s="1"/>
      <x:c r="P182" s="8"/>
      <x:c r="Q182" s="1"/>
      <x:c r="R182" s="8" t="s">
        <x:v>2284</x:v>
      </x:c>
      <x:c r="S182" s="3"/>
      <x:c r="T182" s="8" t="s">
        <x:v>63</x:v>
      </x:c>
      <x:c r="U182" s="1" t="s">
        <x:v>2285</x:v>
      </x:c>
      <x:c r="V182" s="13">
        <x:v>16</x:v>
      </x:c>
      <x:c r="W182" s="1" t="s">
        <x:v>65</x:v>
      </x:c>
      <x:c r="X182" s="8" t="s">
        <x:v>66</x:v>
      </x:c>
      <x:c r="Y182" s="1" t="str">
        <x:v>Проверено автором исследования</x:v>
      </x:c>
      <x:c r="Z182" s="8" t="s">
        <x:v>2286</x:v>
      </x:c>
      <x:c r="AA182" s="1" t="s">
        <x:v>2287</x:v>
      </x:c>
      <x:c r="AB182" s="13">
        <x:v>2026</x:v>
      </x:c>
      <x:c r="AC182" s="3">
        <x:v>46322</x:v>
      </x:c>
      <x:c r="AD182" s="8" t="s">
        <x:v>69</x:v>
      </x:c>
      <x:c r="AE182" s="1"/>
      <x:c r="AF182" s="8" t="s">
        <x:v>118</x:v>
      </x:c>
      <x:c r="AG182" s="1" t="s">
        <x:v>2288</x:v>
      </x:c>
      <x:c r="AH182" s="8" t="str">
        <x:v>Краткая затекстовая ссылка; повторная документальная сверка выполнена</x:v>
      </x:c>
      <x:c r="AI182" s="1"/>
      <x:c r="AJ182" s="17"/>
      <x:c r="AK182" s="1" t="s">
        <x:v>73</x:v>
      </x:c>
      <x:c r="AL182" s="8" t="s">
        <x:v>74</x:v>
      </x:c>
      <x:c r="AM182" s="1"/>
      <x:c r="AN182" s="8" t="s">
        <x:v>75</x:v>
      </x:c>
      <x:c r="AO182" s="1" t="s">
        <x:v>76</x:v>
      </x:c>
      <x:c r="AP182" s="8"/>
      <x:c r="AQ182" s="1" t="s">
        <x:v>77</x:v>
      </x:c>
      <x:c r="AR182" s="8" t="str">
        <x:v>Проверка автором исследования</x:v>
      </x:c>
      <x:c r="AS182" s="1" t="s">
        <x:v>2289</x:v>
      </x:c>
      <x:c r="AT182" s="8" t="s">
        <x:v>2290</x:v>
      </x:c>
      <x:c r="AU182" s="1" t="s">
        <x:v>2291</x:v>
      </x:c>
      <x:c r="AV182" s="17">
        <x:v>46321</x:v>
      </x:c>
      <x:c r="AW182" s="1" t="s">
        <x:v>81</x:v>
      </x:c>
      <x:c r="AX182" s="8" t="s">
        <x:v>82</x:v>
      </x:c>
      <x:c r="AY182" s="8"/>
    </x:row>
    <x:row r="183" ht="69.94999694824219" customHeight="1">
      <x:c r="A183" s="1" t="s">
        <x:v>2292</x:v>
      </x:c>
      <x:c r="B183" s="8" t="s">
        <x:v>2293</x:v>
      </x:c>
      <x:c r="C183" s="1" t="s">
        <x:v>2294</x:v>
      </x:c>
      <x:c r="D183" s="8" t="s">
        <x:v>53</x:v>
      </x:c>
      <x:c r="E183" s="1" t="s">
        <x:v>54</x:v>
      </x:c>
      <x:c r="F183" s="8" t="s">
        <x:v>2295</x:v>
      </x:c>
      <x:c r="G183" s="1" t="s">
        <x:v>2296</x:v>
      </x:c>
      <x:c r="H183" s="8" t="s">
        <x:v>2297</x:v>
      </x:c>
      <x:c r="I183" s="4">
        <x:v>2021</x:v>
      </x:c>
      <x:c r="J183" s="8" t="s">
        <x:v>1346</x:v>
      </x:c>
      <x:c r="K183" s="1" t="s">
        <x:v>190</x:v>
      </x:c>
      <x:c r="L183" s="8" t="s">
        <x:v>2298</x:v>
      </x:c>
      <x:c r="M183" s="1" t="s">
        <x:v>61</x:v>
      </x:c>
      <x:c r="N183" s="8"/>
      <x:c r="O183" s="1"/>
      <x:c r="P183" s="8"/>
      <x:c r="Q183" s="1"/>
      <x:c r="R183" s="8" t="s">
        <x:v>2299</x:v>
      </x:c>
      <x:c r="S183" s="3"/>
      <x:c r="T183" s="8" t="s">
        <x:v>63</x:v>
      </x:c>
      <x:c r="U183" s="1" t="s">
        <x:v>2285</x:v>
      </x:c>
      <x:c r="V183" s="13">
        <x:v>19</x:v>
      </x:c>
      <x:c r="W183" s="1" t="s">
        <x:v>65</x:v>
      </x:c>
      <x:c r="X183" s="8" t="s">
        <x:v>66</x:v>
      </x:c>
      <x:c r="Y183" s="1" t="str">
        <x:v>Проверено автором исследования</x:v>
      </x:c>
      <x:c r="Z183" s="8" t="s">
        <x:v>2300</x:v>
      </x:c>
      <x:c r="AA183" s="1" t="s">
        <x:v>2287</x:v>
      </x:c>
      <x:c r="AB183" s="13">
        <x:v>2026</x:v>
      </x:c>
      <x:c r="AC183" s="3">
        <x:v>46322</x:v>
      </x:c>
      <x:c r="AD183" s="8" t="s">
        <x:v>69</x:v>
      </x:c>
      <x:c r="AE183" s="1"/>
      <x:c r="AF183" s="8" t="s">
        <x:v>118</x:v>
      </x:c>
      <x:c r="AG183" s="1" t="s">
        <x:v>2288</x:v>
      </x:c>
      <x:c r="AH183" s="8" t="str">
        <x:v>Краткая затекстовая ссылка; повторная документальная сверка выполнена</x:v>
      </x:c>
      <x:c r="AI183" s="1"/>
      <x:c r="AJ183" s="17"/>
      <x:c r="AK183" s="1" t="s">
        <x:v>73</x:v>
      </x:c>
      <x:c r="AL183" s="8" t="s">
        <x:v>74</x:v>
      </x:c>
      <x:c r="AM183" s="1"/>
      <x:c r="AN183" s="8" t="s">
        <x:v>75</x:v>
      </x:c>
      <x:c r="AO183" s="1" t="s">
        <x:v>76</x:v>
      </x:c>
      <x:c r="AP183" s="8"/>
      <x:c r="AQ183" s="1" t="s">
        <x:v>77</x:v>
      </x:c>
      <x:c r="AR183" s="8" t="str">
        <x:v>Проверка автором исследования</x:v>
      </x:c>
      <x:c r="AS183" s="1" t="s">
        <x:v>2301</x:v>
      </x:c>
      <x:c r="AT183" s="8" t="s">
        <x:v>2296</x:v>
      </x:c>
      <x:c r="AU183" s="1" t="s">
        <x:v>2302</x:v>
      </x:c>
      <x:c r="AV183" s="17">
        <x:v>46321</x:v>
      </x:c>
      <x:c r="AW183" s="1" t="s">
        <x:v>81</x:v>
      </x:c>
      <x:c r="AX183" s="8" t="s">
        <x:v>82</x:v>
      </x:c>
      <x:c r="AY183" s="8"/>
    </x:row>
    <x:row r="184" ht="69.94999694824219" customHeight="1">
      <x:c r="A184" s="1" t="s">
        <x:v>2303</x:v>
      </x:c>
      <x:c r="B184" s="8" t="s">
        <x:v>2304</x:v>
      </x:c>
      <x:c r="C184" s="1" t="s">
        <x:v>2305</x:v>
      </x:c>
      <x:c r="D184" s="8" t="s">
        <x:v>86</x:v>
      </x:c>
      <x:c r="E184" s="1" t="s">
        <x:v>76</x:v>
      </x:c>
      <x:c r="F184" s="8" t="s">
        <x:v>2306</x:v>
      </x:c>
      <x:c r="G184" s="1" t="s">
        <x:v>2307</x:v>
      </x:c>
      <x:c r="H184" s="8"/>
      <x:c r="I184" s="4">
        <x:v>2011</x:v>
      </x:c>
      <x:c r="J184" s="8"/>
      <x:c r="K184" s="1"/>
      <x:c r="L184" s="8" t="s">
        <x:v>2308</x:v>
      </x:c>
      <x:c r="M184" s="1" t="s">
        <x:v>90</x:v>
      </x:c>
      <x:c r="N184" s="8" t="s">
        <x:v>2309</x:v>
      </x:c>
      <x:c r="O184" s="1" t="s">
        <x:v>2068</x:v>
      </x:c>
      <x:c r="P184" s="8"/>
      <x:c r="Q184" s="1"/>
      <x:c r="R184" s="8"/>
      <x:c r="S184" s="3"/>
      <x:c r="T184" s="8" t="s">
        <x:v>63</x:v>
      </x:c>
      <x:c r="U184" s="1" t="s">
        <x:v>2310</x:v>
      </x:c>
      <x:c r="V184" s="13">
        <x:v>1</x:v>
      </x:c>
      <x:c r="W184" s="1" t="s">
        <x:v>65</x:v>
      </x:c>
      <x:c r="X184" s="8" t="s">
        <x:v>66</x:v>
      </x:c>
      <x:c r="Y184" s="1" t="str">
        <x:v>Проверено автором исследования</x:v>
      </x:c>
      <x:c r="Z184" s="8"/>
      <x:c r="AA184" s="1" t="s">
        <x:v>2311</x:v>
      </x:c>
      <x:c r="AB184" s="13">
        <x:v>2026</x:v>
      </x:c>
      <x:c r="AC184" s="3"/>
      <x:c r="AD184" s="8" t="s">
        <x:v>93</x:v>
      </x:c>
      <x:c r="AE184" s="1" t="s">
        <x:v>2312</x:v>
      </x:c>
      <x:c r="AF184" s="8" t="s">
        <x:v>118</x:v>
      </x:c>
      <x:c r="AG184" s="1" t="s">
        <x:v>2313</x:v>
      </x:c>
      <x:c r="AH184" s="8" t="str">
        <x:v>Краткая затекстовая ссылка; повторная документальная сверка выполнена</x:v>
      </x:c>
      <x:c r="AI184" s="1"/>
      <x:c r="AJ184" s="17"/>
      <x:c r="AK184" s="1" t="s">
        <x:v>73</x:v>
      </x:c>
      <x:c r="AL184" s="8" t="s">
        <x:v>74</x:v>
      </x:c>
      <x:c r="AM184" s="1"/>
      <x:c r="AN184" s="8" t="s">
        <x:v>95</x:v>
      </x:c>
      <x:c r="AO184" s="1" t="s">
        <x:v>76</x:v>
      </x:c>
      <x:c r="AP184" s="8"/>
      <x:c r="AQ184" s="1" t="s">
        <x:v>77</x:v>
      </x:c>
      <x:c r="AR184" s="8" t="str">
        <x:v>Проверка автором исследования</x:v>
      </x:c>
      <x:c r="AS184" s="1"/>
      <x:c r="AT184" s="8" t="s">
        <x:v>96</x:v>
      </x:c>
      <x:c r="AU184" s="1" t="s">
        <x:v>97</x:v>
      </x:c>
      <x:c r="AV184" s="17"/>
      <x:c r="AW184" s="1" t="s">
        <x:v>98</x:v>
      </x:c>
      <x:c r="AX184" s="8" t="s">
        <x:v>82</x:v>
      </x:c>
      <x:c r="AY184" s="8"/>
    </x:row>
    <x:row r="185" ht="69.94999694824219" customHeight="1">
      <x:c r="A185" s="1" t="s">
        <x:v>2314</x:v>
      </x:c>
      <x:c r="B185" s="8" t="s">
        <x:v>2315</x:v>
      </x:c>
      <x:c r="C185" s="1" t="s">
        <x:v>2316</x:v>
      </x:c>
      <x:c r="D185" s="8" t="s">
        <x:v>86</x:v>
      </x:c>
      <x:c r="E185" s="1" t="s">
        <x:v>76</x:v>
      </x:c>
      <x:c r="F185" s="8" t="s">
        <x:v>2317</x:v>
      </x:c>
      <x:c r="G185" s="1" t="s">
        <x:v>2318</x:v>
      </x:c>
      <x:c r="H185" s="8"/>
      <x:c r="I185" s="4">
        <x:v>2021</x:v>
      </x:c>
      <x:c r="J185" s="8"/>
      <x:c r="K185" s="1"/>
      <x:c r="L185" s="8" t="s">
        <x:v>2319</x:v>
      </x:c>
      <x:c r="M185" s="1" t="s">
        <x:v>90</x:v>
      </x:c>
      <x:c r="N185" s="8" t="s">
        <x:v>2320</x:v>
      </x:c>
      <x:c r="O185" s="1" t="s">
        <x:v>1122</x:v>
      </x:c>
      <x:c r="P185" s="8"/>
      <x:c r="Q185" s="1"/>
      <x:c r="R185" s="8"/>
      <x:c r="S185" s="3"/>
      <x:c r="T185" s="8" t="s">
        <x:v>63</x:v>
      </x:c>
      <x:c r="U185" s="1" t="s">
        <x:v>2321</x:v>
      </x:c>
      <x:c r="V185" s="13">
        <x:v>1</x:v>
      </x:c>
      <x:c r="W185" s="1" t="s">
        <x:v>65</x:v>
      </x:c>
      <x:c r="X185" s="8" t="s">
        <x:v>66</x:v>
      </x:c>
      <x:c r="Y185" s="1" t="str">
        <x:v>Проверено автором исследования</x:v>
      </x:c>
      <x:c r="Z185" s="8"/>
      <x:c r="AA185" s="1" t="s">
        <x:v>2322</x:v>
      </x:c>
      <x:c r="AB185" s="13">
        <x:v>2026</x:v>
      </x:c>
      <x:c r="AC185" s="3"/>
      <x:c r="AD185" s="8" t="s">
        <x:v>93</x:v>
      </x:c>
      <x:c r="AE185" s="1" t="s">
        <x:v>2323</x:v>
      </x:c>
      <x:c r="AF185" s="8" t="s">
        <x:v>71</x:v>
      </x:c>
      <x:c r="AG185" s="1" t="s">
        <x:v>2324</x:v>
      </x:c>
      <x:c r="AH185" s="8" t="str">
        <x:v>Краткая затекстовая ссылка; повторная документальная сверка выполнена</x:v>
      </x:c>
      <x:c r="AI185" s="1"/>
      <x:c r="AJ185" s="17"/>
      <x:c r="AK185" s="1" t="s">
        <x:v>73</x:v>
      </x:c>
      <x:c r="AL185" s="8" t="s">
        <x:v>74</x:v>
      </x:c>
      <x:c r="AM185" s="1"/>
      <x:c r="AN185" s="8" t="s">
        <x:v>95</x:v>
      </x:c>
      <x:c r="AO185" s="1" t="s">
        <x:v>76</x:v>
      </x:c>
      <x:c r="AP185" s="8"/>
      <x:c r="AQ185" s="1" t="s">
        <x:v>77</x:v>
      </x:c>
      <x:c r="AR185" s="8" t="str">
        <x:v>Проверка автором исследования</x:v>
      </x:c>
      <x:c r="AS185" s="1"/>
      <x:c r="AT185" s="8" t="s">
        <x:v>96</x:v>
      </x:c>
      <x:c r="AU185" s="1" t="s">
        <x:v>97</x:v>
      </x:c>
      <x:c r="AV185" s="17"/>
      <x:c r="AW185" s="1" t="s">
        <x:v>98</x:v>
      </x:c>
      <x:c r="AX185" s="8" t="s">
        <x:v>82</x:v>
      </x:c>
      <x:c r="AY185" s="8"/>
    </x:row>
    <x:row r="186" ht="69.94999694824219" customHeight="1">
      <x:c r="A186" s="1" t="s">
        <x:v>2325</x:v>
      </x:c>
      <x:c r="B186" s="8" t="s">
        <x:v>2326</x:v>
      </x:c>
      <x:c r="C186" s="1" t="s">
        <x:v>2327</x:v>
      </x:c>
      <x:c r="D186" s="8" t="s">
        <x:v>86</x:v>
      </x:c>
      <x:c r="E186" s="1" t="s">
        <x:v>76</x:v>
      </x:c>
      <x:c r="F186" s="8" t="s">
        <x:v>2328</x:v>
      </x:c>
      <x:c r="G186" s="1" t="s">
        <x:v>2329</x:v>
      </x:c>
      <x:c r="H186" s="8"/>
      <x:c r="I186" s="4">
        <x:v>2024</x:v>
      </x:c>
      <x:c r="J186" s="8"/>
      <x:c r="K186" s="1"/>
      <x:c r="L186" s="8" t="s">
        <x:v>2330</x:v>
      </x:c>
      <x:c r="M186" s="1" t="s">
        <x:v>90</x:v>
      </x:c>
      <x:c r="N186" s="8" t="s">
        <x:v>2331</x:v>
      </x:c>
      <x:c r="O186" s="1" t="s">
        <x:v>1122</x:v>
      </x:c>
      <x:c r="P186" s="8"/>
      <x:c r="Q186" s="1"/>
      <x:c r="R186" s="8" t="s">
        <x:v>2332</x:v>
      </x:c>
      <x:c r="S186" s="3"/>
      <x:c r="T186" s="8" t="s">
        <x:v>63</x:v>
      </x:c>
      <x:c r="U186" s="1" t="s">
        <x:v>2321</x:v>
      </x:c>
      <x:c r="V186" s="13">
        <x:v>14</x:v>
      </x:c>
      <x:c r="W186" s="1" t="s">
        <x:v>65</x:v>
      </x:c>
      <x:c r="X186" s="8" t="s">
        <x:v>66</x:v>
      </x:c>
      <x:c r="Y186" s="1" t="str">
        <x:v>Проверено автором исследования</x:v>
      </x:c>
      <x:c r="Z186" s="8" t="s">
        <x:v>2333</x:v>
      </x:c>
      <x:c r="AA186" s="1" t="s">
        <x:v>2322</x:v>
      </x:c>
      <x:c r="AB186" s="13">
        <x:v>2026</x:v>
      </x:c>
      <x:c r="AC186" s="3"/>
      <x:c r="AD186" s="8" t="s">
        <x:v>93</x:v>
      </x:c>
      <x:c r="AE186" s="1"/>
      <x:c r="AF186" s="8" t="s">
        <x:v>71</x:v>
      </x:c>
      <x:c r="AG186" s="1" t="s">
        <x:v>2324</x:v>
      </x:c>
      <x:c r="AH186" s="8" t="str">
        <x:v>Краткая затекстовая ссылка; повторная документальная сверка выполнена</x:v>
      </x:c>
      <x:c r="AI186" s="1"/>
      <x:c r="AJ186" s="17"/>
      <x:c r="AK186" s="1" t="s">
        <x:v>73</x:v>
      </x:c>
      <x:c r="AL186" s="8" t="s">
        <x:v>74</x:v>
      </x:c>
      <x:c r="AM186" s="1"/>
      <x:c r="AN186" s="8" t="s">
        <x:v>95</x:v>
      </x:c>
      <x:c r="AO186" s="1" t="s">
        <x:v>76</x:v>
      </x:c>
      <x:c r="AP186" s="8"/>
      <x:c r="AQ186" s="1" t="s">
        <x:v>77</x:v>
      </x:c>
      <x:c r="AR186" s="8" t="str">
        <x:v>Проверка автором исследования</x:v>
      </x:c>
      <x:c r="AS186" s="1"/>
      <x:c r="AT186" s="8" t="s">
        <x:v>96</x:v>
      </x:c>
      <x:c r="AU186" s="1" t="s">
        <x:v>447</x:v>
      </x:c>
      <x:c r="AV186" s="17">
        <x:v>46321</x:v>
      </x:c>
      <x:c r="AW186" s="1" t="s">
        <x:v>81</x:v>
      </x:c>
      <x:c r="AX186" s="8" t="s">
        <x:v>82</x:v>
      </x:c>
      <x:c r="AY186" s="8"/>
    </x:row>
    <x:row r="187" ht="98.0999984741211" customHeight="1">
      <x:c r="A187" s="1" t="s">
        <x:v>2334</x:v>
      </x:c>
      <x:c r="B187" s="8" t="s">
        <x:v>2335</x:v>
      </x:c>
      <x:c r="C187" s="1" t="s">
        <x:v>2336</x:v>
      </x:c>
      <x:c r="D187" s="8" t="s">
        <x:v>53</x:v>
      </x:c>
      <x:c r="E187" s="1" t="s">
        <x:v>54</x:v>
      </x:c>
      <x:c r="F187" s="8" t="s">
        <x:v>2337</x:v>
      </x:c>
      <x:c r="G187" s="1" t="s">
        <x:v>2338</x:v>
      </x:c>
      <x:c r="H187" s="8" t="s">
        <x:v>2339</x:v>
      </x:c>
      <x:c r="I187" s="4">
        <x:v>2025</x:v>
      </x:c>
      <x:c r="J187" s="8"/>
      <x:c r="K187" s="1"/>
      <x:c r="L187" s="8" t="s">
        <x:v>2340</x:v>
      </x:c>
      <x:c r="M187" s="1" t="s">
        <x:v>61</x:v>
      </x:c>
      <x:c r="N187" s="8"/>
      <x:c r="O187" s="1"/>
      <x:c r="P187" s="8"/>
      <x:c r="Q187" s="1"/>
      <x:c r="R187" s="8" t="s">
        <x:v>2341</x:v>
      </x:c>
      <x:c r="S187" s="3">
        <x:v>46029</x:v>
      </x:c>
      <x:c r="T187" s="8" t="s">
        <x:v>63</x:v>
      </x:c>
      <x:c r="U187" s="1" t="s">
        <x:v>2342</x:v>
      </x:c>
      <x:c r="V187" s="13">
        <x:v>2</x:v>
      </x:c>
      <x:c r="W187" s="1" t="s">
        <x:v>65</x:v>
      </x:c>
      <x:c r="X187" s="8" t="s">
        <x:v>66</x:v>
      </x:c>
      <x:c r="Y187" s="1" t="str">
        <x:v>Проверено автором исследования</x:v>
      </x:c>
      <x:c r="Z187" s="8"/>
      <x:c r="AA187" s="1" t="s">
        <x:v>2343</x:v>
      </x:c>
      <x:c r="AB187" s="13">
        <x:v>2026</x:v>
      </x:c>
      <x:c r="AC187" s="3">
        <x:v>46322</x:v>
      </x:c>
      <x:c r="AD187" s="8" t="s">
        <x:v>69</x:v>
      </x:c>
      <x:c r="AE187" s="1"/>
      <x:c r="AF187" s="8" t="s">
        <x:v>118</x:v>
      </x:c>
      <x:c r="AG187" s="1" t="s">
        <x:v>2344</x:v>
      </x:c>
      <x:c r="AH187" s="8" t="str">
        <x:v>Краткая затекстовая ссылка; повторная документальная сверка выполнена</x:v>
      </x:c>
      <x:c r="AI187" s="1"/>
      <x:c r="AJ187" s="17"/>
      <x:c r="AK187" s="1" t="s">
        <x:v>73</x:v>
      </x:c>
      <x:c r="AL187" s="8" t="s">
        <x:v>74</x:v>
      </x:c>
      <x:c r="AM187" s="1"/>
      <x:c r="AN187" s="8" t="s">
        <x:v>75</x:v>
      </x:c>
      <x:c r="AO187" s="1" t="s">
        <x:v>54</x:v>
      </x:c>
      <x:c r="AP187" s="8"/>
      <x:c r="AQ187" s="1" t="s">
        <x:v>77</x:v>
      </x:c>
      <x:c r="AR187" s="8" t="str">
        <x:v>Проверка автором исследования</x:v>
      </x:c>
      <x:c r="AS187" s="1" t="s">
        <x:v>2341</x:v>
      </x:c>
      <x:c r="AT187" s="8" t="s">
        <x:v>2345</x:v>
      </x:c>
      <x:c r="AU187" s="1" t="s">
        <x:v>2346</x:v>
      </x:c>
      <x:c r="AV187" s="17">
        <x:v>46029</x:v>
      </x:c>
      <x:c r="AW187" s="1" t="s">
        <x:v>324</x:v>
      </x:c>
      <x:c r="AX187" s="8" t="s">
        <x:v>82</x:v>
      </x:c>
      <x:c r="AY187" s="8"/>
    </x:row>
    <x:row r="188" ht="140.10000610351562" customHeight="1">
      <x:c r="A188" s="1" t="s">
        <x:v>2347</x:v>
      </x:c>
      <x:c r="B188" s="8" t="s">
        <x:v>2348</x:v>
      </x:c>
      <x:c r="C188" s="1" t="s">
        <x:v>2349</x:v>
      </x:c>
      <x:c r="D188" s="8" t="s">
        <x:v>53</x:v>
      </x:c>
      <x:c r="E188" s="1" t="s">
        <x:v>54</x:v>
      </x:c>
      <x:c r="F188" s="8" t="s">
        <x:v>2350</x:v>
      </x:c>
      <x:c r="G188" s="1" t="s">
        <x:v>2351</x:v>
      </x:c>
      <x:c r="H188" s="8" t="s">
        <x:v>2352</x:v>
      </x:c>
      <x:c r="I188" s="4">
        <x:v>2025</x:v>
      </x:c>
      <x:c r="J188" s="8" t="s">
        <x:v>1798</x:v>
      </x:c>
      <x:c r="K188" s="1" t="s">
        <x:v>190</x:v>
      </x:c>
      <x:c r="L188" s="8" t="s">
        <x:v>2353</x:v>
      </x:c>
      <x:c r="M188" s="1" t="s">
        <x:v>61</x:v>
      </x:c>
      <x:c r="N188" s="8"/>
      <x:c r="O188" s="1"/>
      <x:c r="P188" s="8"/>
      <x:c r="Q188" s="1"/>
      <x:c r="R188" s="8" t="s">
        <x:v>2354</x:v>
      </x:c>
      <x:c r="S188" s="3"/>
      <x:c r="T188" s="8" t="s">
        <x:v>63</x:v>
      </x:c>
      <x:c r="U188" s="1" t="s">
        <x:v>2342</x:v>
      </x:c>
      <x:c r="V188" s="13">
        <x:v>3</x:v>
      </x:c>
      <x:c r="W188" s="1" t="s">
        <x:v>65</x:v>
      </x:c>
      <x:c r="X188" s="8" t="s">
        <x:v>66</x:v>
      </x:c>
      <x:c r="Y188" s="1" t="str">
        <x:v>Проверено автором исследования</x:v>
      </x:c>
      <x:c r="Z188" s="8" t="s">
        <x:v>2355</x:v>
      </x:c>
      <x:c r="AA188" s="1" t="s">
        <x:v>2343</x:v>
      </x:c>
      <x:c r="AB188" s="13">
        <x:v>2026</x:v>
      </x:c>
      <x:c r="AC188" s="3">
        <x:v>46322</x:v>
      </x:c>
      <x:c r="AD188" s="8" t="s">
        <x:v>69</x:v>
      </x:c>
      <x:c r="AE188" s="1" t="s">
        <x:v>2356</x:v>
      </x:c>
      <x:c r="AF188" s="8" t="s">
        <x:v>118</x:v>
      </x:c>
      <x:c r="AG188" s="1" t="s">
        <x:v>2344</x:v>
      </x:c>
      <x:c r="AH188" s="8" t="str">
        <x:v>Краткая затекстовая ссылка; повторная документальная сверка выполнена</x:v>
      </x:c>
      <x:c r="AI188" s="1"/>
      <x:c r="AJ188" s="17"/>
      <x:c r="AK188" s="1" t="s">
        <x:v>73</x:v>
      </x:c>
      <x:c r="AL188" s="8" t="s">
        <x:v>74</x:v>
      </x:c>
      <x:c r="AM188" s="1"/>
      <x:c r="AN188" s="8" t="s">
        <x:v>75</x:v>
      </x:c>
      <x:c r="AO188" s="1" t="s">
        <x:v>76</x:v>
      </x:c>
      <x:c r="AP188" s="8"/>
      <x:c r="AQ188" s="1" t="s">
        <x:v>77</x:v>
      </x:c>
      <x:c r="AR188" s="8" t="str">
        <x:v>Проверка автором исследования</x:v>
      </x:c>
      <x:c r="AS188" s="1" t="s">
        <x:v>2357</x:v>
      </x:c>
      <x:c r="AT188" s="8" t="s">
        <x:v>2358</x:v>
      </x:c>
      <x:c r="AU188" s="1" t="s">
        <x:v>2359</x:v>
      </x:c>
      <x:c r="AV188" s="17">
        <x:v>46321</x:v>
      </x:c>
      <x:c r="AW188" s="1" t="s">
        <x:v>81</x:v>
      </x:c>
      <x:c r="AX188" s="8" t="s">
        <x:v>82</x:v>
      </x:c>
      <x:c r="AY188" s="8"/>
    </x:row>
    <x:row r="189" ht="69.94999694824219" customHeight="1">
      <x:c r="A189" s="1" t="s">
        <x:v>2360</x:v>
      </x:c>
      <x:c r="B189" s="8" t="s">
        <x:v>2361</x:v>
      </x:c>
      <x:c r="C189" s="1" t="s">
        <x:v>2362</x:v>
      </x:c>
      <x:c r="D189" s="8" t="s">
        <x:v>53</x:v>
      </x:c>
      <x:c r="E189" s="1" t="s">
        <x:v>54</x:v>
      </x:c>
      <x:c r="F189" s="8" t="s">
        <x:v>2363</x:v>
      </x:c>
      <x:c r="G189" s="1" t="s">
        <x:v>2364</x:v>
      </x:c>
      <x:c r="H189" s="8" t="s">
        <x:v>2136</x:v>
      </x:c>
      <x:c r="I189" s="4">
        <x:v>2024</x:v>
      </x:c>
      <x:c r="J189" s="8" t="s">
        <x:v>630</x:v>
      </x:c>
      <x:c r="K189" s="1" t="s">
        <x:v>239</x:v>
      </x:c>
      <x:c r="L189" s="8" t="s">
        <x:v>2365</x:v>
      </x:c>
      <x:c r="M189" s="1" t="s">
        <x:v>61</x:v>
      </x:c>
      <x:c r="N189" s="8"/>
      <x:c r="O189" s="1"/>
      <x:c r="P189" s="8"/>
      <x:c r="Q189" s="1"/>
      <x:c r="R189" s="8" t="s">
        <x:v>2366</x:v>
      </x:c>
      <x:c r="S189" s="3"/>
      <x:c r="T189" s="8" t="s">
        <x:v>63</x:v>
      </x:c>
      <x:c r="U189" s="1" t="s">
        <x:v>2342</x:v>
      </x:c>
      <x:c r="V189" s="13">
        <x:v>12</x:v>
      </x:c>
      <x:c r="W189" s="1" t="s">
        <x:v>65</x:v>
      </x:c>
      <x:c r="X189" s="8" t="s">
        <x:v>66</x:v>
      </x:c>
      <x:c r="Y189" s="1" t="str">
        <x:v>Проверено автором исследования</x:v>
      </x:c>
      <x:c r="Z189" s="8" t="s">
        <x:v>2367</x:v>
      </x:c>
      <x:c r="AA189" s="1" t="s">
        <x:v>2343</x:v>
      </x:c>
      <x:c r="AB189" s="13">
        <x:v>2026</x:v>
      </x:c>
      <x:c r="AC189" s="3">
        <x:v>46322</x:v>
      </x:c>
      <x:c r="AD189" s="8" t="s">
        <x:v>69</x:v>
      </x:c>
      <x:c r="AE189" s="1" t="s">
        <x:v>2368</x:v>
      </x:c>
      <x:c r="AF189" s="8" t="s">
        <x:v>118</x:v>
      </x:c>
      <x:c r="AG189" s="1" t="s">
        <x:v>2344</x:v>
      </x:c>
      <x:c r="AH189" s="8" t="str">
        <x:v>Краткая затекстовая ссылка; повторная документальная сверка выполнена</x:v>
      </x:c>
      <x:c r="AI189" s="1"/>
      <x:c r="AJ189" s="17"/>
      <x:c r="AK189" s="1" t="s">
        <x:v>73</x:v>
      </x:c>
      <x:c r="AL189" s="8" t="s">
        <x:v>74</x:v>
      </x:c>
      <x:c r="AM189" s="1"/>
      <x:c r="AN189" s="8" t="s">
        <x:v>75</x:v>
      </x:c>
      <x:c r="AO189" s="1" t="s">
        <x:v>76</x:v>
      </x:c>
      <x:c r="AP189" s="8"/>
      <x:c r="AQ189" s="1" t="s">
        <x:v>77</x:v>
      </x:c>
      <x:c r="AR189" s="8" t="str">
        <x:v>Проверка автором исследования</x:v>
      </x:c>
      <x:c r="AS189" s="1" t="s">
        <x:v>2369</x:v>
      </x:c>
      <x:c r="AT189" s="8" t="s">
        <x:v>2370</x:v>
      </x:c>
      <x:c r="AU189" s="1" t="s">
        <x:v>2371</x:v>
      </x:c>
      <x:c r="AV189" s="17">
        <x:v>46321</x:v>
      </x:c>
      <x:c r="AW189" s="1" t="s">
        <x:v>81</x:v>
      </x:c>
      <x:c r="AX189" s="8" t="s">
        <x:v>82</x:v>
      </x:c>
      <x:c r="AY189" s="8"/>
    </x:row>
    <x:row r="190" ht="69.94999694824219" customHeight="1">
      <x:c r="A190" s="1" t="s">
        <x:v>2372</x:v>
      </x:c>
      <x:c r="B190" s="8" t="s">
        <x:v>2373</x:v>
      </x:c>
      <x:c r="C190" s="1" t="s">
        <x:v>2374</x:v>
      </x:c>
      <x:c r="D190" s="8" t="s">
        <x:v>53</x:v>
      </x:c>
      <x:c r="E190" s="1" t="s">
        <x:v>54</x:v>
      </x:c>
      <x:c r="F190" s="8" t="s">
        <x:v>2375</x:v>
      </x:c>
      <x:c r="G190" s="1" t="s">
        <x:v>2376</x:v>
      </x:c>
      <x:c r="H190" s="8" t="s">
        <x:v>2377</x:v>
      </x:c>
      <x:c r="I190" s="4">
        <x:v>2025</x:v>
      </x:c>
      <x:c r="J190" s="8"/>
      <x:c r="K190" s="1" t="s">
        <x:v>106</x:v>
      </x:c>
      <x:c r="L190" s="8" t="s">
        <x:v>2378</x:v>
      </x:c>
      <x:c r="M190" s="1" t="s">
        <x:v>61</x:v>
      </x:c>
      <x:c r="N190" s="8"/>
      <x:c r="O190" s="1"/>
      <x:c r="P190" s="8"/>
      <x:c r="Q190" s="1"/>
      <x:c r="R190" s="8" t="s">
        <x:v>2379</x:v>
      </x:c>
      <x:c r="S190" s="3">
        <x:v>46027</x:v>
      </x:c>
      <x:c r="T190" s="8" t="s">
        <x:v>63</x:v>
      </x:c>
      <x:c r="U190" s="1" t="s">
        <x:v>2342</x:v>
      </x:c>
      <x:c r="V190" s="13">
        <x:v>15</x:v>
      </x:c>
      <x:c r="W190" s="1" t="s">
        <x:v>2380</x:v>
      </x:c>
      <x:c r="X190" s="8" t="s">
        <x:v>66</x:v>
      </x:c>
      <x:c r="Y190" s="1" t="str">
        <x:v>Проверено автором; дополнительно проверено Михаилом Саяпиным</x:v>
      </x:c>
      <x:c r="Z190" s="8"/>
      <x:c r="AA190" s="1" t="s">
        <x:v>2343</x:v>
      </x:c>
      <x:c r="AB190" s="13">
        <x:v>2026</x:v>
      </x:c>
      <x:c r="AC190" s="3">
        <x:v>46322</x:v>
      </x:c>
      <x:c r="AD190" s="8" t="s">
        <x:v>69</x:v>
      </x:c>
      <x:c r="AE190" s="1"/>
      <x:c r="AF190" s="8" t="s">
        <x:v>118</x:v>
      </x:c>
      <x:c r="AG190" s="1" t="s">
        <x:v>2344</x:v>
      </x:c>
      <x:c r="AH190" s="8" t="s">
        <x:v>144</x:v>
      </x:c>
      <x:c r="AI190" s="1" t="s">
        <x:v>145</x:v>
      </x:c>
      <x:c r="AJ190" s="17">
        <x:v>46323</x:v>
      </x:c>
      <x:c r="AK190" s="1" t="s">
        <x:v>73</x:v>
      </x:c>
      <x:c r="AL190" s="8" t="s">
        <x:v>74</x:v>
      </x:c>
      <x:c r="AM190" s="1"/>
      <x:c r="AN190" s="8" t="s">
        <x:v>75</x:v>
      </x:c>
      <x:c r="AO190" s="1" t="s">
        <x:v>54</x:v>
      </x:c>
      <x:c r="AP190" s="8"/>
      <x:c r="AQ190" s="1" t="s">
        <x:v>77</x:v>
      </x:c>
      <x:c r="AR190" s="8" t="str">
        <x:v>Проверка автором исследования; дополнительная проверка Михаилом Саяпиным; согласование 28.10.2026</x:v>
      </x:c>
      <x:c r="AS190" s="1" t="s">
        <x:v>2381</x:v>
      </x:c>
      <x:c r="AT190" s="8" t="s">
        <x:v>2382</x:v>
      </x:c>
      <x:c r="AU190" s="1" t="s">
        <x:v>2383</x:v>
      </x:c>
      <x:c r="AV190" s="17">
        <x:v>46027</x:v>
      </x:c>
      <x:c r="AW190" s="1" t="s">
        <x:v>324</x:v>
      </x:c>
      <x:c r="AX190" s="8" t="s">
        <x:v>146</x:v>
      </x:c>
      <x:c r="AY190" s="8" t="s">
        <x:v>2384</x:v>
      </x:c>
    </x:row>
    <x:row r="191" ht="84" customHeight="1">
      <x:c r="A191" s="1" t="s">
        <x:v>2385</x:v>
      </x:c>
      <x:c r="B191" s="8" t="s">
        <x:v>2386</x:v>
      </x:c>
      <x:c r="C191" s="1" t="s">
        <x:v>2387</x:v>
      </x:c>
      <x:c r="D191" s="8" t="s">
        <x:v>53</x:v>
      </x:c>
      <x:c r="E191" s="1" t="s">
        <x:v>54</x:v>
      </x:c>
      <x:c r="F191" s="8" t="s">
        <x:v>2388</x:v>
      </x:c>
      <x:c r="G191" s="1" t="s">
        <x:v>2389</x:v>
      </x:c>
      <x:c r="H191" s="8" t="s">
        <x:v>2390</x:v>
      </x:c>
      <x:c r="I191" s="4">
        <x:v>2024</x:v>
      </x:c>
      <x:c r="J191" s="8"/>
      <x:c r="K191" s="1" t="s">
        <x:v>2391</x:v>
      </x:c>
      <x:c r="L191" s="8" t="s">
        <x:v>2392</x:v>
      </x:c>
      <x:c r="M191" s="1" t="s">
        <x:v>61</x:v>
      </x:c>
      <x:c r="N191" s="8"/>
      <x:c r="O191" s="1"/>
      <x:c r="P191" s="8"/>
      <x:c r="Q191" s="1"/>
      <x:c r="R191" s="8" t="s">
        <x:v>2393</x:v>
      </x:c>
      <x:c r="S191" s="3"/>
      <x:c r="T191" s="8" t="s">
        <x:v>63</x:v>
      </x:c>
      <x:c r="U191" s="1" t="s">
        <x:v>2394</x:v>
      </x:c>
      <x:c r="V191" s="13">
        <x:v>9</x:v>
      </x:c>
      <x:c r="W191" s="1" t="s">
        <x:v>65</x:v>
      </x:c>
      <x:c r="X191" s="8" t="s">
        <x:v>66</x:v>
      </x:c>
      <x:c r="Y191" s="1" t="str">
        <x:v>Проверено автором исследования</x:v>
      </x:c>
      <x:c r="Z191" s="8" t="s">
        <x:v>2395</x:v>
      </x:c>
      <x:c r="AA191" s="1" t="s">
        <x:v>2396</x:v>
      </x:c>
      <x:c r="AB191" s="13">
        <x:v>2026</x:v>
      </x:c>
      <x:c r="AC191" s="3">
        <x:v>46322</x:v>
      </x:c>
      <x:c r="AD191" s="8" t="s">
        <x:v>69</x:v>
      </x:c>
      <x:c r="AE191" s="1" t="s">
        <x:v>2397</x:v>
      </x:c>
      <x:c r="AF191" s="8" t="s">
        <x:v>118</x:v>
      </x:c>
      <x:c r="AG191" s="1" t="s">
        <x:v>2398</x:v>
      </x:c>
      <x:c r="AH191" s="8" t="str">
        <x:v>Краткая затекстовая ссылка; повторная документальная сверка выполнена</x:v>
      </x:c>
      <x:c r="AI191" s="1"/>
      <x:c r="AJ191" s="17"/>
      <x:c r="AK191" s="1" t="s">
        <x:v>73</x:v>
      </x:c>
      <x:c r="AL191" s="8" t="s">
        <x:v>74</x:v>
      </x:c>
      <x:c r="AM191" s="1"/>
      <x:c r="AN191" s="8" t="s">
        <x:v>75</x:v>
      </x:c>
      <x:c r="AO191" s="1" t="s">
        <x:v>76</x:v>
      </x:c>
      <x:c r="AP191" s="8"/>
      <x:c r="AQ191" s="1" t="s">
        <x:v>77</x:v>
      </x:c>
      <x:c r="AR191" s="8" t="str">
        <x:v>Проверка автором исследования</x:v>
      </x:c>
      <x:c r="AS191" s="1" t="s">
        <x:v>2399</x:v>
      </x:c>
      <x:c r="AT191" s="8" t="s">
        <x:v>2400</x:v>
      </x:c>
      <x:c r="AU191" s="1" t="s">
        <x:v>2401</x:v>
      </x:c>
      <x:c r="AV191" s="17">
        <x:v>46321</x:v>
      </x:c>
      <x:c r="AW191" s="1" t="s">
        <x:v>81</x:v>
      </x:c>
      <x:c r="AX191" s="8" t="s">
        <x:v>82</x:v>
      </x:c>
      <x:c r="AY191" s="8"/>
    </x:row>
    <x:row r="192" ht="69.94999694824219" customHeight="1">
      <x:c r="A192" s="1" t="s">
        <x:v>2402</x:v>
      </x:c>
      <x:c r="B192" s="8" t="s">
        <x:v>2403</x:v>
      </x:c>
      <x:c r="C192" s="1" t="s">
        <x:v>2404</x:v>
      </x:c>
      <x:c r="D192" s="8" t="s">
        <x:v>73</x:v>
      </x:c>
      <x:c r="E192" s="1" t="s">
        <x:v>76</x:v>
      </x:c>
      <x:c r="F192" s="8" t="s">
        <x:v>2405</x:v>
      </x:c>
      <x:c r="G192" s="1" t="s">
        <x:v>2406</x:v>
      </x:c>
      <x:c r="H192" s="8" t="s">
        <x:v>2407</x:v>
      </x:c>
      <x:c r="I192" s="4">
        <x:v>2016</x:v>
      </x:c>
      <x:c r="J192" s="8"/>
      <x:c r="K192" s="1" t="s">
        <x:v>2408</x:v>
      </x:c>
      <x:c r="L192" s="8" t="s">
        <x:v>2409</x:v>
      </x:c>
      <x:c r="M192" s="1" t="s">
        <x:v>61</x:v>
      </x:c>
      <x:c r="N192" s="8"/>
      <x:c r="O192" s="1"/>
      <x:c r="P192" s="8"/>
      <x:c r="Q192" s="1"/>
      <x:c r="R192" s="8"/>
      <x:c r="S192" s="3"/>
      <x:c r="T192" s="8" t="s">
        <x:v>63</x:v>
      </x:c>
      <x:c r="U192" s="1" t="s">
        <x:v>2410</x:v>
      </x:c>
      <x:c r="V192" s="13">
        <x:v>6</x:v>
      </x:c>
      <x:c r="W192" s="1" t="s">
        <x:v>65</x:v>
      </x:c>
      <x:c r="X192" s="8" t="s">
        <x:v>66</x:v>
      </x:c>
      <x:c r="Y192" s="1" t="str">
        <x:v>Проверено автором исследования</x:v>
      </x:c>
      <x:c r="Z192" s="8"/>
      <x:c r="AA192" s="1" t="s">
        <x:v>2411</x:v>
      </x:c>
      <x:c r="AB192" s="13">
        <x:v>2026</x:v>
      </x:c>
      <x:c r="AC192" s="3"/>
      <x:c r="AD192" s="8" t="s">
        <x:v>93</x:v>
      </x:c>
      <x:c r="AE192" s="1" t="s">
        <x:v>2412</x:v>
      </x:c>
      <x:c r="AF192" s="8" t="s">
        <x:v>118</x:v>
      </x:c>
      <x:c r="AG192" s="1" t="s">
        <x:v>2413</x:v>
      </x:c>
      <x:c r="AH192" s="8" t="str">
        <x:v>Краткая затекстовая ссылка; повторная документальная сверка выполнена</x:v>
      </x:c>
      <x:c r="AI192" s="1"/>
      <x:c r="AJ192" s="17"/>
      <x:c r="AK192" s="1" t="s">
        <x:v>73</x:v>
      </x:c>
      <x:c r="AL192" s="8" t="s">
        <x:v>74</x:v>
      </x:c>
      <x:c r="AM192" s="1"/>
      <x:c r="AN192" s="8" t="s">
        <x:v>95</x:v>
      </x:c>
      <x:c r="AO192" s="1" t="s">
        <x:v>76</x:v>
      </x:c>
      <x:c r="AP192" s="8"/>
      <x:c r="AQ192" s="1" t="s">
        <x:v>77</x:v>
      </x:c>
      <x:c r="AR192" s="8" t="str">
        <x:v>Проверка автором исследования</x:v>
      </x:c>
      <x:c r="AS192" s="1"/>
      <x:c r="AT192" s="8" t="s">
        <x:v>96</x:v>
      </x:c>
      <x:c r="AU192" s="1" t="s">
        <x:v>97</x:v>
      </x:c>
      <x:c r="AV192" s="17"/>
      <x:c r="AW192" s="1" t="s">
        <x:v>98</x:v>
      </x:c>
      <x:c r="AX192" s="8" t="s">
        <x:v>82</x:v>
      </x:c>
      <x:c r="AY192" s="8"/>
    </x:row>
    <x:row r="193" ht="69.94999694824219" customHeight="1">
      <x:c r="A193" s="1" t="s">
        <x:v>2414</x:v>
      </x:c>
      <x:c r="B193" s="8" t="s">
        <x:v>2415</x:v>
      </x:c>
      <x:c r="C193" s="1" t="s">
        <x:v>2416</x:v>
      </x:c>
      <x:c r="D193" s="8" t="s">
        <x:v>53</x:v>
      </x:c>
      <x:c r="E193" s="1" t="s">
        <x:v>54</x:v>
      </x:c>
      <x:c r="F193" s="8" t="s">
        <x:v>2417</x:v>
      </x:c>
      <x:c r="G193" s="1" t="s">
        <x:v>2418</x:v>
      </x:c>
      <x:c r="H193" s="8" t="s">
        <x:v>1978</x:v>
      </x:c>
      <x:c r="I193" s="4">
        <x:v>2020</x:v>
      </x:c>
      <x:c r="J193" s="8"/>
      <x:c r="K193" s="1" t="s">
        <x:v>2419</x:v>
      </x:c>
      <x:c r="L193" s="8" t="s">
        <x:v>2420</x:v>
      </x:c>
      <x:c r="M193" s="1" t="s">
        <x:v>61</x:v>
      </x:c>
      <x:c r="N193" s="8"/>
      <x:c r="O193" s="1"/>
      <x:c r="P193" s="8"/>
      <x:c r="Q193" s="1"/>
      <x:c r="R193" s="8" t="s">
        <x:v>2421</x:v>
      </x:c>
      <x:c r="S193" s="3"/>
      <x:c r="T193" s="8" t="s">
        <x:v>63</x:v>
      </x:c>
      <x:c r="U193" s="1" t="s">
        <x:v>2410</x:v>
      </x:c>
      <x:c r="V193" s="13">
        <x:v>8</x:v>
      </x:c>
      <x:c r="W193" s="1" t="s">
        <x:v>65</x:v>
      </x:c>
      <x:c r="X193" s="8" t="s">
        <x:v>66</x:v>
      </x:c>
      <x:c r="Y193" s="1" t="str">
        <x:v>Проверено автором исследования</x:v>
      </x:c>
      <x:c r="Z193" s="8" t="s">
        <x:v>2422</x:v>
      </x:c>
      <x:c r="AA193" s="1" t="s">
        <x:v>2411</x:v>
      </x:c>
      <x:c r="AB193" s="13">
        <x:v>2026</x:v>
      </x:c>
      <x:c r="AC193" s="3">
        <x:v>46322</x:v>
      </x:c>
      <x:c r="AD193" s="8" t="s">
        <x:v>69</x:v>
      </x:c>
      <x:c r="AE193" s="1" t="s">
        <x:v>2423</x:v>
      </x:c>
      <x:c r="AF193" s="8" t="s">
        <x:v>118</x:v>
      </x:c>
      <x:c r="AG193" s="1" t="s">
        <x:v>2413</x:v>
      </x:c>
      <x:c r="AH193" s="8" t="str">
        <x:v>Краткая затекстовая ссылка; повторная документальная сверка выполнена</x:v>
      </x:c>
      <x:c r="AI193" s="1"/>
      <x:c r="AJ193" s="17"/>
      <x:c r="AK193" s="1" t="s">
        <x:v>73</x:v>
      </x:c>
      <x:c r="AL193" s="8" t="s">
        <x:v>74</x:v>
      </x:c>
      <x:c r="AM193" s="1"/>
      <x:c r="AN193" s="8" t="s">
        <x:v>75</x:v>
      </x:c>
      <x:c r="AO193" s="1" t="s">
        <x:v>76</x:v>
      </x:c>
      <x:c r="AP193" s="8"/>
      <x:c r="AQ193" s="1" t="s">
        <x:v>77</x:v>
      </x:c>
      <x:c r="AR193" s="8" t="str">
        <x:v>Проверка автором исследования</x:v>
      </x:c>
      <x:c r="AS193" s="1" t="s">
        <x:v>2424</x:v>
      </x:c>
      <x:c r="AT193" s="8" t="s">
        <x:v>2425</x:v>
      </x:c>
      <x:c r="AU193" s="1" t="s">
        <x:v>2426</x:v>
      </x:c>
      <x:c r="AV193" s="17">
        <x:v>46321</x:v>
      </x:c>
      <x:c r="AW193" s="1" t="s">
        <x:v>81</x:v>
      </x:c>
      <x:c r="AX193" s="8" t="s">
        <x:v>82</x:v>
      </x:c>
      <x:c r="AY193" s="8"/>
    </x:row>
    <x:row r="194" ht="69.94999694824219" customHeight="1">
      <x:c r="A194" s="1" t="s">
        <x:v>2427</x:v>
      </x:c>
      <x:c r="B194" s="8" t="s">
        <x:v>2428</x:v>
      </x:c>
      <x:c r="C194" s="1" t="s">
        <x:v>2429</x:v>
      </x:c>
      <x:c r="D194" s="8" t="s">
        <x:v>73</x:v>
      </x:c>
      <x:c r="E194" s="1" t="s">
        <x:v>76</x:v>
      </x:c>
      <x:c r="F194" s="8" t="s">
        <x:v>2430</x:v>
      </x:c>
      <x:c r="G194" s="1" t="s">
        <x:v>2431</x:v>
      </x:c>
      <x:c r="H194" s="8" t="s">
        <x:v>2432</x:v>
      </x:c>
      <x:c r="I194" s="4">
        <x:v>2024</x:v>
      </x:c>
      <x:c r="J194" s="8"/>
      <x:c r="K194" s="1" t="s">
        <x:v>2433</x:v>
      </x:c>
      <x:c r="L194" s="8" t="s">
        <x:v>2434</x:v>
      </x:c>
      <x:c r="M194" s="1" t="s">
        <x:v>61</x:v>
      </x:c>
      <x:c r="N194" s="8"/>
      <x:c r="O194" s="1"/>
      <x:c r="P194" s="8"/>
      <x:c r="Q194" s="1"/>
      <x:c r="R194" s="8"/>
      <x:c r="S194" s="3"/>
      <x:c r="T194" s="8" t="s">
        <x:v>63</x:v>
      </x:c>
      <x:c r="U194" s="1" t="s">
        <x:v>2435</x:v>
      </x:c>
      <x:c r="V194" s="13">
        <x:v>14</x:v>
      </x:c>
      <x:c r="W194" s="1" t="s">
        <x:v>65</x:v>
      </x:c>
      <x:c r="X194" s="8" t="s">
        <x:v>66</x:v>
      </x:c>
      <x:c r="Y194" s="1" t="str">
        <x:v>Проверено автором исследования</x:v>
      </x:c>
      <x:c r="Z194" s="8"/>
      <x:c r="AA194" s="1" t="s">
        <x:v>2436</x:v>
      </x:c>
      <x:c r="AB194" s="13">
        <x:v>2026</x:v>
      </x:c>
      <x:c r="AC194" s="3"/>
      <x:c r="AD194" s="8" t="s">
        <x:v>93</x:v>
      </x:c>
      <x:c r="AE194" s="1" t="s">
        <x:v>2437</x:v>
      </x:c>
      <x:c r="AF194" s="8" t="s">
        <x:v>118</x:v>
      </x:c>
      <x:c r="AG194" s="1" t="s">
        <x:v>2438</x:v>
      </x:c>
      <x:c r="AH194" s="8" t="str">
        <x:v>Краткая затекстовая ссылка; повторная документальная сверка выполнена</x:v>
      </x:c>
      <x:c r="AI194" s="1"/>
      <x:c r="AJ194" s="17"/>
      <x:c r="AK194" s="1" t="s">
        <x:v>73</x:v>
      </x:c>
      <x:c r="AL194" s="8" t="s">
        <x:v>74</x:v>
      </x:c>
      <x:c r="AM194" s="1"/>
      <x:c r="AN194" s="8" t="s">
        <x:v>95</x:v>
      </x:c>
      <x:c r="AO194" s="1" t="s">
        <x:v>76</x:v>
      </x:c>
      <x:c r="AP194" s="8"/>
      <x:c r="AQ194" s="1" t="s">
        <x:v>77</x:v>
      </x:c>
      <x:c r="AR194" s="8" t="str">
        <x:v>Проверка автором исследования</x:v>
      </x:c>
      <x:c r="AS194" s="1"/>
      <x:c r="AT194" s="8" t="s">
        <x:v>96</x:v>
      </x:c>
      <x:c r="AU194" s="1" t="s">
        <x:v>97</x:v>
      </x:c>
      <x:c r="AV194" s="17"/>
      <x:c r="AW194" s="1" t="s">
        <x:v>98</x:v>
      </x:c>
      <x:c r="AX194" s="8" t="s">
        <x:v>82</x:v>
      </x:c>
      <x:c r="AY194" s="8"/>
    </x:row>
    <x:row r="195" ht="69.94999694824219" customHeight="1">
      <x:c r="A195" s="1" t="s">
        <x:v>2439</x:v>
      </x:c>
      <x:c r="B195" s="8" t="s">
        <x:v>2440</x:v>
      </x:c>
      <x:c r="C195" s="1" t="s">
        <x:v>2441</x:v>
      </x:c>
      <x:c r="D195" s="8" t="s">
        <x:v>53</x:v>
      </x:c>
      <x:c r="E195" s="1" t="s">
        <x:v>54</x:v>
      </x:c>
      <x:c r="F195" s="8" t="s">
        <x:v>2442</x:v>
      </x:c>
      <x:c r="G195" s="1" t="s">
        <x:v>2443</x:v>
      </x:c>
      <x:c r="H195" s="8" t="s">
        <x:v>2171</x:v>
      </x:c>
      <x:c r="I195" s="4">
        <x:v>2024</x:v>
      </x:c>
      <x:c r="J195" s="8"/>
      <x:c r="K195" s="1" t="s">
        <x:v>975</x:v>
      </x:c>
      <x:c r="L195" s="8" t="s">
        <x:v>2444</x:v>
      </x:c>
      <x:c r="M195" s="1" t="s">
        <x:v>61</x:v>
      </x:c>
      <x:c r="N195" s="8"/>
      <x:c r="O195" s="1"/>
      <x:c r="P195" s="8"/>
      <x:c r="Q195" s="1"/>
      <x:c r="R195" s="8" t="s">
        <x:v>2445</x:v>
      </x:c>
      <x:c r="S195" s="3"/>
      <x:c r="T195" s="8" t="s">
        <x:v>63</x:v>
      </x:c>
      <x:c r="U195" s="1" t="s">
        <x:v>2435</x:v>
      </x:c>
      <x:c r="V195" s="13">
        <x:v>17</x:v>
      </x:c>
      <x:c r="W195" s="1" t="s">
        <x:v>65</x:v>
      </x:c>
      <x:c r="X195" s="8" t="s">
        <x:v>66</x:v>
      </x:c>
      <x:c r="Y195" s="1" t="str">
        <x:v>Проверено автором исследования</x:v>
      </x:c>
      <x:c r="Z195" s="8" t="s">
        <x:v>2446</x:v>
      </x:c>
      <x:c r="AA195" s="1" t="s">
        <x:v>2436</x:v>
      </x:c>
      <x:c r="AB195" s="13">
        <x:v>2026</x:v>
      </x:c>
      <x:c r="AC195" s="3">
        <x:v>46322</x:v>
      </x:c>
      <x:c r="AD195" s="8" t="s">
        <x:v>69</x:v>
      </x:c>
      <x:c r="AE195" s="1" t="s">
        <x:v>2447</x:v>
      </x:c>
      <x:c r="AF195" s="8" t="s">
        <x:v>118</x:v>
      </x:c>
      <x:c r="AG195" s="1" t="s">
        <x:v>2438</x:v>
      </x:c>
      <x:c r="AH195" s="8" t="str">
        <x:v>Краткая затекстовая ссылка; повторная документальная сверка выполнена</x:v>
      </x:c>
      <x:c r="AI195" s="1"/>
      <x:c r="AJ195" s="17"/>
      <x:c r="AK195" s="1" t="s">
        <x:v>73</x:v>
      </x:c>
      <x:c r="AL195" s="8" t="s">
        <x:v>74</x:v>
      </x:c>
      <x:c r="AM195" s="1"/>
      <x:c r="AN195" s="8" t="s">
        <x:v>75</x:v>
      </x:c>
      <x:c r="AO195" s="1" t="s">
        <x:v>76</x:v>
      </x:c>
      <x:c r="AP195" s="8"/>
      <x:c r="AQ195" s="1" t="s">
        <x:v>77</x:v>
      </x:c>
      <x:c r="AR195" s="8" t="str">
        <x:v>Проверка автором исследования</x:v>
      </x:c>
      <x:c r="AS195" s="1" t="s">
        <x:v>2448</x:v>
      </x:c>
      <x:c r="AT195" s="8" t="s">
        <x:v>2449</x:v>
      </x:c>
      <x:c r="AU195" s="1" t="s">
        <x:v>2450</x:v>
      </x:c>
      <x:c r="AV195" s="17">
        <x:v>46321</x:v>
      </x:c>
      <x:c r="AW195" s="1" t="s">
        <x:v>81</x:v>
      </x:c>
      <x:c r="AX195" s="8" t="s">
        <x:v>82</x:v>
      </x:c>
      <x:c r="AY195" s="8"/>
    </x:row>
    <x:row r="196" ht="98.0999984741211" customHeight="1">
      <x:c r="A196" s="1" t="s">
        <x:v>2451</x:v>
      </x:c>
      <x:c r="B196" s="8" t="s">
        <x:v>2452</x:v>
      </x:c>
      <x:c r="C196" s="1" t="s">
        <x:v>2453</x:v>
      </x:c>
      <x:c r="D196" s="8" t="s">
        <x:v>53</x:v>
      </x:c>
      <x:c r="E196" s="1" t="s">
        <x:v>54</x:v>
      </x:c>
      <x:c r="F196" s="8" t="s">
        <x:v>2454</x:v>
      </x:c>
      <x:c r="G196" s="1" t="s">
        <x:v>2455</x:v>
      </x:c>
      <x:c r="H196" s="8" t="s">
        <x:v>2456</x:v>
      </x:c>
      <x:c r="I196" s="4">
        <x:v>2025</x:v>
      </x:c>
      <x:c r="J196" s="8"/>
      <x:c r="K196" s="1" t="s">
        <x:v>485</x:v>
      </x:c>
      <x:c r="L196" s="8" t="s">
        <x:v>2457</x:v>
      </x:c>
      <x:c r="M196" s="1" t="s">
        <x:v>61</x:v>
      </x:c>
      <x:c r="N196" s="8"/>
      <x:c r="O196" s="1"/>
      <x:c r="P196" s="8"/>
      <x:c r="Q196" s="1"/>
      <x:c r="R196" s="8" t="s">
        <x:v>2458</x:v>
      </x:c>
      <x:c r="S196" s="3"/>
      <x:c r="T196" s="8" t="s">
        <x:v>63</x:v>
      </x:c>
      <x:c r="U196" s="1" t="s">
        <x:v>2459</x:v>
      </x:c>
      <x:c r="V196" s="13">
        <x:v>2</x:v>
      </x:c>
      <x:c r="W196" s="1" t="s">
        <x:v>65</x:v>
      </x:c>
      <x:c r="X196" s="8" t="s">
        <x:v>66</x:v>
      </x:c>
      <x:c r="Y196" s="1" t="str">
        <x:v>Проверено автором исследования</x:v>
      </x:c>
      <x:c r="Z196" s="8" t="s">
        <x:v>2460</x:v>
      </x:c>
      <x:c r="AA196" s="1" t="s">
        <x:v>2461</x:v>
      </x:c>
      <x:c r="AB196" s="13">
        <x:v>2026</x:v>
      </x:c>
      <x:c r="AC196" s="3">
        <x:v>46322</x:v>
      </x:c>
      <x:c r="AD196" s="8" t="s">
        <x:v>69</x:v>
      </x:c>
      <x:c r="AE196" s="1" t="s">
        <x:v>2462</x:v>
      </x:c>
      <x:c r="AF196" s="8" t="s">
        <x:v>118</x:v>
      </x:c>
      <x:c r="AG196" s="1" t="s">
        <x:v>2463</x:v>
      </x:c>
      <x:c r="AH196" s="8" t="str">
        <x:v>Краткая затекстовая ссылка; повторная документальная сверка выполнена</x:v>
      </x:c>
      <x:c r="AI196" s="1"/>
      <x:c r="AJ196" s="17"/>
      <x:c r="AK196" s="1" t="s">
        <x:v>73</x:v>
      </x:c>
      <x:c r="AL196" s="8" t="s">
        <x:v>74</x:v>
      </x:c>
      <x:c r="AM196" s="1"/>
      <x:c r="AN196" s="8" t="s">
        <x:v>75</x:v>
      </x:c>
      <x:c r="AO196" s="1" t="s">
        <x:v>76</x:v>
      </x:c>
      <x:c r="AP196" s="8"/>
      <x:c r="AQ196" s="1" t="s">
        <x:v>77</x:v>
      </x:c>
      <x:c r="AR196" s="8" t="str">
        <x:v>Проверка автором исследования</x:v>
      </x:c>
      <x:c r="AS196" s="1" t="s">
        <x:v>2464</x:v>
      </x:c>
      <x:c r="AT196" s="8" t="s">
        <x:v>2465</x:v>
      </x:c>
      <x:c r="AU196" s="1" t="s">
        <x:v>2466</x:v>
      </x:c>
      <x:c r="AV196" s="17">
        <x:v>46321</x:v>
      </x:c>
      <x:c r="AW196" s="1" t="s">
        <x:v>81</x:v>
      </x:c>
      <x:c r="AX196" s="8" t="s">
        <x:v>82</x:v>
      </x:c>
      <x:c r="AY196" s="8"/>
    </x:row>
    <x:row r="197" ht="69.94999694824219" customHeight="1">
      <x:c r="A197" s="1" t="s">
        <x:v>2467</x:v>
      </x:c>
      <x:c r="B197" s="8" t="s">
        <x:v>2468</x:v>
      </x:c>
      <x:c r="C197" s="1" t="s">
        <x:v>2469</x:v>
      </x:c>
      <x:c r="D197" s="8" t="s">
        <x:v>53</x:v>
      </x:c>
      <x:c r="E197" s="1" t="s">
        <x:v>54</x:v>
      </x:c>
      <x:c r="F197" s="8" t="s">
        <x:v>2470</x:v>
      </x:c>
      <x:c r="G197" s="1" t="s">
        <x:v>2471</x:v>
      </x:c>
      <x:c r="H197" s="8" t="s">
        <x:v>2472</x:v>
      </x:c>
      <x:c r="I197" s="4">
        <x:v>2020</x:v>
      </x:c>
      <x:c r="J197" s="8"/>
      <x:c r="K197" s="1" t="s">
        <x:v>2473</x:v>
      </x:c>
      <x:c r="L197" s="8" t="s">
        <x:v>2474</x:v>
      </x:c>
      <x:c r="M197" s="1" t="s">
        <x:v>61</x:v>
      </x:c>
      <x:c r="N197" s="8"/>
      <x:c r="O197" s="1"/>
      <x:c r="P197" s="8"/>
      <x:c r="Q197" s="1"/>
      <x:c r="R197" s="8" t="s">
        <x:v>2475</x:v>
      </x:c>
      <x:c r="S197" s="3"/>
      <x:c r="T197" s="8" t="s">
        <x:v>63</x:v>
      </x:c>
      <x:c r="U197" s="1" t="s">
        <x:v>2459</x:v>
      </x:c>
      <x:c r="V197" s="13">
        <x:v>7</x:v>
      </x:c>
      <x:c r="W197" s="1" t="s">
        <x:v>65</x:v>
      </x:c>
      <x:c r="X197" s="8" t="s">
        <x:v>66</x:v>
      </x:c>
      <x:c r="Y197" s="1" t="str">
        <x:v>Проверено автором исследования</x:v>
      </x:c>
      <x:c r="Z197" s="8" t="s">
        <x:v>2476</x:v>
      </x:c>
      <x:c r="AA197" s="1" t="s">
        <x:v>2461</x:v>
      </x:c>
      <x:c r="AB197" s="13">
        <x:v>2026</x:v>
      </x:c>
      <x:c r="AC197" s="3">
        <x:v>46322</x:v>
      </x:c>
      <x:c r="AD197" s="8" t="s">
        <x:v>69</x:v>
      </x:c>
      <x:c r="AE197" s="1" t="s">
        <x:v>2477</x:v>
      </x:c>
      <x:c r="AF197" s="8" t="s">
        <x:v>118</x:v>
      </x:c>
      <x:c r="AG197" s="1" t="s">
        <x:v>2463</x:v>
      </x:c>
      <x:c r="AH197" s="8" t="str">
        <x:v>Краткая затекстовая ссылка; повторная документальная сверка выполнена</x:v>
      </x:c>
      <x:c r="AI197" s="1"/>
      <x:c r="AJ197" s="17"/>
      <x:c r="AK197" s="1" t="s">
        <x:v>73</x:v>
      </x:c>
      <x:c r="AL197" s="8" t="s">
        <x:v>74</x:v>
      </x:c>
      <x:c r="AM197" s="1"/>
      <x:c r="AN197" s="8" t="s">
        <x:v>75</x:v>
      </x:c>
      <x:c r="AO197" s="1" t="s">
        <x:v>76</x:v>
      </x:c>
      <x:c r="AP197" s="8"/>
      <x:c r="AQ197" s="1" t="s">
        <x:v>77</x:v>
      </x:c>
      <x:c r="AR197" s="8" t="str">
        <x:v>Проверка автором исследования</x:v>
      </x:c>
      <x:c r="AS197" s="1" t="s">
        <x:v>2478</x:v>
      </x:c>
      <x:c r="AT197" s="8" t="s">
        <x:v>2479</x:v>
      </x:c>
      <x:c r="AU197" s="1" t="s">
        <x:v>2480</x:v>
      </x:c>
      <x:c r="AV197" s="17">
        <x:v>46321</x:v>
      </x:c>
      <x:c r="AW197" s="1" t="s">
        <x:v>81</x:v>
      </x:c>
      <x:c r="AX197" s="8" t="s">
        <x:v>82</x:v>
      </x:c>
      <x:c r="AY197" s="8"/>
    </x:row>
    <x:row r="198" ht="98.0999984741211" customHeight="1">
      <x:c r="A198" s="1" t="s">
        <x:v>2481</x:v>
      </x:c>
      <x:c r="B198" s="8" t="s">
        <x:v>2482</x:v>
      </x:c>
      <x:c r="C198" s="1" t="s">
        <x:v>2483</x:v>
      </x:c>
      <x:c r="D198" s="8" t="s">
        <x:v>53</x:v>
      </x:c>
      <x:c r="E198" s="1" t="s">
        <x:v>54</x:v>
      </x:c>
      <x:c r="F198" s="8" t="s">
        <x:v>2484</x:v>
      </x:c>
      <x:c r="G198" s="1" t="s">
        <x:v>2485</x:v>
      </x:c>
      <x:c r="H198" s="8" t="s">
        <x:v>2486</x:v>
      </x:c>
      <x:c r="I198" s="4">
        <x:v>2025</x:v>
      </x:c>
      <x:c r="J198" s="8"/>
      <x:c r="K198" s="1" t="s">
        <x:v>2487</x:v>
      </x:c>
      <x:c r="L198" s="8" t="s">
        <x:v>2488</x:v>
      </x:c>
      <x:c r="M198" s="1" t="s">
        <x:v>61</x:v>
      </x:c>
      <x:c r="N198" s="8"/>
      <x:c r="O198" s="1"/>
      <x:c r="P198" s="8"/>
      <x:c r="Q198" s="1"/>
      <x:c r="R198" s="8" t="s">
        <x:v>2489</x:v>
      </x:c>
      <x:c r="S198" s="3"/>
      <x:c r="T198" s="8" t="s">
        <x:v>63</x:v>
      </x:c>
      <x:c r="U198" s="1" t="s">
        <x:v>2459</x:v>
      </x:c>
      <x:c r="V198" s="13">
        <x:v>12</x:v>
      </x:c>
      <x:c r="W198" s="1" t="s">
        <x:v>242</x:v>
      </x:c>
      <x:c r="X198" s="8" t="s">
        <x:v>66</x:v>
      </x:c>
      <x:c r="Y198" s="1" t="str">
        <x:v>Проверено автором; дополнительно проверено Михаилом Саяпиным</x:v>
      </x:c>
      <x:c r="Z198" s="8" t="s">
        <x:v>2490</x:v>
      </x:c>
      <x:c r="AA198" s="1" t="s">
        <x:v>2461</x:v>
      </x:c>
      <x:c r="AB198" s="13">
        <x:v>2026</x:v>
      </x:c>
      <x:c r="AC198" s="3">
        <x:v>46322</x:v>
      </x:c>
      <x:c r="AD198" s="8" t="s">
        <x:v>69</x:v>
      </x:c>
      <x:c r="AE198" s="1" t="s">
        <x:v>2491</x:v>
      </x:c>
      <x:c r="AF198" s="8" t="s">
        <x:v>118</x:v>
      </x:c>
      <x:c r="AG198" s="1" t="s">
        <x:v>2463</x:v>
      </x:c>
      <x:c r="AH198" s="8" t="s">
        <x:v>144</x:v>
      </x:c>
      <x:c r="AI198" s="1" t="s">
        <x:v>145</x:v>
      </x:c>
      <x:c r="AJ198" s="17">
        <x:v>46323</x:v>
      </x:c>
      <x:c r="AK198" s="1" t="s">
        <x:v>73</x:v>
      </x:c>
      <x:c r="AL198" s="8" t="s">
        <x:v>74</x:v>
      </x:c>
      <x:c r="AM198" s="1"/>
      <x:c r="AN198" s="8" t="s">
        <x:v>75</x:v>
      </x:c>
      <x:c r="AO198" s="1" t="s">
        <x:v>76</x:v>
      </x:c>
      <x:c r="AP198" s="8"/>
      <x:c r="AQ198" s="1" t="s">
        <x:v>77</x:v>
      </x:c>
      <x:c r="AR198" s="8" t="str">
        <x:v>Проверка автором исследования; дополнительная проверка Михаилом Саяпиным; согласование 28.10.2026</x:v>
      </x:c>
      <x:c r="AS198" s="1" t="s">
        <x:v>2492</x:v>
      </x:c>
      <x:c r="AT198" s="8" t="s">
        <x:v>2493</x:v>
      </x:c>
      <x:c r="AU198" s="1" t="s">
        <x:v>2494</x:v>
      </x:c>
      <x:c r="AV198" s="17">
        <x:v>46321</x:v>
      </x:c>
      <x:c r="AW198" s="1" t="s">
        <x:v>81</x:v>
      </x:c>
      <x:c r="AX198" s="8" t="s">
        <x:v>146</x:v>
      </x:c>
      <x:c r="AY198" s="8" t="s">
        <x:v>2495</x:v>
      </x:c>
    </x:row>
    <x:row r="199" ht="69.94999694824219" customHeight="1">
      <x:c r="A199" s="1" t="s">
        <x:v>2496</x:v>
      </x:c>
      <x:c r="B199" s="8" t="s">
        <x:v>2497</x:v>
      </x:c>
      <x:c r="C199" s="1" t="s">
        <x:v>2498</x:v>
      </x:c>
      <x:c r="D199" s="8" t="s">
        <x:v>53</x:v>
      </x:c>
      <x:c r="E199" s="1" t="s">
        <x:v>54</x:v>
      </x:c>
      <x:c r="F199" s="8" t="s">
        <x:v>2499</x:v>
      </x:c>
      <x:c r="G199" s="1" t="s">
        <x:v>2500</x:v>
      </x:c>
      <x:c r="H199" s="8" t="s">
        <x:v>2501</x:v>
      </x:c>
      <x:c r="I199" s="4">
        <x:v>2021</x:v>
      </x:c>
      <x:c r="J199" s="8"/>
      <x:c r="K199" s="1" t="s">
        <x:v>190</x:v>
      </x:c>
      <x:c r="L199" s="8" t="s">
        <x:v>2502</x:v>
      </x:c>
      <x:c r="M199" s="1" t="s">
        <x:v>61</x:v>
      </x:c>
      <x:c r="N199" s="8"/>
      <x:c r="O199" s="1"/>
      <x:c r="P199" s="8"/>
      <x:c r="Q199" s="1"/>
      <x:c r="R199" s="8" t="s">
        <x:v>2503</x:v>
      </x:c>
      <x:c r="S199" s="3"/>
      <x:c r="T199" s="8" t="s">
        <x:v>63</x:v>
      </x:c>
      <x:c r="U199" s="1" t="s">
        <x:v>2459</x:v>
      </x:c>
      <x:c r="V199" s="13">
        <x:v>14</x:v>
      </x:c>
      <x:c r="W199" s="1" t="s">
        <x:v>65</x:v>
      </x:c>
      <x:c r="X199" s="8" t="s">
        <x:v>66</x:v>
      </x:c>
      <x:c r="Y199" s="1" t="str">
        <x:v>Проверено автором исследования</x:v>
      </x:c>
      <x:c r="Z199" s="8" t="s">
        <x:v>2504</x:v>
      </x:c>
      <x:c r="AA199" s="1" t="s">
        <x:v>2461</x:v>
      </x:c>
      <x:c r="AB199" s="13">
        <x:v>2026</x:v>
      </x:c>
      <x:c r="AC199" s="3">
        <x:v>46322</x:v>
      </x:c>
      <x:c r="AD199" s="8" t="s">
        <x:v>69</x:v>
      </x:c>
      <x:c r="AE199" s="1" t="s">
        <x:v>2505</x:v>
      </x:c>
      <x:c r="AF199" s="8" t="s">
        <x:v>118</x:v>
      </x:c>
      <x:c r="AG199" s="1" t="s">
        <x:v>2463</x:v>
      </x:c>
      <x:c r="AH199" s="8" t="str">
        <x:v>Краткая затекстовая ссылка; повторная документальная сверка выполнена</x:v>
      </x:c>
      <x:c r="AI199" s="1"/>
      <x:c r="AJ199" s="17"/>
      <x:c r="AK199" s="1" t="s">
        <x:v>73</x:v>
      </x:c>
      <x:c r="AL199" s="8" t="s">
        <x:v>74</x:v>
      </x:c>
      <x:c r="AM199" s="1"/>
      <x:c r="AN199" s="8" t="s">
        <x:v>75</x:v>
      </x:c>
      <x:c r="AO199" s="1" t="s">
        <x:v>76</x:v>
      </x:c>
      <x:c r="AP199" s="8"/>
      <x:c r="AQ199" s="1" t="s">
        <x:v>77</x:v>
      </x:c>
      <x:c r="AR199" s="8" t="str">
        <x:v>Проверка автором исследования</x:v>
      </x:c>
      <x:c r="AS199" s="1" t="s">
        <x:v>2506</x:v>
      </x:c>
      <x:c r="AT199" s="8" t="s">
        <x:v>2507</x:v>
      </x:c>
      <x:c r="AU199" s="1" t="s">
        <x:v>2508</x:v>
      </x:c>
      <x:c r="AV199" s="17">
        <x:v>46321</x:v>
      </x:c>
      <x:c r="AW199" s="1" t="s">
        <x:v>81</x:v>
      </x:c>
      <x:c r="AX199" s="8" t="s">
        <x:v>82</x:v>
      </x:c>
      <x:c r="AY199" s="8"/>
    </x:row>
    <x:row r="200" ht="98.0999984741211" customHeight="1">
      <x:c r="A200" s="1" t="s">
        <x:v>2509</x:v>
      </x:c>
      <x:c r="B200" s="8" t="s">
        <x:v>2510</x:v>
      </x:c>
      <x:c r="C200" s="1" t="s">
        <x:v>2511</x:v>
      </x:c>
      <x:c r="D200" s="8" t="s">
        <x:v>53</x:v>
      </x:c>
      <x:c r="E200" s="1" t="s">
        <x:v>54</x:v>
      </x:c>
      <x:c r="F200" s="8" t="s">
        <x:v>2512</x:v>
      </x:c>
      <x:c r="G200" s="1" t="s">
        <x:v>2513</x:v>
      </x:c>
      <x:c r="H200" s="8" t="s">
        <x:v>1978</x:v>
      </x:c>
      <x:c r="I200" s="4">
        <x:v>2025</x:v>
      </x:c>
      <x:c r="J200" s="8" t="s">
        <x:v>1783</x:v>
      </x:c>
      <x:c r="K200" s="1" t="s">
        <x:v>931</x:v>
      </x:c>
      <x:c r="L200" s="8" t="s">
        <x:v>191</x:v>
      </x:c>
      <x:c r="M200" s="1" t="s">
        <x:v>61</x:v>
      </x:c>
      <x:c r="N200" s="8"/>
      <x:c r="O200" s="1"/>
      <x:c r="P200" s="8"/>
      <x:c r="Q200" s="1"/>
      <x:c r="R200" s="8" t="s">
        <x:v>2514</x:v>
      </x:c>
      <x:c r="S200" s="3"/>
      <x:c r="T200" s="8" t="s">
        <x:v>63</x:v>
      </x:c>
      <x:c r="U200" s="1" t="s">
        <x:v>2515</x:v>
      </x:c>
      <x:c r="V200" s="13">
        <x:v>4</x:v>
      </x:c>
      <x:c r="W200" s="1" t="s">
        <x:v>65</x:v>
      </x:c>
      <x:c r="X200" s="8" t="s">
        <x:v>66</x:v>
      </x:c>
      <x:c r="Y200" s="1" t="str">
        <x:v>Проверено автором исследования</x:v>
      </x:c>
      <x:c r="Z200" s="8" t="s">
        <x:v>2516</x:v>
      </x:c>
      <x:c r="AA200" s="1" t="s">
        <x:v>2517</x:v>
      </x:c>
      <x:c r="AB200" s="13">
        <x:v>2026</x:v>
      </x:c>
      <x:c r="AC200" s="3">
        <x:v>46322</x:v>
      </x:c>
      <x:c r="AD200" s="8" t="s">
        <x:v>69</x:v>
      </x:c>
      <x:c r="AE200" s="1" t="s">
        <x:v>2518</x:v>
      </x:c>
      <x:c r="AF200" s="8" t="s">
        <x:v>118</x:v>
      </x:c>
      <x:c r="AG200" s="1" t="s">
        <x:v>2519</x:v>
      </x:c>
      <x:c r="AH200" s="8" t="str">
        <x:v>Краткая затекстовая ссылка; повторная документальная сверка выполнена</x:v>
      </x:c>
      <x:c r="AI200" s="1"/>
      <x:c r="AJ200" s="17"/>
      <x:c r="AK200" s="1" t="s">
        <x:v>73</x:v>
      </x:c>
      <x:c r="AL200" s="8" t="s">
        <x:v>74</x:v>
      </x:c>
      <x:c r="AM200" s="1"/>
      <x:c r="AN200" s="8" t="s">
        <x:v>75</x:v>
      </x:c>
      <x:c r="AO200" s="1" t="s">
        <x:v>76</x:v>
      </x:c>
      <x:c r="AP200" s="8"/>
      <x:c r="AQ200" s="1" t="s">
        <x:v>77</x:v>
      </x:c>
      <x:c r="AR200" s="8" t="str">
        <x:v>Проверка автором исследования</x:v>
      </x:c>
      <x:c r="AS200" s="1" t="s">
        <x:v>2520</x:v>
      </x:c>
      <x:c r="AT200" s="8" t="s">
        <x:v>2521</x:v>
      </x:c>
      <x:c r="AU200" s="1" t="s">
        <x:v>2522</x:v>
      </x:c>
      <x:c r="AV200" s="17">
        <x:v>46321</x:v>
      </x:c>
      <x:c r="AW200" s="1" t="s">
        <x:v>81</x:v>
      </x:c>
      <x:c r="AX200" s="8" t="s">
        <x:v>82</x:v>
      </x:c>
      <x:c r="AY200" s="8"/>
    </x:row>
    <x:row r="201" ht="69.94999694824219" customHeight="1">
      <x:c r="A201" s="1" t="s">
        <x:v>2523</x:v>
      </x:c>
      <x:c r="B201" s="8" t="s">
        <x:v>2524</x:v>
      </x:c>
      <x:c r="C201" s="1" t="s">
        <x:v>2525</x:v>
      </x:c>
      <x:c r="D201" s="8" t="s">
        <x:v>73</x:v>
      </x:c>
      <x:c r="E201" s="1" t="s">
        <x:v>76</x:v>
      </x:c>
      <x:c r="F201" s="8" t="s">
        <x:v>2526</x:v>
      </x:c>
      <x:c r="G201" s="1" t="s">
        <x:v>2527</x:v>
      </x:c>
      <x:c r="H201" s="8" t="s">
        <x:v>2528</x:v>
      </x:c>
      <x:c r="I201" s="4">
        <x:v>2017</x:v>
      </x:c>
      <x:c r="J201" s="8" t="s">
        <x:v>974</x:v>
      </x:c>
      <x:c r="K201" s="1" t="s">
        <x:v>239</x:v>
      </x:c>
      <x:c r="L201" s="8" t="s">
        <x:v>2529</x:v>
      </x:c>
      <x:c r="M201" s="1" t="s">
        <x:v>61</x:v>
      </x:c>
      <x:c r="N201" s="8"/>
      <x:c r="O201" s="1"/>
      <x:c r="P201" s="8"/>
      <x:c r="Q201" s="1"/>
      <x:c r="R201" s="8"/>
      <x:c r="S201" s="3"/>
      <x:c r="T201" s="8" t="s">
        <x:v>63</x:v>
      </x:c>
      <x:c r="U201" s="1" t="s">
        <x:v>2530</x:v>
      </x:c>
      <x:c r="V201" s="13">
        <x:v>2</x:v>
      </x:c>
      <x:c r="W201" s="1" t="s">
        <x:v>65</x:v>
      </x:c>
      <x:c r="X201" s="8" t="s">
        <x:v>66</x:v>
      </x:c>
      <x:c r="Y201" s="1" t="str">
        <x:v>Проверено автором исследования</x:v>
      </x:c>
      <x:c r="Z201" s="8"/>
      <x:c r="AA201" s="1" t="s">
        <x:v>2531</x:v>
      </x:c>
      <x:c r="AB201" s="13">
        <x:v>2026</x:v>
      </x:c>
      <x:c r="AC201" s="3"/>
      <x:c r="AD201" s="8" t="s">
        <x:v>93</x:v>
      </x:c>
      <x:c r="AE201" s="1" t="s">
        <x:v>2532</x:v>
      </x:c>
      <x:c r="AF201" s="8" t="s">
        <x:v>118</x:v>
      </x:c>
      <x:c r="AG201" s="1" t="s">
        <x:v>2533</x:v>
      </x:c>
      <x:c r="AH201" s="8" t="str">
        <x:v>Краткая затекстовая ссылка; повторная документальная сверка выполнена</x:v>
      </x:c>
      <x:c r="AI201" s="1"/>
      <x:c r="AJ201" s="17"/>
      <x:c r="AK201" s="1" t="s">
        <x:v>73</x:v>
      </x:c>
      <x:c r="AL201" s="8" t="s">
        <x:v>74</x:v>
      </x:c>
      <x:c r="AM201" s="1"/>
      <x:c r="AN201" s="8" t="s">
        <x:v>95</x:v>
      </x:c>
      <x:c r="AO201" s="1" t="s">
        <x:v>76</x:v>
      </x:c>
      <x:c r="AP201" s="8"/>
      <x:c r="AQ201" s="1" t="s">
        <x:v>77</x:v>
      </x:c>
      <x:c r="AR201" s="8" t="str">
        <x:v>Проверка автором исследования</x:v>
      </x:c>
      <x:c r="AS201" s="1"/>
      <x:c r="AT201" s="8" t="s">
        <x:v>96</x:v>
      </x:c>
      <x:c r="AU201" s="1" t="s">
        <x:v>97</x:v>
      </x:c>
      <x:c r="AV201" s="17"/>
      <x:c r="AW201" s="1" t="s">
        <x:v>98</x:v>
      </x:c>
      <x:c r="AX201" s="8" t="s">
        <x:v>82</x:v>
      </x:c>
      <x:c r="AY201" s="8"/>
    </x:row>
    <x:row r="202" ht="69.94999694824219" customHeight="1">
      <x:c r="A202" s="1" t="s">
        <x:v>2534</x:v>
      </x:c>
      <x:c r="B202" s="8" t="s">
        <x:v>2535</x:v>
      </x:c>
      <x:c r="C202" s="1" t="s">
        <x:v>2536</x:v>
      </x:c>
      <x:c r="D202" s="8" t="s">
        <x:v>86</x:v>
      </x:c>
      <x:c r="E202" s="1" t="s">
        <x:v>76</x:v>
      </x:c>
      <x:c r="F202" s="8" t="s">
        <x:v>2537</x:v>
      </x:c>
      <x:c r="G202" s="1" t="s">
        <x:v>2538</x:v>
      </x:c>
      <x:c r="H202" s="8"/>
      <x:c r="I202" s="4">
        <x:v>2022</x:v>
      </x:c>
      <x:c r="J202" s="8"/>
      <x:c r="K202" s="1"/>
      <x:c r="L202" s="8" t="s">
        <x:v>2539</x:v>
      </x:c>
      <x:c r="M202" s="1" t="s">
        <x:v>90</x:v>
      </x:c>
      <x:c r="N202" s="8" t="s">
        <x:v>2540</x:v>
      </x:c>
      <x:c r="O202" s="1" t="s">
        <x:v>1122</x:v>
      </x:c>
      <x:c r="P202" s="8"/>
      <x:c r="Q202" s="1"/>
      <x:c r="R202" s="8" t="s">
        <x:v>2541</x:v>
      </x:c>
      <x:c r="S202" s="3"/>
      <x:c r="T202" s="8" t="s">
        <x:v>63</x:v>
      </x:c>
      <x:c r="U202" s="1" t="s">
        <x:v>2530</x:v>
      </x:c>
      <x:c r="V202" s="13">
        <x:v>14</x:v>
      </x:c>
      <x:c r="W202" s="1" t="s">
        <x:v>65</x:v>
      </x:c>
      <x:c r="X202" s="8" t="s">
        <x:v>66</x:v>
      </x:c>
      <x:c r="Y202" s="1" t="str">
        <x:v>Проверено автором исследования</x:v>
      </x:c>
      <x:c r="Z202" s="8" t="s">
        <x:v>2542</x:v>
      </x:c>
      <x:c r="AA202" s="1" t="s">
        <x:v>2531</x:v>
      </x:c>
      <x:c r="AB202" s="13">
        <x:v>2026</x:v>
      </x:c>
      <x:c r="AC202" s="3"/>
      <x:c r="AD202" s="8" t="s">
        <x:v>93</x:v>
      </x:c>
      <x:c r="AE202" s="1"/>
      <x:c r="AF202" s="8" t="s">
        <x:v>118</x:v>
      </x:c>
      <x:c r="AG202" s="1" t="s">
        <x:v>2533</x:v>
      </x:c>
      <x:c r="AH202" s="8" t="str">
        <x:v>Краткая затекстовая ссылка; повторная документальная сверка выполнена</x:v>
      </x:c>
      <x:c r="AI202" s="1"/>
      <x:c r="AJ202" s="17"/>
      <x:c r="AK202" s="1" t="s">
        <x:v>73</x:v>
      </x:c>
      <x:c r="AL202" s="8" t="s">
        <x:v>74</x:v>
      </x:c>
      <x:c r="AM202" s="1"/>
      <x:c r="AN202" s="8" t="s">
        <x:v>95</x:v>
      </x:c>
      <x:c r="AO202" s="1" t="s">
        <x:v>76</x:v>
      </x:c>
      <x:c r="AP202" s="8"/>
      <x:c r="AQ202" s="1" t="s">
        <x:v>77</x:v>
      </x:c>
      <x:c r="AR202" s="8" t="str">
        <x:v>Проверка автором исследования</x:v>
      </x:c>
      <x:c r="AS202" s="1"/>
      <x:c r="AT202" s="8" t="s">
        <x:v>96</x:v>
      </x:c>
      <x:c r="AU202" s="1" t="s">
        <x:v>447</x:v>
      </x:c>
      <x:c r="AV202" s="17">
        <x:v>46321</x:v>
      </x:c>
      <x:c r="AW202" s="1" t="s">
        <x:v>81</x:v>
      </x:c>
      <x:c r="AX202" s="8" t="s">
        <x:v>82</x:v>
      </x:c>
      <x:c r="AY202" s="8"/>
    </x:row>
    <x:row r="203" ht="98.0999984741211" customHeight="1">
      <x:c r="A203" s="1" t="s">
        <x:v>2543</x:v>
      </x:c>
      <x:c r="B203" s="8" t="s">
        <x:v>2544</x:v>
      </x:c>
      <x:c r="C203" s="1" t="s">
        <x:v>2545</x:v>
      </x:c>
      <x:c r="D203" s="8" t="s">
        <x:v>53</x:v>
      </x:c>
      <x:c r="E203" s="1" t="s">
        <x:v>54</x:v>
      </x:c>
      <x:c r="F203" s="8" t="s">
        <x:v>2546</x:v>
      </x:c>
      <x:c r="G203" s="1" t="s">
        <x:v>2547</x:v>
      </x:c>
      <x:c r="H203" s="8" t="s">
        <x:v>2548</x:v>
      </x:c>
      <x:c r="I203" s="4">
        <x:v>2022</x:v>
      </x:c>
      <x:c r="J203" s="8" t="s">
        <x:v>2549</x:v>
      </x:c>
      <x:c r="K203" s="1" t="s">
        <x:v>190</x:v>
      </x:c>
      <x:c r="L203" s="8" t="s">
        <x:v>2550</x:v>
      </x:c>
      <x:c r="M203" s="1" t="s">
        <x:v>61</x:v>
      </x:c>
      <x:c r="N203" s="8"/>
      <x:c r="O203" s="1"/>
      <x:c r="P203" s="8"/>
      <x:c r="Q203" s="1"/>
      <x:c r="R203" s="8" t="s">
        <x:v>2551</x:v>
      </x:c>
      <x:c r="S203" s="3"/>
      <x:c r="T203" s="8" t="s">
        <x:v>63</x:v>
      </x:c>
      <x:c r="U203" s="1" t="s">
        <x:v>2552</x:v>
      </x:c>
      <x:c r="V203" s="13">
        <x:v>12</x:v>
      </x:c>
      <x:c r="W203" s="1" t="s">
        <x:v>65</x:v>
      </x:c>
      <x:c r="X203" s="8" t="s">
        <x:v>66</x:v>
      </x:c>
      <x:c r="Y203" s="1" t="str">
        <x:v>Проверено автором исследования</x:v>
      </x:c>
      <x:c r="Z203" s="8" t="s">
        <x:v>2553</x:v>
      </x:c>
      <x:c r="AA203" s="1" t="s">
        <x:v>2554</x:v>
      </x:c>
      <x:c r="AB203" s="13">
        <x:v>2026</x:v>
      </x:c>
      <x:c r="AC203" s="3">
        <x:v>46322</x:v>
      </x:c>
      <x:c r="AD203" s="8" t="s">
        <x:v>69</x:v>
      </x:c>
      <x:c r="AE203" s="1" t="s">
        <x:v>2555</x:v>
      </x:c>
      <x:c r="AF203" s="8" t="s">
        <x:v>118</x:v>
      </x:c>
      <x:c r="AG203" s="1" t="s">
        <x:v>2556</x:v>
      </x:c>
      <x:c r="AH203" s="8" t="str">
        <x:v>Краткая затекстовая ссылка; повторная документальная сверка выполнена</x:v>
      </x:c>
      <x:c r="AI203" s="1"/>
      <x:c r="AJ203" s="17"/>
      <x:c r="AK203" s="1" t="s">
        <x:v>73</x:v>
      </x:c>
      <x:c r="AL203" s="8" t="s">
        <x:v>74</x:v>
      </x:c>
      <x:c r="AM203" s="1"/>
      <x:c r="AN203" s="8" t="s">
        <x:v>75</x:v>
      </x:c>
      <x:c r="AO203" s="1" t="s">
        <x:v>76</x:v>
      </x:c>
      <x:c r="AP203" s="8"/>
      <x:c r="AQ203" s="1" t="s">
        <x:v>77</x:v>
      </x:c>
      <x:c r="AR203" s="8" t="str">
        <x:v>Проверка автором исследования</x:v>
      </x:c>
      <x:c r="AS203" s="1" t="s">
        <x:v>2557</x:v>
      </x:c>
      <x:c r="AT203" s="8" t="s">
        <x:v>2558</x:v>
      </x:c>
      <x:c r="AU203" s="1" t="s">
        <x:v>2559</x:v>
      </x:c>
      <x:c r="AV203" s="17">
        <x:v>46321</x:v>
      </x:c>
      <x:c r="AW203" s="1" t="s">
        <x:v>81</x:v>
      </x:c>
      <x:c r="AX203" s="8" t="s">
        <x:v>82</x:v>
      </x:c>
      <x:c r="AY203" s="8"/>
    </x:row>
    <x:row r="204" ht="69.94999694824219" customHeight="1">
      <x:c r="A204" s="1" t="s">
        <x:v>2560</x:v>
      </x:c>
      <x:c r="B204" s="8" t="s">
        <x:v>2561</x:v>
      </x:c>
      <x:c r="C204" s="1" t="s">
        <x:v>2562</x:v>
      </x:c>
      <x:c r="D204" s="8" t="s">
        <x:v>53</x:v>
      </x:c>
      <x:c r="E204" s="1" t="s">
        <x:v>54</x:v>
      </x:c>
      <x:c r="F204" s="8" t="s">
        <x:v>2563</x:v>
      </x:c>
      <x:c r="G204" s="1" t="s">
        <x:v>2564</x:v>
      </x:c>
      <x:c r="H204" s="8" t="s">
        <x:v>2565</x:v>
      </x:c>
      <x:c r="I204" s="4">
        <x:v>2025</x:v>
      </x:c>
      <x:c r="J204" s="8"/>
      <x:c r="K204" s="1" t="s">
        <x:v>239</x:v>
      </x:c>
      <x:c r="L204" s="8" t="s">
        <x:v>2566</x:v>
      </x:c>
      <x:c r="M204" s="1" t="s">
        <x:v>61</x:v>
      </x:c>
      <x:c r="N204" s="8"/>
      <x:c r="O204" s="1"/>
      <x:c r="P204" s="8"/>
      <x:c r="Q204" s="1"/>
      <x:c r="R204" s="8" t="s">
        <x:v>2567</x:v>
      </x:c>
      <x:c r="S204" s="3"/>
      <x:c r="T204" s="8" t="s">
        <x:v>63</x:v>
      </x:c>
      <x:c r="U204" s="1" t="s">
        <x:v>2568</x:v>
      </x:c>
      <x:c r="V204" s="13">
        <x:v>12</x:v>
      </x:c>
      <x:c r="W204" s="1" t="s">
        <x:v>65</x:v>
      </x:c>
      <x:c r="X204" s="8" t="s">
        <x:v>66</x:v>
      </x:c>
      <x:c r="Y204" s="1" t="str">
        <x:v>Проверено автором исследования</x:v>
      </x:c>
      <x:c r="Z204" s="8" t="s">
        <x:v>2569</x:v>
      </x:c>
      <x:c r="AA204" s="1" t="s">
        <x:v>2570</x:v>
      </x:c>
      <x:c r="AB204" s="13">
        <x:v>2026</x:v>
      </x:c>
      <x:c r="AC204" s="3">
        <x:v>46322</x:v>
      </x:c>
      <x:c r="AD204" s="8" t="s">
        <x:v>69</x:v>
      </x:c>
      <x:c r="AE204" s="1" t="s">
        <x:v>2571</x:v>
      </x:c>
      <x:c r="AF204" s="8" t="s">
        <x:v>118</x:v>
      </x:c>
      <x:c r="AG204" s="1" t="s">
        <x:v>2572</x:v>
      </x:c>
      <x:c r="AH204" s="8" t="str">
        <x:v>Краткая затекстовая ссылка; повторная документальная сверка выполнена</x:v>
      </x:c>
      <x:c r="AI204" s="1"/>
      <x:c r="AJ204" s="17"/>
      <x:c r="AK204" s="1" t="s">
        <x:v>73</x:v>
      </x:c>
      <x:c r="AL204" s="8" t="s">
        <x:v>74</x:v>
      </x:c>
      <x:c r="AM204" s="1"/>
      <x:c r="AN204" s="8" t="s">
        <x:v>75</x:v>
      </x:c>
      <x:c r="AO204" s="1" t="s">
        <x:v>76</x:v>
      </x:c>
      <x:c r="AP204" s="8"/>
      <x:c r="AQ204" s="1" t="s">
        <x:v>77</x:v>
      </x:c>
      <x:c r="AR204" s="8" t="str">
        <x:v>Проверка автором исследования</x:v>
      </x:c>
      <x:c r="AS204" s="1" t="s">
        <x:v>2573</x:v>
      </x:c>
      <x:c r="AT204" s="8" t="s">
        <x:v>2574</x:v>
      </x:c>
      <x:c r="AU204" s="1" t="s">
        <x:v>2575</x:v>
      </x:c>
      <x:c r="AV204" s="17">
        <x:v>46321</x:v>
      </x:c>
      <x:c r="AW204" s="1" t="s">
        <x:v>81</x:v>
      </x:c>
      <x:c r="AX204" s="8" t="s">
        <x:v>82</x:v>
      </x:c>
      <x:c r="AY204" s="8"/>
    </x:row>
    <x:row r="205" ht="69.94999694824219" customHeight="1">
      <x:c r="A205" s="1" t="s">
        <x:v>2576</x:v>
      </x:c>
      <x:c r="B205" s="8" t="s">
        <x:v>2577</x:v>
      </x:c>
      <x:c r="C205" s="1" t="s">
        <x:v>2578</x:v>
      </x:c>
      <x:c r="D205" s="8" t="s">
        <x:v>73</x:v>
      </x:c>
      <x:c r="E205" s="1" t="s">
        <x:v>76</x:v>
      </x:c>
      <x:c r="F205" s="8" t="s">
        <x:v>2579</x:v>
      </x:c>
      <x:c r="G205" s="1" t="s">
        <x:v>2580</x:v>
      </x:c>
      <x:c r="H205" s="8" t="s">
        <x:v>2581</x:v>
      </x:c>
      <x:c r="I205" s="4">
        <x:v>2017</x:v>
      </x:c>
      <x:c r="J205" s="8" t="s">
        <x:v>2582</x:v>
      </x:c>
      <x:c r="K205" s="1" t="s">
        <x:v>416</x:v>
      </x:c>
      <x:c r="L205" s="8" t="s">
        <x:v>2583</x:v>
      </x:c>
      <x:c r="M205" s="1" t="s">
        <x:v>61</x:v>
      </x:c>
      <x:c r="N205" s="8"/>
      <x:c r="O205" s="1"/>
      <x:c r="P205" s="8"/>
      <x:c r="Q205" s="1"/>
      <x:c r="R205" s="8"/>
      <x:c r="S205" s="3"/>
      <x:c r="T205" s="8" t="s">
        <x:v>63</x:v>
      </x:c>
      <x:c r="U205" s="1" t="s">
        <x:v>2584</x:v>
      </x:c>
      <x:c r="V205" s="13">
        <x:v>8</x:v>
      </x:c>
      <x:c r="W205" s="1" t="s">
        <x:v>65</x:v>
      </x:c>
      <x:c r="X205" s="8" t="s">
        <x:v>66</x:v>
      </x:c>
      <x:c r="Y205" s="1" t="str">
        <x:v>Проверено автором исследования</x:v>
      </x:c>
      <x:c r="Z205" s="8" t="s">
        <x:v>2585</x:v>
      </x:c>
      <x:c r="AA205" s="1" t="s">
        <x:v>2586</x:v>
      </x:c>
      <x:c r="AB205" s="13">
        <x:v>2026</x:v>
      </x:c>
      <x:c r="AC205" s="3"/>
      <x:c r="AD205" s="8" t="s">
        <x:v>93</x:v>
      </x:c>
      <x:c r="AE205" s="1" t="s">
        <x:v>2587</x:v>
      </x:c>
      <x:c r="AF205" s="8" t="s">
        <x:v>118</x:v>
      </x:c>
      <x:c r="AG205" s="1" t="s">
        <x:v>2588</x:v>
      </x:c>
      <x:c r="AH205" s="8" t="str">
        <x:v>Краткая затекстовая ссылка; повторная документальная сверка выполнена</x:v>
      </x:c>
      <x:c r="AI205" s="1"/>
      <x:c r="AJ205" s="17"/>
      <x:c r="AK205" s="1" t="s">
        <x:v>73</x:v>
      </x:c>
      <x:c r="AL205" s="8" t="s">
        <x:v>74</x:v>
      </x:c>
      <x:c r="AM205" s="1"/>
      <x:c r="AN205" s="8" t="s">
        <x:v>95</x:v>
      </x:c>
      <x:c r="AO205" s="1" t="s">
        <x:v>76</x:v>
      </x:c>
      <x:c r="AP205" s="8"/>
      <x:c r="AQ205" s="1" t="s">
        <x:v>77</x:v>
      </x:c>
      <x:c r="AR205" s="8" t="str">
        <x:v>Проверка автором исследования</x:v>
      </x:c>
      <x:c r="AS205" s="1"/>
      <x:c r="AT205" s="8" t="s">
        <x:v>96</x:v>
      </x:c>
      <x:c r="AU205" s="1" t="s">
        <x:v>97</x:v>
      </x:c>
      <x:c r="AV205" s="17"/>
      <x:c r="AW205" s="1" t="s">
        <x:v>98</x:v>
      </x:c>
      <x:c r="AX205" s="8" t="s">
        <x:v>82</x:v>
      </x:c>
      <x:c r="AY205" s="8"/>
    </x:row>
    <x:row r="206" ht="69.94999694824219" customHeight="1">
      <x:c r="A206" s="1" t="s">
        <x:v>2589</x:v>
      </x:c>
      <x:c r="B206" s="8" t="s">
        <x:v>2590</x:v>
      </x:c>
      <x:c r="C206" s="1" t="s">
        <x:v>2591</x:v>
      </x:c>
      <x:c r="D206" s="8" t="s">
        <x:v>73</x:v>
      </x:c>
      <x:c r="E206" s="1" t="s">
        <x:v>76</x:v>
      </x:c>
      <x:c r="F206" s="8" t="s">
        <x:v>2592</x:v>
      </x:c>
      <x:c r="G206" s="1" t="s">
        <x:v>2593</x:v>
      </x:c>
      <x:c r="H206" s="8" t="s">
        <x:v>2581</x:v>
      </x:c>
      <x:c r="I206" s="4">
        <x:v>2017</x:v>
      </x:c>
      <x:c r="J206" s="8" t="s">
        <x:v>2582</x:v>
      </x:c>
      <x:c r="K206" s="1" t="s">
        <x:v>416</x:v>
      </x:c>
      <x:c r="L206" s="8" t="s">
        <x:v>2594</x:v>
      </x:c>
      <x:c r="M206" s="1" t="s">
        <x:v>61</x:v>
      </x:c>
      <x:c r="N206" s="8"/>
      <x:c r="O206" s="1"/>
      <x:c r="P206" s="8"/>
      <x:c r="Q206" s="1"/>
      <x:c r="R206" s="8"/>
      <x:c r="S206" s="3"/>
      <x:c r="T206" s="8" t="s">
        <x:v>63</x:v>
      </x:c>
      <x:c r="U206" s="1" t="s">
        <x:v>2595</x:v>
      </x:c>
      <x:c r="V206" s="13">
        <x:v>2</x:v>
      </x:c>
      <x:c r="W206" s="1" t="s">
        <x:v>65</x:v>
      </x:c>
      <x:c r="X206" s="8" t="s">
        <x:v>66</x:v>
      </x:c>
      <x:c r="Y206" s="1" t="str">
        <x:v>Проверено автором исследования</x:v>
      </x:c>
      <x:c r="Z206" s="8" t="s">
        <x:v>2596</x:v>
      </x:c>
      <x:c r="AA206" s="1" t="s">
        <x:v>2597</x:v>
      </x:c>
      <x:c r="AB206" s="13">
        <x:v>2026</x:v>
      </x:c>
      <x:c r="AC206" s="3"/>
      <x:c r="AD206" s="8" t="s">
        <x:v>93</x:v>
      </x:c>
      <x:c r="AE206" s="1" t="s">
        <x:v>2598</x:v>
      </x:c>
      <x:c r="AF206" s="8" t="s">
        <x:v>118</x:v>
      </x:c>
      <x:c r="AG206" s="1" t="s">
        <x:v>2599</x:v>
      </x:c>
      <x:c r="AH206" s="8" t="str">
        <x:v>Краткая затекстовая ссылка; повторная документальная сверка выполнена</x:v>
      </x:c>
      <x:c r="AI206" s="1"/>
      <x:c r="AJ206" s="17"/>
      <x:c r="AK206" s="1" t="s">
        <x:v>73</x:v>
      </x:c>
      <x:c r="AL206" s="8" t="s">
        <x:v>74</x:v>
      </x:c>
      <x:c r="AM206" s="1"/>
      <x:c r="AN206" s="8" t="s">
        <x:v>95</x:v>
      </x:c>
      <x:c r="AO206" s="1" t="s">
        <x:v>76</x:v>
      </x:c>
      <x:c r="AP206" s="8"/>
      <x:c r="AQ206" s="1" t="s">
        <x:v>77</x:v>
      </x:c>
      <x:c r="AR206" s="8" t="str">
        <x:v>Проверка автором исследования</x:v>
      </x:c>
      <x:c r="AS206" s="1"/>
      <x:c r="AT206" s="8" t="s">
        <x:v>96</x:v>
      </x:c>
      <x:c r="AU206" s="1" t="s">
        <x:v>97</x:v>
      </x:c>
      <x:c r="AV206" s="17"/>
      <x:c r="AW206" s="1" t="s">
        <x:v>98</x:v>
      </x:c>
      <x:c r="AX206" s="8" t="s">
        <x:v>82</x:v>
      </x:c>
      <x:c r="AY206" s="8"/>
    </x:row>
    <x:row r="207" ht="69.94999694824219" customHeight="1">
      <x:c r="A207" s="1" t="s">
        <x:v>2600</x:v>
      </x:c>
      <x:c r="B207" s="8" t="s">
        <x:v>2601</x:v>
      </x:c>
      <x:c r="C207" s="1" t="s">
        <x:v>2602</x:v>
      </x:c>
      <x:c r="D207" s="8" t="s">
        <x:v>73</x:v>
      </x:c>
      <x:c r="E207" s="1" t="s">
        <x:v>76</x:v>
      </x:c>
      <x:c r="F207" s="8" t="s">
        <x:v>2603</x:v>
      </x:c>
      <x:c r="G207" s="1" t="s">
        <x:v>2604</x:v>
      </x:c>
      <x:c r="H207" s="8" t="s">
        <x:v>2605</x:v>
      </x:c>
      <x:c r="I207" s="4">
        <x:v>2015</x:v>
      </x:c>
      <x:c r="J207" s="8"/>
      <x:c r="K207" s="1" t="s">
        <x:v>190</x:v>
      </x:c>
      <x:c r="L207" s="8" t="s">
        <x:v>2606</x:v>
      </x:c>
      <x:c r="M207" s="1" t="s">
        <x:v>61</x:v>
      </x:c>
      <x:c r="N207" s="8"/>
      <x:c r="O207" s="1"/>
      <x:c r="P207" s="8"/>
      <x:c r="Q207" s="1"/>
      <x:c r="R207" s="8"/>
      <x:c r="S207" s="3"/>
      <x:c r="T207" s="8" t="s">
        <x:v>63</x:v>
      </x:c>
      <x:c r="U207" s="1" t="s">
        <x:v>2607</x:v>
      </x:c>
      <x:c r="V207" s="13">
        <x:v>10</x:v>
      </x:c>
      <x:c r="W207" s="1" t="s">
        <x:v>65</x:v>
      </x:c>
      <x:c r="X207" s="8" t="s">
        <x:v>66</x:v>
      </x:c>
      <x:c r="Y207" s="1" t="str">
        <x:v>Проверено автором исследования</x:v>
      </x:c>
      <x:c r="Z207" s="8"/>
      <x:c r="AA207" s="1" t="s">
        <x:v>2608</x:v>
      </x:c>
      <x:c r="AB207" s="13">
        <x:v>2026</x:v>
      </x:c>
      <x:c r="AC207" s="3"/>
      <x:c r="AD207" s="8" t="s">
        <x:v>93</x:v>
      </x:c>
      <x:c r="AE207" s="1" t="s">
        <x:v>2609</x:v>
      </x:c>
      <x:c r="AF207" s="8" t="s">
        <x:v>118</x:v>
      </x:c>
      <x:c r="AG207" s="1" t="s">
        <x:v>2610</x:v>
      </x:c>
      <x:c r="AH207" s="8" t="str">
        <x:v>Краткая затекстовая ссылка; повторная документальная сверка выполнена</x:v>
      </x:c>
      <x:c r="AI207" s="1"/>
      <x:c r="AJ207" s="17"/>
      <x:c r="AK207" s="1" t="s">
        <x:v>73</x:v>
      </x:c>
      <x:c r="AL207" s="8" t="s">
        <x:v>74</x:v>
      </x:c>
      <x:c r="AM207" s="1"/>
      <x:c r="AN207" s="8" t="s">
        <x:v>95</x:v>
      </x:c>
      <x:c r="AO207" s="1" t="s">
        <x:v>76</x:v>
      </x:c>
      <x:c r="AP207" s="8"/>
      <x:c r="AQ207" s="1" t="s">
        <x:v>77</x:v>
      </x:c>
      <x:c r="AR207" s="8" t="str">
        <x:v>Проверка автором исследования</x:v>
      </x:c>
      <x:c r="AS207" s="1"/>
      <x:c r="AT207" s="8" t="s">
        <x:v>96</x:v>
      </x:c>
      <x:c r="AU207" s="1" t="s">
        <x:v>97</x:v>
      </x:c>
      <x:c r="AV207" s="17"/>
      <x:c r="AW207" s="1" t="s">
        <x:v>98</x:v>
      </x:c>
      <x:c r="AX207" s="8" t="s">
        <x:v>82</x:v>
      </x:c>
      <x:c r="AY207" s="8"/>
    </x:row>
    <x:row r="208" ht="69.94999694824219" customHeight="1">
      <x:c r="A208" s="1" t="s">
        <x:v>2611</x:v>
      </x:c>
      <x:c r="B208" s="8" t="s">
        <x:v>2612</x:v>
      </x:c>
      <x:c r="C208" s="1" t="s">
        <x:v>2613</x:v>
      </x:c>
      <x:c r="D208" s="8" t="s">
        <x:v>73</x:v>
      </x:c>
      <x:c r="E208" s="1" t="s">
        <x:v>76</x:v>
      </x:c>
      <x:c r="F208" s="8" t="s">
        <x:v>2614</x:v>
      </x:c>
      <x:c r="G208" s="1" t="s">
        <x:v>2615</x:v>
      </x:c>
      <x:c r="H208" s="8" t="s">
        <x:v>2616</x:v>
      </x:c>
      <x:c r="I208" s="4">
        <x:v>2024</x:v>
      </x:c>
      <x:c r="J208" s="8" t="s">
        <x:v>2617</x:v>
      </x:c>
      <x:c r="K208" s="1" t="s">
        <x:v>416</x:v>
      </x:c>
      <x:c r="L208" s="8" t="s">
        <x:v>2618</x:v>
      </x:c>
      <x:c r="M208" s="1" t="s">
        <x:v>61</x:v>
      </x:c>
      <x:c r="N208" s="8"/>
      <x:c r="O208" s="1"/>
      <x:c r="P208" s="8"/>
      <x:c r="Q208" s="1"/>
      <x:c r="R208" s="8"/>
      <x:c r="S208" s="3"/>
      <x:c r="T208" s="8" t="s">
        <x:v>63</x:v>
      </x:c>
      <x:c r="U208" s="1" t="s">
        <x:v>2607</x:v>
      </x:c>
      <x:c r="V208" s="13">
        <x:v>14</x:v>
      </x:c>
      <x:c r="W208" s="1" t="s">
        <x:v>65</x:v>
      </x:c>
      <x:c r="X208" s="8" t="s">
        <x:v>66</x:v>
      </x:c>
      <x:c r="Y208" s="1" t="str">
        <x:v>Проверено автором исследования</x:v>
      </x:c>
      <x:c r="Z208" s="8" t="s">
        <x:v>2619</x:v>
      </x:c>
      <x:c r="AA208" s="1" t="s">
        <x:v>2608</x:v>
      </x:c>
      <x:c r="AB208" s="13">
        <x:v>2026</x:v>
      </x:c>
      <x:c r="AC208" s="3"/>
      <x:c r="AD208" s="8" t="s">
        <x:v>93</x:v>
      </x:c>
      <x:c r="AE208" s="1" t="s">
        <x:v>2620</x:v>
      </x:c>
      <x:c r="AF208" s="8" t="s">
        <x:v>118</x:v>
      </x:c>
      <x:c r="AG208" s="1" t="s">
        <x:v>2610</x:v>
      </x:c>
      <x:c r="AH208" s="8" t="str">
        <x:v>Краткая затекстовая ссылка; повторная документальная сверка выполнена</x:v>
      </x:c>
      <x:c r="AI208" s="1"/>
      <x:c r="AJ208" s="17"/>
      <x:c r="AK208" s="1" t="s">
        <x:v>73</x:v>
      </x:c>
      <x:c r="AL208" s="8" t="s">
        <x:v>74</x:v>
      </x:c>
      <x:c r="AM208" s="1"/>
      <x:c r="AN208" s="8" t="s">
        <x:v>95</x:v>
      </x:c>
      <x:c r="AO208" s="1" t="s">
        <x:v>76</x:v>
      </x:c>
      <x:c r="AP208" s="8"/>
      <x:c r="AQ208" s="1" t="s">
        <x:v>77</x:v>
      </x:c>
      <x:c r="AR208" s="8" t="str">
        <x:v>Проверка автором исследования</x:v>
      </x:c>
      <x:c r="AS208" s="1"/>
      <x:c r="AT208" s="8" t="s">
        <x:v>96</x:v>
      </x:c>
      <x:c r="AU208" s="1" t="s">
        <x:v>97</x:v>
      </x:c>
      <x:c r="AV208" s="17"/>
      <x:c r="AW208" s="1" t="s">
        <x:v>98</x:v>
      </x:c>
      <x:c r="AX208" s="8" t="s">
        <x:v>82</x:v>
      </x:c>
      <x:c r="AY208" s="8"/>
    </x:row>
    <x:row r="209" ht="69.94999694824219" customHeight="1">
      <x:c r="A209" s="1" t="s">
        <x:v>2621</x:v>
      </x:c>
      <x:c r="B209" s="8" t="s">
        <x:v>2622</x:v>
      </x:c>
      <x:c r="C209" s="1" t="s">
        <x:v>2623</x:v>
      </x:c>
      <x:c r="D209" s="8" t="s">
        <x:v>73</x:v>
      </x:c>
      <x:c r="E209" s="1" t="s">
        <x:v>76</x:v>
      </x:c>
      <x:c r="F209" s="8" t="s">
        <x:v>2624</x:v>
      </x:c>
      <x:c r="G209" s="1" t="s">
        <x:v>2625</x:v>
      </x:c>
      <x:c r="H209" s="8" t="s">
        <x:v>2626</x:v>
      </x:c>
      <x:c r="I209" s="4">
        <x:v>1994</x:v>
      </x:c>
      <x:c r="J209" s="8"/>
      <x:c r="K209" s="1" t="s">
        <x:v>190</x:v>
      </x:c>
      <x:c r="L209" s="8" t="s">
        <x:v>2627</x:v>
      </x:c>
      <x:c r="M209" s="1" t="s">
        <x:v>61</x:v>
      </x:c>
      <x:c r="N209" s="8"/>
      <x:c r="O209" s="1"/>
      <x:c r="P209" s="8"/>
      <x:c r="Q209" s="1"/>
      <x:c r="R209" s="8"/>
      <x:c r="S209" s="3"/>
      <x:c r="T209" s="8" t="s">
        <x:v>63</x:v>
      </x:c>
      <x:c r="U209" s="1" t="s">
        <x:v>2628</x:v>
      </x:c>
      <x:c r="V209" s="13">
        <x:v>16</x:v>
      </x:c>
      <x:c r="W209" s="1" t="s">
        <x:v>65</x:v>
      </x:c>
      <x:c r="X209" s="8" t="s">
        <x:v>66</x:v>
      </x:c>
      <x:c r="Y209" s="1" t="str">
        <x:v>Проверено автором исследования</x:v>
      </x:c>
      <x:c r="Z209" s="8"/>
      <x:c r="AA209" s="1" t="s">
        <x:v>2629</x:v>
      </x:c>
      <x:c r="AB209" s="13">
        <x:v>2026</x:v>
      </x:c>
      <x:c r="AC209" s="3"/>
      <x:c r="AD209" s="8" t="s">
        <x:v>93</x:v>
      </x:c>
      <x:c r="AE209" s="1"/>
      <x:c r="AF209" s="8" t="s">
        <x:v>118</x:v>
      </x:c>
      <x:c r="AG209" s="1" t="s">
        <x:v>2630</x:v>
      </x:c>
      <x:c r="AH209" s="8" t="str">
        <x:v>Краткая затекстовая ссылка; повторная документальная сверка выполнена</x:v>
      </x:c>
      <x:c r="AI209" s="1"/>
      <x:c r="AJ209" s="17"/>
      <x:c r="AK209" s="1" t="s">
        <x:v>73</x:v>
      </x:c>
      <x:c r="AL209" s="8" t="s">
        <x:v>74</x:v>
      </x:c>
      <x:c r="AM209" s="1"/>
      <x:c r="AN209" s="8" t="s">
        <x:v>95</x:v>
      </x:c>
      <x:c r="AO209" s="1" t="s">
        <x:v>76</x:v>
      </x:c>
      <x:c r="AP209" s="8"/>
      <x:c r="AQ209" s="1" t="s">
        <x:v>77</x:v>
      </x:c>
      <x:c r="AR209" s="8" t="str">
        <x:v>Проверка автором исследования</x:v>
      </x:c>
      <x:c r="AS209" s="1"/>
      <x:c r="AT209" s="8" t="s">
        <x:v>96</x:v>
      </x:c>
      <x:c r="AU209" s="1" t="s">
        <x:v>97</x:v>
      </x:c>
      <x:c r="AV209" s="17"/>
      <x:c r="AW209" s="1" t="s">
        <x:v>98</x:v>
      </x:c>
      <x:c r="AX209" s="8" t="s">
        <x:v>82</x:v>
      </x:c>
      <x:c r="AY209" s="8"/>
    </x:row>
    <x:row r="210" ht="69.94999694824219" customHeight="1">
      <x:c r="A210" s="1" t="s">
        <x:v>2631</x:v>
      </x:c>
      <x:c r="B210" s="8" t="s">
        <x:v>2632</x:v>
      </x:c>
      <x:c r="C210" s="1" t="s">
        <x:v>2633</x:v>
      </x:c>
      <x:c r="D210" s="8" t="s">
        <x:v>73</x:v>
      </x:c>
      <x:c r="E210" s="1" t="s">
        <x:v>76</x:v>
      </x:c>
      <x:c r="F210" s="8" t="s">
        <x:v>2634</x:v>
      </x:c>
      <x:c r="G210" s="1" t="s">
        <x:v>2635</x:v>
      </x:c>
      <x:c r="H210" s="8" t="s">
        <x:v>2636</x:v>
      </x:c>
      <x:c r="I210" s="4">
        <x:v>2021</x:v>
      </x:c>
      <x:c r="J210" s="8" t="s">
        <x:v>2637</x:v>
      </x:c>
      <x:c r="K210" s="1" t="s">
        <x:v>537</x:v>
      </x:c>
      <x:c r="L210" s="8" t="s">
        <x:v>2638</x:v>
      </x:c>
      <x:c r="M210" s="1" t="s">
        <x:v>61</x:v>
      </x:c>
      <x:c r="N210" s="8"/>
      <x:c r="O210" s="1"/>
      <x:c r="P210" s="8"/>
      <x:c r="Q210" s="1"/>
      <x:c r="R210" s="8"/>
      <x:c r="S210" s="3"/>
      <x:c r="T210" s="8" t="s">
        <x:v>63</x:v>
      </x:c>
      <x:c r="U210" s="1" t="s">
        <x:v>2639</x:v>
      </x:c>
      <x:c r="V210" s="13">
        <x:v>21</x:v>
      </x:c>
      <x:c r="W210" s="1" t="s">
        <x:v>140</x:v>
      </x:c>
      <x:c r="X210" s="8" t="s">
        <x:v>66</x:v>
      </x:c>
      <x:c r="Y210" s="1" t="str">
        <x:v>Проверено автором; дополнительно проверено Михаилом Саяпиным</x:v>
      </x:c>
      <x:c r="Z210" s="8" t="s">
        <x:v>2640</x:v>
      </x:c>
      <x:c r="AA210" s="1" t="s">
        <x:v>2641</x:v>
      </x:c>
      <x:c r="AB210" s="13">
        <x:v>2026</x:v>
      </x:c>
      <x:c r="AC210" s="3"/>
      <x:c r="AD210" s="8" t="s">
        <x:v>93</x:v>
      </x:c>
      <x:c r="AE210" s="1" t="s">
        <x:v>2642</x:v>
      </x:c>
      <x:c r="AF210" s="8" t="s">
        <x:v>118</x:v>
      </x:c>
      <x:c r="AG210" s="1" t="s">
        <x:v>2643</x:v>
      </x:c>
      <x:c r="AH210" s="8" t="s">
        <x:v>144</x:v>
      </x:c>
      <x:c r="AI210" s="1" t="s">
        <x:v>145</x:v>
      </x:c>
      <x:c r="AJ210" s="17">
        <x:v>46323</x:v>
      </x:c>
      <x:c r="AK210" s="1" t="s">
        <x:v>73</x:v>
      </x:c>
      <x:c r="AL210" s="8" t="s">
        <x:v>74</x:v>
      </x:c>
      <x:c r="AM210" s="1"/>
      <x:c r="AN210" s="8" t="s">
        <x:v>95</x:v>
      </x:c>
      <x:c r="AO210" s="1" t="s">
        <x:v>76</x:v>
      </x:c>
      <x:c r="AP210" s="8"/>
      <x:c r="AQ210" s="1" t="s">
        <x:v>77</x:v>
      </x:c>
      <x:c r="AR210" s="8" t="str">
        <x:v>Проверка автором исследования; дополнительная проверка Михаилом Саяпиным; согласование 28.10.2026</x:v>
      </x:c>
      <x:c r="AS210" s="1"/>
      <x:c r="AT210" s="8" t="s">
        <x:v>96</x:v>
      </x:c>
      <x:c r="AU210" s="1" t="s">
        <x:v>97</x:v>
      </x:c>
      <x:c r="AV210" s="17"/>
      <x:c r="AW210" s="1" t="s">
        <x:v>98</x:v>
      </x:c>
      <x:c r="AX210" s="8" t="s">
        <x:v>146</x:v>
      </x:c>
      <x:c r="AY210" s="8" t="s">
        <x:v>2644</x:v>
      </x:c>
    </x:row>
    <x:row r="211" ht="69.94999694824219" customHeight="1">
      <x:c r="A211" s="1" t="s">
        <x:v>2645</x:v>
      </x:c>
      <x:c r="B211" s="8" t="s">
        <x:v>2646</x:v>
      </x:c>
      <x:c r="C211" s="1" t="s">
        <x:v>2647</x:v>
      </x:c>
      <x:c r="D211" s="8" t="s">
        <x:v>53</x:v>
      </x:c>
      <x:c r="E211" s="1" t="s">
        <x:v>54</x:v>
      </x:c>
      <x:c r="F211" s="8" t="s">
        <x:v>2648</x:v>
      </x:c>
      <x:c r="G211" s="1" t="s">
        <x:v>2649</x:v>
      </x:c>
      <x:c r="H211" s="8" t="s">
        <x:v>2650</x:v>
      </x:c>
      <x:c r="I211" s="4">
        <x:v>2015</x:v>
      </x:c>
      <x:c r="J211" s="8"/>
      <x:c r="K211" s="1" t="s">
        <x:v>975</x:v>
      </x:c>
      <x:c r="L211" s="8" t="s">
        <x:v>2651</x:v>
      </x:c>
      <x:c r="M211" s="1" t="s">
        <x:v>61</x:v>
      </x:c>
      <x:c r="N211" s="8"/>
      <x:c r="O211" s="1"/>
      <x:c r="P211" s="8"/>
      <x:c r="Q211" s="1"/>
      <x:c r="R211" s="8" t="s">
        <x:v>2652</x:v>
      </x:c>
      <x:c r="S211" s="3"/>
      <x:c r="T211" s="8" t="s">
        <x:v>63</x:v>
      </x:c>
      <x:c r="U211" s="1" t="s">
        <x:v>2653</x:v>
      </x:c>
      <x:c r="V211" s="13">
        <x:v>1</x:v>
      </x:c>
      <x:c r="W211" s="1" t="s">
        <x:v>242</x:v>
      </x:c>
      <x:c r="X211" s="8" t="s">
        <x:v>66</x:v>
      </x:c>
      <x:c r="Y211" s="1" t="str">
        <x:v>Проверено автором; дополнительно проверено Михаилом Саяпиным</x:v>
      </x:c>
      <x:c r="Z211" s="8" t="s">
        <x:v>2654</x:v>
      </x:c>
      <x:c r="AA211" s="1" t="s">
        <x:v>2655</x:v>
      </x:c>
      <x:c r="AB211" s="13">
        <x:v>2026</x:v>
      </x:c>
      <x:c r="AC211" s="3">
        <x:v>46322</x:v>
      </x:c>
      <x:c r="AD211" s="8" t="s">
        <x:v>69</x:v>
      </x:c>
      <x:c r="AE211" s="1" t="s">
        <x:v>2656</x:v>
      </x:c>
      <x:c r="AF211" s="8" t="s">
        <x:v>118</x:v>
      </x:c>
      <x:c r="AG211" s="1" t="s">
        <x:v>2657</x:v>
      </x:c>
      <x:c r="AH211" s="8" t="s">
        <x:v>144</x:v>
      </x:c>
      <x:c r="AI211" s="1" t="s">
        <x:v>145</x:v>
      </x:c>
      <x:c r="AJ211" s="17">
        <x:v>46323</x:v>
      </x:c>
      <x:c r="AK211" s="1" t="s">
        <x:v>73</x:v>
      </x:c>
      <x:c r="AL211" s="8" t="s">
        <x:v>74</x:v>
      </x:c>
      <x:c r="AM211" s="1"/>
      <x:c r="AN211" s="8" t="s">
        <x:v>75</x:v>
      </x:c>
      <x:c r="AO211" s="1" t="s">
        <x:v>76</x:v>
      </x:c>
      <x:c r="AP211" s="8"/>
      <x:c r="AQ211" s="1" t="s">
        <x:v>77</x:v>
      </x:c>
      <x:c r="AR211" s="8" t="str">
        <x:v>Проверка автором исследования; дополнительная проверка Михаилом Саяпиным; согласование 28.10.2026</x:v>
      </x:c>
      <x:c r="AS211" s="1" t="s">
        <x:v>2658</x:v>
      </x:c>
      <x:c r="AT211" s="8" t="s">
        <x:v>2659</x:v>
      </x:c>
      <x:c r="AU211" s="1" t="s">
        <x:v>2660</x:v>
      </x:c>
      <x:c r="AV211" s="17">
        <x:v>46321</x:v>
      </x:c>
      <x:c r="AW211" s="1" t="s">
        <x:v>81</x:v>
      </x:c>
      <x:c r="AX211" s="8" t="s">
        <x:v>146</x:v>
      </x:c>
      <x:c r="AY211" s="8" t="s">
        <x:v>2661</x:v>
      </x:c>
    </x:row>
    <x:row r="212" ht="84" customHeight="1">
      <x:c r="A212" s="1" t="s">
        <x:v>2662</x:v>
      </x:c>
      <x:c r="B212" s="8" t="s">
        <x:v>2663</x:v>
      </x:c>
      <x:c r="C212" s="1" t="s">
        <x:v>2664</x:v>
      </x:c>
      <x:c r="D212" s="8" t="s">
        <x:v>53</x:v>
      </x:c>
      <x:c r="E212" s="1" t="s">
        <x:v>54</x:v>
      </x:c>
      <x:c r="F212" s="8" t="s">
        <x:v>2665</x:v>
      </x:c>
      <x:c r="G212" s="1" t="s">
        <x:v>2666</x:v>
      </x:c>
      <x:c r="H212" s="8" t="s">
        <x:v>2616</x:v>
      </x:c>
      <x:c r="I212" s="4">
        <x:v>2021</x:v>
      </x:c>
      <x:c r="J212" s="8" t="s">
        <x:v>771</x:v>
      </x:c>
      <x:c r="K212" s="1" t="s">
        <x:v>416</x:v>
      </x:c>
      <x:c r="L212" s="8" t="s">
        <x:v>2667</x:v>
      </x:c>
      <x:c r="M212" s="1" t="s">
        <x:v>61</x:v>
      </x:c>
      <x:c r="N212" s="8"/>
      <x:c r="O212" s="1"/>
      <x:c r="P212" s="8"/>
      <x:c r="Q212" s="1"/>
      <x:c r="R212" s="8" t="s">
        <x:v>2668</x:v>
      </x:c>
      <x:c r="S212" s="3"/>
      <x:c r="T212" s="8" t="s">
        <x:v>63</x:v>
      </x:c>
      <x:c r="U212" s="1" t="s">
        <x:v>2669</x:v>
      </x:c>
      <x:c r="V212" s="13">
        <x:v>8</x:v>
      </x:c>
      <x:c r="W212" s="1" t="s">
        <x:v>65</x:v>
      </x:c>
      <x:c r="X212" s="8" t="s">
        <x:v>66</x:v>
      </x:c>
      <x:c r="Y212" s="1" t="str">
        <x:v>Проверено автором исследования</x:v>
      </x:c>
      <x:c r="Z212" s="8" t="s">
        <x:v>2670</x:v>
      </x:c>
      <x:c r="AA212" s="1" t="s">
        <x:v>2671</x:v>
      </x:c>
      <x:c r="AB212" s="13">
        <x:v>2026</x:v>
      </x:c>
      <x:c r="AC212" s="3">
        <x:v>46322</x:v>
      </x:c>
      <x:c r="AD212" s="8" t="s">
        <x:v>69</x:v>
      </x:c>
      <x:c r="AE212" s="1" t="s">
        <x:v>2672</x:v>
      </x:c>
      <x:c r="AF212" s="8" t="s">
        <x:v>118</x:v>
      </x:c>
      <x:c r="AG212" s="1" t="s">
        <x:v>2673</x:v>
      </x:c>
      <x:c r="AH212" s="8" t="str">
        <x:v>Краткая затекстовая ссылка; повторная документальная сверка выполнена</x:v>
      </x:c>
      <x:c r="AI212" s="1"/>
      <x:c r="AJ212" s="17"/>
      <x:c r="AK212" s="1" t="s">
        <x:v>73</x:v>
      </x:c>
      <x:c r="AL212" s="8" t="s">
        <x:v>74</x:v>
      </x:c>
      <x:c r="AM212" s="1"/>
      <x:c r="AN212" s="8" t="s">
        <x:v>75</x:v>
      </x:c>
      <x:c r="AO212" s="1" t="s">
        <x:v>76</x:v>
      </x:c>
      <x:c r="AP212" s="8"/>
      <x:c r="AQ212" s="1" t="s">
        <x:v>77</x:v>
      </x:c>
      <x:c r="AR212" s="8" t="str">
        <x:v>Проверка автором исследования</x:v>
      </x:c>
      <x:c r="AS212" s="1" t="s">
        <x:v>2674</x:v>
      </x:c>
      <x:c r="AT212" s="8" t="s">
        <x:v>2675</x:v>
      </x:c>
      <x:c r="AU212" s="1" t="s">
        <x:v>2676</x:v>
      </x:c>
      <x:c r="AV212" s="17">
        <x:v>46321</x:v>
      </x:c>
      <x:c r="AW212" s="1" t="s">
        <x:v>81</x:v>
      </x:c>
      <x:c r="AX212" s="8" t="s">
        <x:v>82</x:v>
      </x:c>
      <x:c r="AY212" s="8"/>
    </x:row>
    <x:row r="213" ht="69.94999694824219" customHeight="1">
      <x:c r="A213" s="1" t="s">
        <x:v>2677</x:v>
      </x:c>
      <x:c r="B213" s="8" t="s">
        <x:v>2678</x:v>
      </x:c>
      <x:c r="C213" s="1" t="s">
        <x:v>2679</x:v>
      </x:c>
      <x:c r="D213" s="8" t="s">
        <x:v>53</x:v>
      </x:c>
      <x:c r="E213" s="1" t="s">
        <x:v>54</x:v>
      </x:c>
      <x:c r="F213" s="8" t="s">
        <x:v>2680</x:v>
      </x:c>
      <x:c r="G213" s="1" t="s">
        <x:v>2681</x:v>
      </x:c>
      <x:c r="H213" s="8" t="s">
        <x:v>2616</x:v>
      </x:c>
      <x:c r="I213" s="4">
        <x:v>2024</x:v>
      </x:c>
      <x:c r="J213" s="8" t="s">
        <x:v>2617</x:v>
      </x:c>
      <x:c r="K213" s="1" t="s">
        <x:v>182</x:v>
      </x:c>
      <x:c r="L213" s="8" t="s">
        <x:v>2682</x:v>
      </x:c>
      <x:c r="M213" s="1" t="s">
        <x:v>61</x:v>
      </x:c>
      <x:c r="N213" s="8"/>
      <x:c r="O213" s="1"/>
      <x:c r="P213" s="8"/>
      <x:c r="Q213" s="1"/>
      <x:c r="R213" s="8" t="s">
        <x:v>2683</x:v>
      </x:c>
      <x:c r="S213" s="3"/>
      <x:c r="T213" s="8" t="s">
        <x:v>63</x:v>
      </x:c>
      <x:c r="U213" s="1" t="s">
        <x:v>2684</x:v>
      </x:c>
      <x:c r="V213" s="13">
        <x:v>10</x:v>
      </x:c>
      <x:c r="W213" s="1" t="s">
        <x:v>65</x:v>
      </x:c>
      <x:c r="X213" s="8" t="s">
        <x:v>66</x:v>
      </x:c>
      <x:c r="Y213" s="1" t="str">
        <x:v>Проверено автором исследования</x:v>
      </x:c>
      <x:c r="Z213" s="8" t="s">
        <x:v>2685</x:v>
      </x:c>
      <x:c r="AA213" s="1" t="s">
        <x:v>2686</x:v>
      </x:c>
      <x:c r="AB213" s="13">
        <x:v>2026</x:v>
      </x:c>
      <x:c r="AC213" s="3">
        <x:v>46322</x:v>
      </x:c>
      <x:c r="AD213" s="8" t="s">
        <x:v>69</x:v>
      </x:c>
      <x:c r="AE213" s="1" t="s">
        <x:v>2687</x:v>
      </x:c>
      <x:c r="AF213" s="8" t="s">
        <x:v>118</x:v>
      </x:c>
      <x:c r="AG213" s="1" t="s">
        <x:v>2688</x:v>
      </x:c>
      <x:c r="AH213" s="8" t="str">
        <x:v>Краткая затекстовая ссылка; повторная документальная сверка выполнена</x:v>
      </x:c>
      <x:c r="AI213" s="1"/>
      <x:c r="AJ213" s="17"/>
      <x:c r="AK213" s="1" t="s">
        <x:v>73</x:v>
      </x:c>
      <x:c r="AL213" s="8" t="s">
        <x:v>74</x:v>
      </x:c>
      <x:c r="AM213" s="1"/>
      <x:c r="AN213" s="8" t="s">
        <x:v>75</x:v>
      </x:c>
      <x:c r="AO213" s="1" t="s">
        <x:v>76</x:v>
      </x:c>
      <x:c r="AP213" s="8"/>
      <x:c r="AQ213" s="1" t="s">
        <x:v>77</x:v>
      </x:c>
      <x:c r="AR213" s="8" t="str">
        <x:v>Проверка автором исследования</x:v>
      </x:c>
      <x:c r="AS213" s="1" t="s">
        <x:v>2689</x:v>
      </x:c>
      <x:c r="AT213" s="8" t="s">
        <x:v>2690</x:v>
      </x:c>
      <x:c r="AU213" s="1" t="s">
        <x:v>2691</x:v>
      </x:c>
      <x:c r="AV213" s="17">
        <x:v>46321</x:v>
      </x:c>
      <x:c r="AW213" s="1" t="s">
        <x:v>81</x:v>
      </x:c>
      <x:c r="AX213" s="8" t="s">
        <x:v>82</x:v>
      </x:c>
      <x:c r="AY213" s="8"/>
    </x:row>
    <x:row r="214" ht="98.0999984741211" customHeight="1">
      <x:c r="A214" s="1" t="s">
        <x:v>2692</x:v>
      </x:c>
      <x:c r="B214" s="8" t="s">
        <x:v>2693</x:v>
      </x:c>
      <x:c r="C214" s="1" t="s">
        <x:v>2694</x:v>
      </x:c>
      <x:c r="D214" s="8" t="s">
        <x:v>53</x:v>
      </x:c>
      <x:c r="E214" s="1" t="s">
        <x:v>54</x:v>
      </x:c>
      <x:c r="F214" s="8" t="s">
        <x:v>2680</x:v>
      </x:c>
      <x:c r="G214" s="1" t="s">
        <x:v>2695</x:v>
      </x:c>
      <x:c r="H214" s="8" t="s">
        <x:v>2616</x:v>
      </x:c>
      <x:c r="I214" s="4">
        <x:v>2025</x:v>
      </x:c>
      <x:c r="J214" s="8" t="s">
        <x:v>1260</x:v>
      </x:c>
      <x:c r="K214" s="1" t="s">
        <x:v>190</x:v>
      </x:c>
      <x:c r="L214" s="8" t="s">
        <x:v>2696</x:v>
      </x:c>
      <x:c r="M214" s="1" t="s">
        <x:v>61</x:v>
      </x:c>
      <x:c r="N214" s="8"/>
      <x:c r="O214" s="1"/>
      <x:c r="P214" s="8"/>
      <x:c r="Q214" s="1"/>
      <x:c r="R214" s="8" t="s">
        <x:v>2697</x:v>
      </x:c>
      <x:c r="S214" s="3"/>
      <x:c r="T214" s="8" t="s">
        <x:v>63</x:v>
      </x:c>
      <x:c r="U214" s="1" t="s">
        <x:v>2684</x:v>
      </x:c>
      <x:c r="V214" s="13">
        <x:v>14</x:v>
      </x:c>
      <x:c r="W214" s="1" t="s">
        <x:v>65</x:v>
      </x:c>
      <x:c r="X214" s="8" t="s">
        <x:v>66</x:v>
      </x:c>
      <x:c r="Y214" s="1" t="str">
        <x:v>Проверено автором исследования</x:v>
      </x:c>
      <x:c r="Z214" s="8" t="s">
        <x:v>2698</x:v>
      </x:c>
      <x:c r="AA214" s="1" t="s">
        <x:v>2686</x:v>
      </x:c>
      <x:c r="AB214" s="13">
        <x:v>2026</x:v>
      </x:c>
      <x:c r="AC214" s="3">
        <x:v>46322</x:v>
      </x:c>
      <x:c r="AD214" s="8" t="s">
        <x:v>69</x:v>
      </x:c>
      <x:c r="AE214" s="1" t="s">
        <x:v>2699</x:v>
      </x:c>
      <x:c r="AF214" s="8" t="s">
        <x:v>118</x:v>
      </x:c>
      <x:c r="AG214" s="1" t="s">
        <x:v>2688</x:v>
      </x:c>
      <x:c r="AH214" s="8" t="str">
        <x:v>Краткая затекстовая ссылка; повторная документальная сверка выполнена</x:v>
      </x:c>
      <x:c r="AI214" s="1"/>
      <x:c r="AJ214" s="17"/>
      <x:c r="AK214" s="1" t="s">
        <x:v>73</x:v>
      </x:c>
      <x:c r="AL214" s="8" t="s">
        <x:v>74</x:v>
      </x:c>
      <x:c r="AM214" s="1"/>
      <x:c r="AN214" s="8" t="s">
        <x:v>75</x:v>
      </x:c>
      <x:c r="AO214" s="1" t="s">
        <x:v>76</x:v>
      </x:c>
      <x:c r="AP214" s="8"/>
      <x:c r="AQ214" s="1" t="s">
        <x:v>77</x:v>
      </x:c>
      <x:c r="AR214" s="8" t="str">
        <x:v>Проверка автором исследования</x:v>
      </x:c>
      <x:c r="AS214" s="1" t="s">
        <x:v>2700</x:v>
      </x:c>
      <x:c r="AT214" s="8" t="s">
        <x:v>2701</x:v>
      </x:c>
      <x:c r="AU214" s="1" t="s">
        <x:v>2702</x:v>
      </x:c>
      <x:c r="AV214" s="17">
        <x:v>46321</x:v>
      </x:c>
      <x:c r="AW214" s="1" t="s">
        <x:v>81</x:v>
      </x:c>
      <x:c r="AX214" s="8" t="s">
        <x:v>82</x:v>
      </x:c>
      <x:c r="AY214" s="8"/>
    </x:row>
    <x:row r="215" ht="69.94999694824219" customHeight="1">
      <x:c r="A215" s="1" t="s">
        <x:v>2703</x:v>
      </x:c>
      <x:c r="B215" s="8" t="s">
        <x:v>2704</x:v>
      </x:c>
      <x:c r="C215" s="1" t="s">
        <x:v>2705</x:v>
      </x:c>
      <x:c r="D215" s="8" t="s">
        <x:v>53</x:v>
      </x:c>
      <x:c r="E215" s="1" t="s">
        <x:v>54</x:v>
      </x:c>
      <x:c r="F215" s="8" t="s">
        <x:v>2706</x:v>
      </x:c>
      <x:c r="G215" s="1" t="s">
        <x:v>2707</x:v>
      </x:c>
      <x:c r="H215" s="8" t="s">
        <x:v>2708</x:v>
      </x:c>
      <x:c r="I215" s="4">
        <x:v>2017</x:v>
      </x:c>
      <x:c r="J215" s="8" t="s">
        <x:v>416</x:v>
      </x:c>
      <x:c r="K215" s="1" t="s">
        <x:v>190</x:v>
      </x:c>
      <x:c r="L215" s="8" t="s">
        <x:v>2709</x:v>
      </x:c>
      <x:c r="M215" s="1" t="s">
        <x:v>61</x:v>
      </x:c>
      <x:c r="N215" s="8"/>
      <x:c r="O215" s="1"/>
      <x:c r="P215" s="8"/>
      <x:c r="Q215" s="1"/>
      <x:c r="R215" s="8" t="s">
        <x:v>2710</x:v>
      </x:c>
      <x:c r="S215" s="3"/>
      <x:c r="T215" s="8" t="s">
        <x:v>63</x:v>
      </x:c>
      <x:c r="U215" s="1" t="s">
        <x:v>2711</x:v>
      </x:c>
      <x:c r="V215" s="13">
        <x:v>5</x:v>
      </x:c>
      <x:c r="W215" s="1" t="s">
        <x:v>65</x:v>
      </x:c>
      <x:c r="X215" s="8" t="s">
        <x:v>66</x:v>
      </x:c>
      <x:c r="Y215" s="1" t="str">
        <x:v>Проверено автором исследования</x:v>
      </x:c>
      <x:c r="Z215" s="8" t="s">
        <x:v>2712</x:v>
      </x:c>
      <x:c r="AA215" s="1" t="s">
        <x:v>2713</x:v>
      </x:c>
      <x:c r="AB215" s="13">
        <x:v>2026</x:v>
      </x:c>
      <x:c r="AC215" s="3">
        <x:v>46322</x:v>
      </x:c>
      <x:c r="AD215" s="8" t="s">
        <x:v>69</x:v>
      </x:c>
      <x:c r="AE215" s="1" t="s">
        <x:v>2714</x:v>
      </x:c>
      <x:c r="AF215" s="8" t="s">
        <x:v>71</x:v>
      </x:c>
      <x:c r="AG215" s="1" t="s">
        <x:v>2715</x:v>
      </x:c>
      <x:c r="AH215" s="8" t="str">
        <x:v>Краткая затекстовая ссылка; повторная документальная сверка выполнена</x:v>
      </x:c>
      <x:c r="AI215" s="1"/>
      <x:c r="AJ215" s="17"/>
      <x:c r="AK215" s="1" t="s">
        <x:v>73</x:v>
      </x:c>
      <x:c r="AL215" s="8" t="s">
        <x:v>74</x:v>
      </x:c>
      <x:c r="AM215" s="1"/>
      <x:c r="AN215" s="8" t="s">
        <x:v>75</x:v>
      </x:c>
      <x:c r="AO215" s="1" t="s">
        <x:v>76</x:v>
      </x:c>
      <x:c r="AP215" s="8"/>
      <x:c r="AQ215" s="1" t="s">
        <x:v>77</x:v>
      </x:c>
      <x:c r="AR215" s="8" t="str">
        <x:v>Проверка автором исследования</x:v>
      </x:c>
      <x:c r="AS215" s="1" t="s">
        <x:v>2716</x:v>
      </x:c>
      <x:c r="AT215" s="8" t="s">
        <x:v>2717</x:v>
      </x:c>
      <x:c r="AU215" s="1" t="s">
        <x:v>2718</x:v>
      </x:c>
      <x:c r="AV215" s="17">
        <x:v>46321</x:v>
      </x:c>
      <x:c r="AW215" s="1" t="s">
        <x:v>81</x:v>
      </x:c>
      <x:c r="AX215" s="8" t="s">
        <x:v>82</x:v>
      </x:c>
      <x:c r="AY215" s="8"/>
    </x:row>
    <x:row r="216" ht="69.94999694824219" customHeight="1">
      <x:c r="A216" s="1" t="s">
        <x:v>2719</x:v>
      </x:c>
      <x:c r="B216" s="8" t="s">
        <x:v>2720</x:v>
      </x:c>
      <x:c r="C216" s="1" t="s">
        <x:v>2721</x:v>
      </x:c>
      <x:c r="D216" s="8" t="s">
        <x:v>73</x:v>
      </x:c>
      <x:c r="E216" s="1" t="s">
        <x:v>76</x:v>
      </x:c>
      <x:c r="F216" s="8" t="s">
        <x:v>2722</x:v>
      </x:c>
      <x:c r="G216" s="1" t="s">
        <x:v>2723</x:v>
      </x:c>
      <x:c r="H216" s="8" t="s">
        <x:v>2724</x:v>
      </x:c>
      <x:c r="I216" s="4">
        <x:v>2019</x:v>
      </x:c>
      <x:c r="J216" s="8" t="s">
        <x:v>975</x:v>
      </x:c>
      <x:c r="K216" s="1" t="s">
        <x:v>239</x:v>
      </x:c>
      <x:c r="L216" s="8" t="s">
        <x:v>2725</x:v>
      </x:c>
      <x:c r="M216" s="1" t="s">
        <x:v>61</x:v>
      </x:c>
      <x:c r="N216" s="8"/>
      <x:c r="O216" s="1"/>
      <x:c r="P216" s="8"/>
      <x:c r="Q216" s="1"/>
      <x:c r="R216" s="8" t="s">
        <x:v>2726</x:v>
      </x:c>
      <x:c r="S216" s="3"/>
      <x:c r="T216" s="8" t="s">
        <x:v>63</x:v>
      </x:c>
      <x:c r="U216" s="1" t="s">
        <x:v>2711</x:v>
      </x:c>
      <x:c r="V216" s="13">
        <x:v>6</x:v>
      </x:c>
      <x:c r="W216" s="1" t="s">
        <x:v>65</x:v>
      </x:c>
      <x:c r="X216" s="8" t="s">
        <x:v>66</x:v>
      </x:c>
      <x:c r="Y216" s="1" t="str">
        <x:v>Проверено автором исследования</x:v>
      </x:c>
      <x:c r="Z216" s="8" t="s">
        <x:v>2727</x:v>
      </x:c>
      <x:c r="AA216" s="1" t="s">
        <x:v>2713</x:v>
      </x:c>
      <x:c r="AB216" s="13">
        <x:v>2026</x:v>
      </x:c>
      <x:c r="AC216" s="3"/>
      <x:c r="AD216" s="8" t="s">
        <x:v>93</x:v>
      </x:c>
      <x:c r="AE216" s="1" t="s">
        <x:v>2728</x:v>
      </x:c>
      <x:c r="AF216" s="8" t="s">
        <x:v>71</x:v>
      </x:c>
      <x:c r="AG216" s="1" t="s">
        <x:v>2715</x:v>
      </x:c>
      <x:c r="AH216" s="8" t="str">
        <x:v>Краткая затекстовая ссылка; повторная документальная сверка выполнена</x:v>
      </x:c>
      <x:c r="AI216" s="1"/>
      <x:c r="AJ216" s="17"/>
      <x:c r="AK216" s="1" t="s">
        <x:v>73</x:v>
      </x:c>
      <x:c r="AL216" s="8" t="s">
        <x:v>74</x:v>
      </x:c>
      <x:c r="AM216" s="1"/>
      <x:c r="AN216" s="8" t="s">
        <x:v>95</x:v>
      </x:c>
      <x:c r="AO216" s="1" t="s">
        <x:v>76</x:v>
      </x:c>
      <x:c r="AP216" s="8"/>
      <x:c r="AQ216" s="1" t="s">
        <x:v>77</x:v>
      </x:c>
      <x:c r="AR216" s="8" t="str">
        <x:v>Проверка автором исследования</x:v>
      </x:c>
      <x:c r="AS216" s="1"/>
      <x:c r="AT216" s="8" t="s">
        <x:v>96</x:v>
      </x:c>
      <x:c r="AU216" s="1" t="s">
        <x:v>845</x:v>
      </x:c>
      <x:c r="AV216" s="17">
        <x:v>46321</x:v>
      </x:c>
      <x:c r="AW216" s="1" t="s">
        <x:v>81</x:v>
      </x:c>
      <x:c r="AX216" s="8" t="s">
        <x:v>82</x:v>
      </x:c>
      <x:c r="AY216" s="8"/>
    </x:row>
    <x:row r="217" ht="98.0999984741211" customHeight="1">
      <x:c r="A217" s="1" t="s">
        <x:v>2729</x:v>
      </x:c>
      <x:c r="B217" s="8" t="s">
        <x:v>2730</x:v>
      </x:c>
      <x:c r="C217" s="1" t="s">
        <x:v>2731</x:v>
      </x:c>
      <x:c r="D217" s="8" t="s">
        <x:v>53</x:v>
      </x:c>
      <x:c r="E217" s="1" t="s">
        <x:v>54</x:v>
      </x:c>
      <x:c r="F217" s="8" t="s">
        <x:v>2732</x:v>
      </x:c>
      <x:c r="G217" s="1" t="s">
        <x:v>2733</x:v>
      </x:c>
      <x:c r="H217" s="8" t="s">
        <x:v>2616</x:v>
      </x:c>
      <x:c r="I217" s="4">
        <x:v>2024</x:v>
      </x:c>
      <x:c r="J217" s="8" t="s">
        <x:v>2617</x:v>
      </x:c>
      <x:c r="K217" s="1" t="s">
        <x:v>182</x:v>
      </x:c>
      <x:c r="L217" s="8" t="s">
        <x:v>2734</x:v>
      </x:c>
      <x:c r="M217" s="1" t="s">
        <x:v>61</x:v>
      </x:c>
      <x:c r="N217" s="8"/>
      <x:c r="O217" s="1"/>
      <x:c r="P217" s="8"/>
      <x:c r="Q217" s="1"/>
      <x:c r="R217" s="8" t="s">
        <x:v>2735</x:v>
      </x:c>
      <x:c r="S217" s="3"/>
      <x:c r="T217" s="8" t="s">
        <x:v>63</x:v>
      </x:c>
      <x:c r="U217" s="1" t="s">
        <x:v>2711</x:v>
      </x:c>
      <x:c r="V217" s="13">
        <x:v>14</x:v>
      </x:c>
      <x:c r="W217" s="1" t="s">
        <x:v>242</x:v>
      </x:c>
      <x:c r="X217" s="8" t="s">
        <x:v>66</x:v>
      </x:c>
      <x:c r="Y217" s="1" t="str">
        <x:v>Проверено автором; дополнительно проверено Михаилом Саяпиным</x:v>
      </x:c>
      <x:c r="Z217" s="8" t="s">
        <x:v>2736</x:v>
      </x:c>
      <x:c r="AA217" s="1" t="s">
        <x:v>2713</x:v>
      </x:c>
      <x:c r="AB217" s="13">
        <x:v>2026</x:v>
      </x:c>
      <x:c r="AC217" s="3">
        <x:v>46322</x:v>
      </x:c>
      <x:c r="AD217" s="8" t="s">
        <x:v>69</x:v>
      </x:c>
      <x:c r="AE217" s="1" t="s">
        <x:v>2737</x:v>
      </x:c>
      <x:c r="AF217" s="8" t="s">
        <x:v>71</x:v>
      </x:c>
      <x:c r="AG217" s="1" t="s">
        <x:v>2715</x:v>
      </x:c>
      <x:c r="AH217" s="8" t="s">
        <x:v>144</x:v>
      </x:c>
      <x:c r="AI217" s="1" t="s">
        <x:v>145</x:v>
      </x:c>
      <x:c r="AJ217" s="17">
        <x:v>46323</x:v>
      </x:c>
      <x:c r="AK217" s="1" t="s">
        <x:v>73</x:v>
      </x:c>
      <x:c r="AL217" s="8" t="s">
        <x:v>74</x:v>
      </x:c>
      <x:c r="AM217" s="1"/>
      <x:c r="AN217" s="8" t="s">
        <x:v>75</x:v>
      </x:c>
      <x:c r="AO217" s="1" t="s">
        <x:v>76</x:v>
      </x:c>
      <x:c r="AP217" s="8"/>
      <x:c r="AQ217" s="1" t="s">
        <x:v>77</x:v>
      </x:c>
      <x:c r="AR217" s="8" t="str">
        <x:v>Проверка автором исследования; дополнительная проверка Михаилом Саяпиным; согласование 28.10.2026</x:v>
      </x:c>
      <x:c r="AS217" s="1" t="s">
        <x:v>2738</x:v>
      </x:c>
      <x:c r="AT217" s="8" t="s">
        <x:v>2739</x:v>
      </x:c>
      <x:c r="AU217" s="1" t="s">
        <x:v>2740</x:v>
      </x:c>
      <x:c r="AV217" s="17">
        <x:v>46321</x:v>
      </x:c>
      <x:c r="AW217" s="1" t="s">
        <x:v>81</x:v>
      </x:c>
      <x:c r="AX217" s="8" t="s">
        <x:v>146</x:v>
      </x:c>
      <x:c r="AY217" s="8" t="s">
        <x:v>2741</x:v>
      </x:c>
    </x:row>
    <x:row r="218" ht="69.94999694824219" customHeight="1">
      <x:c r="A218" s="1" t="s">
        <x:v>2742</x:v>
      </x:c>
      <x:c r="B218" s="8" t="s">
        <x:v>2743</x:v>
      </x:c>
      <x:c r="C218" s="1" t="s">
        <x:v>2744</x:v>
      </x:c>
      <x:c r="D218" s="8" t="s">
        <x:v>73</x:v>
      </x:c>
      <x:c r="E218" s="1" t="s">
        <x:v>76</x:v>
      </x:c>
      <x:c r="F218" s="8" t="s">
        <x:v>2745</x:v>
      </x:c>
      <x:c r="G218" s="1" t="s">
        <x:v>2746</x:v>
      </x:c>
      <x:c r="H218" s="8" t="s">
        <x:v>2747</x:v>
      </x:c>
      <x:c r="I218" s="4">
        <x:v>1988</x:v>
      </x:c>
      <x:c r="J218" s="8"/>
      <x:c r="K218" s="1"/>
      <x:c r="L218" s="8" t="s">
        <x:v>2748</x:v>
      </x:c>
      <x:c r="M218" s="1" t="s">
        <x:v>61</x:v>
      </x:c>
      <x:c r="N218" s="8"/>
      <x:c r="O218" s="1"/>
      <x:c r="P218" s="8"/>
      <x:c r="Q218" s="1"/>
      <x:c r="R218" s="8"/>
      <x:c r="S218" s="3"/>
      <x:c r="T218" s="8" t="s">
        <x:v>63</x:v>
      </x:c>
      <x:c r="U218" s="1" t="s">
        <x:v>2711</x:v>
      </x:c>
      <x:c r="V218" s="13">
        <x:v>19</x:v>
      </x:c>
      <x:c r="W218" s="1" t="s">
        <x:v>65</x:v>
      </x:c>
      <x:c r="X218" s="8" t="s">
        <x:v>66</x:v>
      </x:c>
      <x:c r="Y218" s="1" t="str">
        <x:v>Проверено автором исследования</x:v>
      </x:c>
      <x:c r="Z218" s="8"/>
      <x:c r="AA218" s="1" t="s">
        <x:v>2713</x:v>
      </x:c>
      <x:c r="AB218" s="13">
        <x:v>2026</x:v>
      </x:c>
      <x:c r="AC218" s="3"/>
      <x:c r="AD218" s="8" t="s">
        <x:v>93</x:v>
      </x:c>
      <x:c r="AE218" s="1"/>
      <x:c r="AF218" s="8" t="s">
        <x:v>71</x:v>
      </x:c>
      <x:c r="AG218" s="1" t="s">
        <x:v>2715</x:v>
      </x:c>
      <x:c r="AH218" s="8" t="str">
        <x:v>Краткая затекстовая ссылка; повторная документальная сверка выполнена</x:v>
      </x:c>
      <x:c r="AI218" s="1"/>
      <x:c r="AJ218" s="17"/>
      <x:c r="AK218" s="1" t="s">
        <x:v>73</x:v>
      </x:c>
      <x:c r="AL218" s="8" t="s">
        <x:v>74</x:v>
      </x:c>
      <x:c r="AM218" s="1"/>
      <x:c r="AN218" s="8" t="s">
        <x:v>95</x:v>
      </x:c>
      <x:c r="AO218" s="1" t="s">
        <x:v>76</x:v>
      </x:c>
      <x:c r="AP218" s="8"/>
      <x:c r="AQ218" s="1" t="s">
        <x:v>77</x:v>
      </x:c>
      <x:c r="AR218" s="8" t="str">
        <x:v>Проверка автором исследования</x:v>
      </x:c>
      <x:c r="AS218" s="1"/>
      <x:c r="AT218" s="8" t="s">
        <x:v>96</x:v>
      </x:c>
      <x:c r="AU218" s="1" t="s">
        <x:v>97</x:v>
      </x:c>
      <x:c r="AV218" s="17"/>
      <x:c r="AW218" s="1" t="s">
        <x:v>98</x:v>
      </x:c>
      <x:c r="AX218" s="8" t="s">
        <x:v>82</x:v>
      </x:c>
      <x:c r="AY218" s="8"/>
    </x:row>
    <x:row r="219" ht="69.94999694824219" customHeight="1">
      <x:c r="A219" s="1" t="s">
        <x:v>2749</x:v>
      </x:c>
      <x:c r="B219" s="8" t="s">
        <x:v>2750</x:v>
      </x:c>
      <x:c r="C219" s="1" t="s">
        <x:v>2751</x:v>
      </x:c>
      <x:c r="D219" s="8" t="s">
        <x:v>73</x:v>
      </x:c>
      <x:c r="E219" s="1" t="s">
        <x:v>76</x:v>
      </x:c>
      <x:c r="F219" s="8" t="s">
        <x:v>2752</x:v>
      </x:c>
      <x:c r="G219" s="1" t="s">
        <x:v>2753</x:v>
      </x:c>
      <x:c r="H219" s="8" t="s">
        <x:v>2754</x:v>
      </x:c>
      <x:c r="I219" s="4">
        <x:v>2013</x:v>
      </x:c>
      <x:c r="J219" s="8"/>
      <x:c r="K219" s="1" t="s">
        <x:v>2755</x:v>
      </x:c>
      <x:c r="L219" s="8" t="s">
        <x:v>2756</x:v>
      </x:c>
      <x:c r="M219" s="1" t="s">
        <x:v>61</x:v>
      </x:c>
      <x:c r="N219" s="8"/>
      <x:c r="O219" s="1"/>
      <x:c r="P219" s="8"/>
      <x:c r="Q219" s="1"/>
      <x:c r="R219" s="8"/>
      <x:c r="S219" s="3"/>
      <x:c r="T219" s="8" t="s">
        <x:v>63</x:v>
      </x:c>
      <x:c r="U219" s="1" t="s">
        <x:v>2757</x:v>
      </x:c>
      <x:c r="V219" s="13">
        <x:v>1</x:v>
      </x:c>
      <x:c r="W219" s="1" t="s">
        <x:v>65</x:v>
      </x:c>
      <x:c r="X219" s="8" t="s">
        <x:v>66</x:v>
      </x:c>
      <x:c r="Y219" s="1" t="str">
        <x:v>Проверено автором исследования</x:v>
      </x:c>
      <x:c r="Z219" s="8"/>
      <x:c r="AA219" s="1" t="s">
        <x:v>2758</x:v>
      </x:c>
      <x:c r="AB219" s="13">
        <x:v>2026</x:v>
      </x:c>
      <x:c r="AC219" s="3"/>
      <x:c r="AD219" s="8" t="s">
        <x:v>93</x:v>
      </x:c>
      <x:c r="AE219" s="1" t="s">
        <x:v>2759</x:v>
      </x:c>
      <x:c r="AF219" s="8" t="s">
        <x:v>118</x:v>
      </x:c>
      <x:c r="AG219" s="1" t="s">
        <x:v>2760</x:v>
      </x:c>
      <x:c r="AH219" s="8" t="str">
        <x:v>Краткая затекстовая ссылка; повторная документальная сверка выполнена</x:v>
      </x:c>
      <x:c r="AI219" s="1"/>
      <x:c r="AJ219" s="17"/>
      <x:c r="AK219" s="1" t="s">
        <x:v>73</x:v>
      </x:c>
      <x:c r="AL219" s="8" t="s">
        <x:v>74</x:v>
      </x:c>
      <x:c r="AM219" s="1"/>
      <x:c r="AN219" s="8" t="s">
        <x:v>95</x:v>
      </x:c>
      <x:c r="AO219" s="1" t="s">
        <x:v>76</x:v>
      </x:c>
      <x:c r="AP219" s="8"/>
      <x:c r="AQ219" s="1" t="s">
        <x:v>77</x:v>
      </x:c>
      <x:c r="AR219" s="8" t="str">
        <x:v>Проверка автором исследования</x:v>
      </x:c>
      <x:c r="AS219" s="1"/>
      <x:c r="AT219" s="8" t="s">
        <x:v>96</x:v>
      </x:c>
      <x:c r="AU219" s="1" t="s">
        <x:v>97</x:v>
      </x:c>
      <x:c r="AV219" s="17"/>
      <x:c r="AW219" s="1" t="s">
        <x:v>98</x:v>
      </x:c>
      <x:c r="AX219" s="8" t="s">
        <x:v>82</x:v>
      </x:c>
      <x:c r="AY219" s="8"/>
    </x:row>
    <x:row r="220" ht="69.94999694824219" customHeight="1">
      <x:c r="A220" s="1" t="s">
        <x:v>2761</x:v>
      </x:c>
      <x:c r="B220" s="8" t="s">
        <x:v>2762</x:v>
      </x:c>
      <x:c r="C220" s="1" t="s">
        <x:v>2763</x:v>
      </x:c>
      <x:c r="D220" s="8" t="s">
        <x:v>53</x:v>
      </x:c>
      <x:c r="E220" s="1" t="s">
        <x:v>54</x:v>
      </x:c>
      <x:c r="F220" s="8" t="s">
        <x:v>2764</x:v>
      </x:c>
      <x:c r="G220" s="1" t="s">
        <x:v>2765</x:v>
      </x:c>
      <x:c r="H220" s="8" t="s">
        <x:v>2766</x:v>
      </x:c>
      <x:c r="I220" s="4">
        <x:v>2003</x:v>
      </x:c>
      <x:c r="J220" s="8" t="s">
        <x:v>2637</x:v>
      </x:c>
      <x:c r="K220" s="1"/>
      <x:c r="L220" s="8" t="s">
        <x:v>2767</x:v>
      </x:c>
      <x:c r="M220" s="1" t="s">
        <x:v>61</x:v>
      </x:c>
      <x:c r="N220" s="8"/>
      <x:c r="O220" s="1"/>
      <x:c r="P220" s="8"/>
      <x:c r="Q220" s="1"/>
      <x:c r="R220" s="8" t="s">
        <x:v>2768</x:v>
      </x:c>
      <x:c r="S220" s="3"/>
      <x:c r="T220" s="8" t="s">
        <x:v>63</x:v>
      </x:c>
      <x:c r="U220" s="1" t="s">
        <x:v>2769</x:v>
      </x:c>
      <x:c r="V220" s="13">
        <x:v>6</x:v>
      </x:c>
      <x:c r="W220" s="1" t="s">
        <x:v>65</x:v>
      </x:c>
      <x:c r="X220" s="8" t="s">
        <x:v>66</x:v>
      </x:c>
      <x:c r="Y220" s="1" t="str">
        <x:v>Проверено автором исследования</x:v>
      </x:c>
      <x:c r="Z220" s="8" t="s">
        <x:v>2770</x:v>
      </x:c>
      <x:c r="AA220" s="1" t="s">
        <x:v>2771</x:v>
      </x:c>
      <x:c r="AB220" s="13">
        <x:v>2026</x:v>
      </x:c>
      <x:c r="AC220" s="3">
        <x:v>46322</x:v>
      </x:c>
      <x:c r="AD220" s="8" t="s">
        <x:v>69</x:v>
      </x:c>
      <x:c r="AE220" s="1"/>
      <x:c r="AF220" s="8" t="s">
        <x:v>71</x:v>
      </x:c>
      <x:c r="AG220" s="1" t="s">
        <x:v>2772</x:v>
      </x:c>
      <x:c r="AH220" s="8" t="str">
        <x:v>Краткая затекстовая ссылка; повторная документальная сверка выполнена</x:v>
      </x:c>
      <x:c r="AI220" s="1"/>
      <x:c r="AJ220" s="17"/>
      <x:c r="AK220" s="1" t="s">
        <x:v>73</x:v>
      </x:c>
      <x:c r="AL220" s="8" t="s">
        <x:v>74</x:v>
      </x:c>
      <x:c r="AM220" s="1"/>
      <x:c r="AN220" s="8" t="s">
        <x:v>75</x:v>
      </x:c>
      <x:c r="AO220" s="1" t="s">
        <x:v>76</x:v>
      </x:c>
      <x:c r="AP220" s="8"/>
      <x:c r="AQ220" s="1" t="s">
        <x:v>77</x:v>
      </x:c>
      <x:c r="AR220" s="8" t="str">
        <x:v>Проверка автором исследования</x:v>
      </x:c>
      <x:c r="AS220" s="1" t="s">
        <x:v>2773</x:v>
      </x:c>
      <x:c r="AT220" s="8" t="s">
        <x:v>2774</x:v>
      </x:c>
      <x:c r="AU220" s="1" t="s">
        <x:v>2775</x:v>
      </x:c>
      <x:c r="AV220" s="17">
        <x:v>46321</x:v>
      </x:c>
      <x:c r="AW220" s="1" t="s">
        <x:v>81</x:v>
      </x:c>
      <x:c r="AX220" s="8" t="s">
        <x:v>82</x:v>
      </x:c>
      <x:c r="AY220" s="8"/>
    </x:row>
    <x:row r="221" ht="98.0999984741211" customHeight="1">
      <x:c r="A221" s="1" t="s">
        <x:v>2776</x:v>
      </x:c>
      <x:c r="B221" s="8" t="s">
        <x:v>2777</x:v>
      </x:c>
      <x:c r="C221" s="1" t="s">
        <x:v>2778</x:v>
      </x:c>
      <x:c r="D221" s="8" t="s">
        <x:v>53</x:v>
      </x:c>
      <x:c r="E221" s="1" t="s">
        <x:v>54</x:v>
      </x:c>
      <x:c r="F221" s="8" t="s">
        <x:v>2779</x:v>
      </x:c>
      <x:c r="G221" s="1" t="s">
        <x:v>2780</x:v>
      </x:c>
      <x:c r="H221" s="8" t="s">
        <x:v>2616</x:v>
      </x:c>
      <x:c r="I221" s="4">
        <x:v>2018</x:v>
      </x:c>
      <x:c r="J221" s="8" t="s">
        <x:v>630</x:v>
      </x:c>
      <x:c r="K221" s="1" t="s">
        <x:v>239</x:v>
      </x:c>
      <x:c r="L221" s="8" t="s">
        <x:v>2781</x:v>
      </x:c>
      <x:c r="M221" s="1" t="s">
        <x:v>61</x:v>
      </x:c>
      <x:c r="N221" s="8"/>
      <x:c r="O221" s="1"/>
      <x:c r="P221" s="8"/>
      <x:c r="Q221" s="1"/>
      <x:c r="R221" s="8" t="s">
        <x:v>2782</x:v>
      </x:c>
      <x:c r="S221" s="3"/>
      <x:c r="T221" s="8" t="s">
        <x:v>63</x:v>
      </x:c>
      <x:c r="U221" s="1" t="s">
        <x:v>2783</x:v>
      </x:c>
      <x:c r="V221" s="13">
        <x:v>30</x:v>
      </x:c>
      <x:c r="W221" s="1" t="s">
        <x:v>65</x:v>
      </x:c>
      <x:c r="X221" s="8" t="s">
        <x:v>66</x:v>
      </x:c>
      <x:c r="Y221" s="1" t="str">
        <x:v>Проверено автором исследования</x:v>
      </x:c>
      <x:c r="Z221" s="8" t="s">
        <x:v>2784</x:v>
      </x:c>
      <x:c r="AA221" s="1" t="s">
        <x:v>2785</x:v>
      </x:c>
      <x:c r="AB221" s="13">
        <x:v>2026</x:v>
      </x:c>
      <x:c r="AC221" s="3">
        <x:v>46322</x:v>
      </x:c>
      <x:c r="AD221" s="8" t="s">
        <x:v>69</x:v>
      </x:c>
      <x:c r="AE221" s="1" t="s">
        <x:v>2786</x:v>
      </x:c>
      <x:c r="AF221" s="8" t="s">
        <x:v>118</x:v>
      </x:c>
      <x:c r="AG221" s="1" t="s">
        <x:v>2787</x:v>
      </x:c>
      <x:c r="AH221" s="8" t="str">
        <x:v>Краткая затекстовая ссылка; повторная документальная сверка выполнена</x:v>
      </x:c>
      <x:c r="AI221" s="1"/>
      <x:c r="AJ221" s="17"/>
      <x:c r="AK221" s="1" t="s">
        <x:v>73</x:v>
      </x:c>
      <x:c r="AL221" s="8" t="s">
        <x:v>74</x:v>
      </x:c>
      <x:c r="AM221" s="1"/>
      <x:c r="AN221" s="8" t="s">
        <x:v>75</x:v>
      </x:c>
      <x:c r="AO221" s="1" t="s">
        <x:v>76</x:v>
      </x:c>
      <x:c r="AP221" s="8"/>
      <x:c r="AQ221" s="1" t="s">
        <x:v>77</x:v>
      </x:c>
      <x:c r="AR221" s="8" t="str">
        <x:v>Проверка автором исследования</x:v>
      </x:c>
      <x:c r="AS221" s="1" t="s">
        <x:v>2788</x:v>
      </x:c>
      <x:c r="AT221" s="8" t="s">
        <x:v>2789</x:v>
      </x:c>
      <x:c r="AU221" s="1" t="s">
        <x:v>2790</x:v>
      </x:c>
      <x:c r="AV221" s="17">
        <x:v>46321</x:v>
      </x:c>
      <x:c r="AW221" s="1" t="s">
        <x:v>81</x:v>
      </x:c>
      <x:c r="AX221" s="8" t="s">
        <x:v>82</x:v>
      </x:c>
      <x:c r="AY221" s="8"/>
    </x:row>
    <x:row r="222" ht="84" customHeight="1">
      <x:c r="A222" s="1" t="s">
        <x:v>2791</x:v>
      </x:c>
      <x:c r="B222" s="8" t="s">
        <x:v>2792</x:v>
      </x:c>
      <x:c r="C222" s="1" t="s">
        <x:v>2793</x:v>
      </x:c>
      <x:c r="D222" s="8" t="s">
        <x:v>53</x:v>
      </x:c>
      <x:c r="E222" s="1" t="s">
        <x:v>54</x:v>
      </x:c>
      <x:c r="F222" s="8" t="s">
        <x:v>2794</x:v>
      </x:c>
      <x:c r="G222" s="1" t="s">
        <x:v>2795</x:v>
      </x:c>
      <x:c r="H222" s="8" t="s">
        <x:v>2796</x:v>
      </x:c>
      <x:c r="I222" s="4">
        <x:v>2018</x:v>
      </x:c>
      <x:c r="J222" s="8" t="s">
        <x:v>190</x:v>
      </x:c>
      <x:c r="K222" s="1" t="s">
        <x:v>190</x:v>
      </x:c>
      <x:c r="L222" s="8" t="s">
        <x:v>1890</x:v>
      </x:c>
      <x:c r="M222" s="1" t="s">
        <x:v>61</x:v>
      </x:c>
      <x:c r="N222" s="8"/>
      <x:c r="O222" s="1"/>
      <x:c r="P222" s="8"/>
      <x:c r="Q222" s="1"/>
      <x:c r="R222" s="8" t="s">
        <x:v>2797</x:v>
      </x:c>
      <x:c r="S222" s="3"/>
      <x:c r="T222" s="8" t="s">
        <x:v>63</x:v>
      </x:c>
      <x:c r="U222" s="1" t="s">
        <x:v>2798</x:v>
      </x:c>
      <x:c r="V222" s="13">
        <x:v>1</x:v>
      </x:c>
      <x:c r="W222" s="1" t="s">
        <x:v>65</x:v>
      </x:c>
      <x:c r="X222" s="8" t="s">
        <x:v>66</x:v>
      </x:c>
      <x:c r="Y222" s="1" t="str">
        <x:v>Проверено автором исследования</x:v>
      </x:c>
      <x:c r="Z222" s="8" t="s">
        <x:v>2799</x:v>
      </x:c>
      <x:c r="AA222" s="1" t="s">
        <x:v>2800</x:v>
      </x:c>
      <x:c r="AB222" s="13">
        <x:v>2026</x:v>
      </x:c>
      <x:c r="AC222" s="3">
        <x:v>46322</x:v>
      </x:c>
      <x:c r="AD222" s="8" t="s">
        <x:v>69</x:v>
      </x:c>
      <x:c r="AE222" s="1" t="s">
        <x:v>2801</x:v>
      </x:c>
      <x:c r="AF222" s="8" t="s">
        <x:v>118</x:v>
      </x:c>
      <x:c r="AG222" s="1" t="s">
        <x:v>2802</x:v>
      </x:c>
      <x:c r="AH222" s="8" t="str">
        <x:v>Краткая затекстовая ссылка; повторная документальная сверка выполнена</x:v>
      </x:c>
      <x:c r="AI222" s="1"/>
      <x:c r="AJ222" s="17"/>
      <x:c r="AK222" s="1" t="s">
        <x:v>73</x:v>
      </x:c>
      <x:c r="AL222" s="8" t="s">
        <x:v>74</x:v>
      </x:c>
      <x:c r="AM222" s="1"/>
      <x:c r="AN222" s="8" t="s">
        <x:v>75</x:v>
      </x:c>
      <x:c r="AO222" s="1" t="s">
        <x:v>76</x:v>
      </x:c>
      <x:c r="AP222" s="8"/>
      <x:c r="AQ222" s="1" t="s">
        <x:v>77</x:v>
      </x:c>
      <x:c r="AR222" s="8" t="str">
        <x:v>Проверка автором исследования</x:v>
      </x:c>
      <x:c r="AS222" s="1" t="s">
        <x:v>2803</x:v>
      </x:c>
      <x:c r="AT222" s="8" t="s">
        <x:v>2804</x:v>
      </x:c>
      <x:c r="AU222" s="1" t="s">
        <x:v>2805</x:v>
      </x:c>
      <x:c r="AV222" s="17">
        <x:v>46321</x:v>
      </x:c>
      <x:c r="AW222" s="1" t="s">
        <x:v>81</x:v>
      </x:c>
      <x:c r="AX222" s="8" t="s">
        <x:v>82</x:v>
      </x:c>
      <x:c r="AY222" s="8"/>
    </x:row>
    <x:row r="223" ht="69.94999694824219" customHeight="1">
      <x:c r="A223" s="1" t="s">
        <x:v>2806</x:v>
      </x:c>
      <x:c r="B223" s="8" t="s">
        <x:v>2807</x:v>
      </x:c>
      <x:c r="C223" s="1" t="s">
        <x:v>2808</x:v>
      </x:c>
      <x:c r="D223" s="8" t="s">
        <x:v>73</x:v>
      </x:c>
      <x:c r="E223" s="1" t="s">
        <x:v>76</x:v>
      </x:c>
      <x:c r="F223" s="8" t="s">
        <x:v>2809</x:v>
      </x:c>
      <x:c r="G223" s="1" t="s">
        <x:v>2810</x:v>
      </x:c>
      <x:c r="H223" s="8" t="s">
        <x:v>2811</x:v>
      </x:c>
      <x:c r="I223" s="4">
        <x:v>2008</x:v>
      </x:c>
      <x:c r="J223" s="8"/>
      <x:c r="K223" s="1" t="s">
        <x:v>2812</x:v>
      </x:c>
      <x:c r="L223" s="8" t="s">
        <x:v>2813</x:v>
      </x:c>
      <x:c r="M223" s="1" t="s">
        <x:v>61</x:v>
      </x:c>
      <x:c r="N223" s="8"/>
      <x:c r="O223" s="1"/>
      <x:c r="P223" s="8"/>
      <x:c r="Q223" s="1"/>
      <x:c r="R223" s="8"/>
      <x:c r="S223" s="3"/>
      <x:c r="T223" s="8" t="s">
        <x:v>63</x:v>
      </x:c>
      <x:c r="U223" s="1" t="s">
        <x:v>2814</x:v>
      </x:c>
      <x:c r="V223" s="13">
        <x:v>3</x:v>
      </x:c>
      <x:c r="W223" s="1" t="s">
        <x:v>140</x:v>
      </x:c>
      <x:c r="X223" s="8" t="s">
        <x:v>66</x:v>
      </x:c>
      <x:c r="Y223" s="1" t="str">
        <x:v>Проверено автором; дополнительно проверено Михаилом Саяпиным</x:v>
      </x:c>
      <x:c r="Z223" s="8"/>
      <x:c r="AA223" s="1" t="s">
        <x:v>2815</x:v>
      </x:c>
      <x:c r="AB223" s="13">
        <x:v>2026</x:v>
      </x:c>
      <x:c r="AC223" s="3"/>
      <x:c r="AD223" s="8" t="s">
        <x:v>93</x:v>
      </x:c>
      <x:c r="AE223" s="1" t="s">
        <x:v>2816</x:v>
      </x:c>
      <x:c r="AF223" s="8" t="s">
        <x:v>118</x:v>
      </x:c>
      <x:c r="AG223" s="1" t="s">
        <x:v>2817</x:v>
      </x:c>
      <x:c r="AH223" s="8" t="s">
        <x:v>144</x:v>
      </x:c>
      <x:c r="AI223" s="1" t="s">
        <x:v>145</x:v>
      </x:c>
      <x:c r="AJ223" s="17">
        <x:v>46323</x:v>
      </x:c>
      <x:c r="AK223" s="1" t="s">
        <x:v>73</x:v>
      </x:c>
      <x:c r="AL223" s="8" t="s">
        <x:v>74</x:v>
      </x:c>
      <x:c r="AM223" s="1"/>
      <x:c r="AN223" s="8" t="s">
        <x:v>95</x:v>
      </x:c>
      <x:c r="AO223" s="1" t="s">
        <x:v>76</x:v>
      </x:c>
      <x:c r="AP223" s="8"/>
      <x:c r="AQ223" s="1" t="s">
        <x:v>77</x:v>
      </x:c>
      <x:c r="AR223" s="8" t="str">
        <x:v>Проверка автором исследования; дополнительная проверка Михаилом Саяпиным; согласование 28.10.2026</x:v>
      </x:c>
      <x:c r="AS223" s="1"/>
      <x:c r="AT223" s="8" t="s">
        <x:v>96</x:v>
      </x:c>
      <x:c r="AU223" s="1" t="s">
        <x:v>97</x:v>
      </x:c>
      <x:c r="AV223" s="17"/>
      <x:c r="AW223" s="1" t="s">
        <x:v>98</x:v>
      </x:c>
      <x:c r="AX223" s="8" t="s">
        <x:v>146</x:v>
      </x:c>
      <x:c r="AY223" s="8" t="s">
        <x:v>2818</x:v>
      </x:c>
    </x:row>
    <x:row r="224" ht="69.94999694824219" customHeight="1">
      <x:c r="A224" s="1" t="s">
        <x:v>2819</x:v>
      </x:c>
      <x:c r="B224" s="8" t="s">
        <x:v>2820</x:v>
      </x:c>
      <x:c r="C224" s="1" t="s">
        <x:v>2821</x:v>
      </x:c>
      <x:c r="D224" s="8" t="s">
        <x:v>73</x:v>
      </x:c>
      <x:c r="E224" s="1" t="s">
        <x:v>76</x:v>
      </x:c>
      <x:c r="F224" s="8" t="s">
        <x:v>2822</x:v>
      </x:c>
      <x:c r="G224" s="1" t="s">
        <x:v>2823</x:v>
      </x:c>
      <x:c r="H224" s="8" t="s">
        <x:v>2824</x:v>
      </x:c>
      <x:c r="I224" s="4">
        <x:v>2010</x:v>
      </x:c>
      <x:c r="J224" s="8"/>
      <x:c r="K224" s="1" t="s">
        <x:v>182</x:v>
      </x:c>
      <x:c r="L224" s="8" t="s">
        <x:v>2825</x:v>
      </x:c>
      <x:c r="M224" s="1" t="s">
        <x:v>61</x:v>
      </x:c>
      <x:c r="N224" s="8"/>
      <x:c r="O224" s="1"/>
      <x:c r="P224" s="8"/>
      <x:c r="Q224" s="1"/>
      <x:c r="R224" s="8"/>
      <x:c r="S224" s="3"/>
      <x:c r="T224" s="8" t="s">
        <x:v>63</x:v>
      </x:c>
      <x:c r="U224" s="1" t="s">
        <x:v>2814</x:v>
      </x:c>
      <x:c r="V224" s="13">
        <x:v>4</x:v>
      </x:c>
      <x:c r="W224" s="1" t="s">
        <x:v>65</x:v>
      </x:c>
      <x:c r="X224" s="8" t="s">
        <x:v>66</x:v>
      </x:c>
      <x:c r="Y224" s="1" t="str">
        <x:v>Проверено автором исследования</x:v>
      </x:c>
      <x:c r="Z224" s="8"/>
      <x:c r="AA224" s="1" t="s">
        <x:v>2815</x:v>
      </x:c>
      <x:c r="AB224" s="13">
        <x:v>2026</x:v>
      </x:c>
      <x:c r="AC224" s="3"/>
      <x:c r="AD224" s="8" t="s">
        <x:v>93</x:v>
      </x:c>
      <x:c r="AE224" s="1" t="s">
        <x:v>2826</x:v>
      </x:c>
      <x:c r="AF224" s="8" t="s">
        <x:v>118</x:v>
      </x:c>
      <x:c r="AG224" s="1" t="s">
        <x:v>2817</x:v>
      </x:c>
      <x:c r="AH224" s="8" t="str">
        <x:v>Краткая затекстовая ссылка; повторная документальная сверка выполнена</x:v>
      </x:c>
      <x:c r="AI224" s="1"/>
      <x:c r="AJ224" s="17"/>
      <x:c r="AK224" s="1" t="s">
        <x:v>73</x:v>
      </x:c>
      <x:c r="AL224" s="8" t="s">
        <x:v>74</x:v>
      </x:c>
      <x:c r="AM224" s="1"/>
      <x:c r="AN224" s="8" t="s">
        <x:v>95</x:v>
      </x:c>
      <x:c r="AO224" s="1" t="s">
        <x:v>76</x:v>
      </x:c>
      <x:c r="AP224" s="8"/>
      <x:c r="AQ224" s="1" t="s">
        <x:v>77</x:v>
      </x:c>
      <x:c r="AR224" s="8" t="str">
        <x:v>Проверка автором исследования</x:v>
      </x:c>
      <x:c r="AS224" s="1"/>
      <x:c r="AT224" s="8" t="s">
        <x:v>96</x:v>
      </x:c>
      <x:c r="AU224" s="1" t="s">
        <x:v>97</x:v>
      </x:c>
      <x:c r="AV224" s="17"/>
      <x:c r="AW224" s="1" t="s">
        <x:v>98</x:v>
      </x:c>
      <x:c r="AX224" s="8" t="s">
        <x:v>82</x:v>
      </x:c>
      <x:c r="AY224" s="8"/>
    </x:row>
    <x:row r="225" ht="111.94999694824219" customHeight="1">
      <x:c r="A225" s="1" t="s">
        <x:v>2827</x:v>
      </x:c>
      <x:c r="B225" s="8" t="s">
        <x:v>2828</x:v>
      </x:c>
      <x:c r="C225" s="1" t="s">
        <x:v>2829</x:v>
      </x:c>
      <x:c r="D225" s="8" t="s">
        <x:v>53</x:v>
      </x:c>
      <x:c r="E225" s="1" t="s">
        <x:v>54</x:v>
      </x:c>
      <x:c r="F225" s="8" t="s">
        <x:v>2830</x:v>
      </x:c>
      <x:c r="G225" s="1" t="s">
        <x:v>2831</x:v>
      </x:c>
      <x:c r="H225" s="8" t="s">
        <x:v>2352</x:v>
      </x:c>
      <x:c r="I225" s="4">
        <x:v>2022</x:v>
      </x:c>
      <x:c r="J225" s="8"/>
      <x:c r="K225" s="1" t="s">
        <x:v>2832</x:v>
      </x:c>
      <x:c r="L225" s="8" t="s">
        <x:v>2833</x:v>
      </x:c>
      <x:c r="M225" s="1" t="s">
        <x:v>61</x:v>
      </x:c>
      <x:c r="N225" s="8"/>
      <x:c r="O225" s="1"/>
      <x:c r="P225" s="8"/>
      <x:c r="Q225" s="1"/>
      <x:c r="R225" s="8" t="s">
        <x:v>2834</x:v>
      </x:c>
      <x:c r="S225" s="3"/>
      <x:c r="T225" s="8" t="s">
        <x:v>63</x:v>
      </x:c>
      <x:c r="U225" s="1" t="s">
        <x:v>2814</x:v>
      </x:c>
      <x:c r="V225" s="13">
        <x:v>9</x:v>
      </x:c>
      <x:c r="W225" s="1" t="s">
        <x:v>65</x:v>
      </x:c>
      <x:c r="X225" s="8" t="s">
        <x:v>66</x:v>
      </x:c>
      <x:c r="Y225" s="1" t="str">
        <x:v>Проверено автором исследования</x:v>
      </x:c>
      <x:c r="Z225" s="8" t="s">
        <x:v>2835</x:v>
      </x:c>
      <x:c r="AA225" s="1" t="s">
        <x:v>2815</x:v>
      </x:c>
      <x:c r="AB225" s="13">
        <x:v>2026</x:v>
      </x:c>
      <x:c r="AC225" s="3">
        <x:v>46322</x:v>
      </x:c>
      <x:c r="AD225" s="8" t="s">
        <x:v>69</x:v>
      </x:c>
      <x:c r="AE225" s="1" t="s">
        <x:v>2836</x:v>
      </x:c>
      <x:c r="AF225" s="8" t="s">
        <x:v>118</x:v>
      </x:c>
      <x:c r="AG225" s="1" t="s">
        <x:v>2817</x:v>
      </x:c>
      <x:c r="AH225" s="8" t="str">
        <x:v>Краткая затекстовая ссылка; повторная документальная сверка выполнена</x:v>
      </x:c>
      <x:c r="AI225" s="1"/>
      <x:c r="AJ225" s="17"/>
      <x:c r="AK225" s="1" t="s">
        <x:v>73</x:v>
      </x:c>
      <x:c r="AL225" s="8" t="s">
        <x:v>74</x:v>
      </x:c>
      <x:c r="AM225" s="1"/>
      <x:c r="AN225" s="8" t="s">
        <x:v>75</x:v>
      </x:c>
      <x:c r="AO225" s="1" t="s">
        <x:v>76</x:v>
      </x:c>
      <x:c r="AP225" s="8"/>
      <x:c r="AQ225" s="1" t="s">
        <x:v>77</x:v>
      </x:c>
      <x:c r="AR225" s="8" t="str">
        <x:v>Проверка автором исследования</x:v>
      </x:c>
      <x:c r="AS225" s="1" t="s">
        <x:v>2837</x:v>
      </x:c>
      <x:c r="AT225" s="8" t="s">
        <x:v>2838</x:v>
      </x:c>
      <x:c r="AU225" s="1" t="s">
        <x:v>2839</x:v>
      </x:c>
      <x:c r="AV225" s="17">
        <x:v>46321</x:v>
      </x:c>
      <x:c r="AW225" s="1" t="s">
        <x:v>81</x:v>
      </x:c>
      <x:c r="AX225" s="8" t="s">
        <x:v>82</x:v>
      </x:c>
      <x:c r="AY225" s="8"/>
    </x:row>
    <x:row r="226" ht="84" customHeight="1">
      <x:c r="A226" s="1" t="s">
        <x:v>2840</x:v>
      </x:c>
      <x:c r="B226" s="8" t="s">
        <x:v>2841</x:v>
      </x:c>
      <x:c r="C226" s="1" t="s">
        <x:v>2842</x:v>
      </x:c>
      <x:c r="D226" s="8" t="s">
        <x:v>53</x:v>
      </x:c>
      <x:c r="E226" s="1" t="s">
        <x:v>54</x:v>
      </x:c>
      <x:c r="F226" s="8" t="s">
        <x:v>2843</x:v>
      </x:c>
      <x:c r="G226" s="1" t="s">
        <x:v>2844</x:v>
      </x:c>
      <x:c r="H226" s="8" t="s">
        <x:v>2845</x:v>
      </x:c>
      <x:c r="I226" s="4">
        <x:v>2021</x:v>
      </x:c>
      <x:c r="J226" s="8"/>
      <x:c r="K226" s="1" t="s">
        <x:v>106</x:v>
      </x:c>
      <x:c r="L226" s="8" t="s">
        <x:v>2846</x:v>
      </x:c>
      <x:c r="M226" s="1" t="s">
        <x:v>61</x:v>
      </x:c>
      <x:c r="N226" s="8"/>
      <x:c r="O226" s="1"/>
      <x:c r="P226" s="8"/>
      <x:c r="Q226" s="1"/>
      <x:c r="R226" s="8" t="s">
        <x:v>2847</x:v>
      </x:c>
      <x:c r="S226" s="3"/>
      <x:c r="T226" s="8" t="s">
        <x:v>63</x:v>
      </x:c>
      <x:c r="U226" s="1" t="s">
        <x:v>2848</x:v>
      </x:c>
      <x:c r="V226" s="13">
        <x:v>11</x:v>
      </x:c>
      <x:c r="W226" s="1" t="s">
        <x:v>65</x:v>
      </x:c>
      <x:c r="X226" s="8" t="s">
        <x:v>66</x:v>
      </x:c>
      <x:c r="Y226" s="1" t="str">
        <x:v>Проверено автором исследования</x:v>
      </x:c>
      <x:c r="Z226" s="8" t="s">
        <x:v>2849</x:v>
      </x:c>
      <x:c r="AA226" s="1" t="s">
        <x:v>2850</x:v>
      </x:c>
      <x:c r="AB226" s="13">
        <x:v>2026</x:v>
      </x:c>
      <x:c r="AC226" s="3">
        <x:v>46322</x:v>
      </x:c>
      <x:c r="AD226" s="8" t="s">
        <x:v>69</x:v>
      </x:c>
      <x:c r="AE226" s="1" t="s">
        <x:v>2851</x:v>
      </x:c>
      <x:c r="AF226" s="8" t="s">
        <x:v>118</x:v>
      </x:c>
      <x:c r="AG226" s="1" t="s">
        <x:v>2852</x:v>
      </x:c>
      <x:c r="AH226" s="8" t="str">
        <x:v>Краткая затекстовая ссылка; повторная документальная сверка выполнена</x:v>
      </x:c>
      <x:c r="AI226" s="1"/>
      <x:c r="AJ226" s="17"/>
      <x:c r="AK226" s="1" t="s">
        <x:v>73</x:v>
      </x:c>
      <x:c r="AL226" s="8" t="s">
        <x:v>74</x:v>
      </x:c>
      <x:c r="AM226" s="1"/>
      <x:c r="AN226" s="8" t="s">
        <x:v>75</x:v>
      </x:c>
      <x:c r="AO226" s="1" t="s">
        <x:v>76</x:v>
      </x:c>
      <x:c r="AP226" s="8"/>
      <x:c r="AQ226" s="1" t="s">
        <x:v>77</x:v>
      </x:c>
      <x:c r="AR226" s="8" t="str">
        <x:v>Проверка автором исследования</x:v>
      </x:c>
      <x:c r="AS226" s="1" t="s">
        <x:v>2853</x:v>
      </x:c>
      <x:c r="AT226" s="8" t="s">
        <x:v>2854</x:v>
      </x:c>
      <x:c r="AU226" s="1" t="s">
        <x:v>2855</x:v>
      </x:c>
      <x:c r="AV226" s="17">
        <x:v>46321</x:v>
      </x:c>
      <x:c r="AW226" s="1" t="s">
        <x:v>81</x:v>
      </x:c>
      <x:c r="AX226" s="8" t="s">
        <x:v>82</x:v>
      </x:c>
      <x:c r="AY226" s="8"/>
    </x:row>
    <x:row r="227" ht="140.10000610351562" customHeight="1">
      <x:c r="A227" s="1" t="s">
        <x:v>2856</x:v>
      </x:c>
      <x:c r="B227" s="8" t="s">
        <x:v>2857</x:v>
      </x:c>
      <x:c r="C227" s="1" t="s">
        <x:v>2858</x:v>
      </x:c>
      <x:c r="D227" s="8" t="s">
        <x:v>53</x:v>
      </x:c>
      <x:c r="E227" s="1" t="s">
        <x:v>54</x:v>
      </x:c>
      <x:c r="F227" s="8" t="s">
        <x:v>2859</x:v>
      </x:c>
      <x:c r="G227" s="1" t="s">
        <x:v>2860</x:v>
      </x:c>
      <x:c r="H227" s="8" t="s">
        <x:v>2616</x:v>
      </x:c>
      <x:c r="I227" s="4">
        <x:v>2022</x:v>
      </x:c>
      <x:c r="J227" s="8" t="s">
        <x:v>754</x:v>
      </x:c>
      <x:c r="K227" s="1" t="s">
        <x:v>182</x:v>
      </x:c>
      <x:c r="L227" s="8" t="s">
        <x:v>2861</x:v>
      </x:c>
      <x:c r="M227" s="1" t="s">
        <x:v>61</x:v>
      </x:c>
      <x:c r="N227" s="8"/>
      <x:c r="O227" s="1"/>
      <x:c r="P227" s="8"/>
      <x:c r="Q227" s="1"/>
      <x:c r="R227" s="8" t="s">
        <x:v>2862</x:v>
      </x:c>
      <x:c r="S227" s="3"/>
      <x:c r="T227" s="8" t="s">
        <x:v>63</x:v>
      </x:c>
      <x:c r="U227" s="1" t="s">
        <x:v>2848</x:v>
      </x:c>
      <x:c r="V227" s="13">
        <x:v>17</x:v>
      </x:c>
      <x:c r="W227" s="1" t="s">
        <x:v>65</x:v>
      </x:c>
      <x:c r="X227" s="8" t="s">
        <x:v>66</x:v>
      </x:c>
      <x:c r="Y227" s="1" t="str">
        <x:v>Проверено автором исследования</x:v>
      </x:c>
      <x:c r="Z227" s="8" t="s">
        <x:v>2863</x:v>
      </x:c>
      <x:c r="AA227" s="1" t="s">
        <x:v>2850</x:v>
      </x:c>
      <x:c r="AB227" s="13">
        <x:v>2026</x:v>
      </x:c>
      <x:c r="AC227" s="3">
        <x:v>46322</x:v>
      </x:c>
      <x:c r="AD227" s="8" t="s">
        <x:v>69</x:v>
      </x:c>
      <x:c r="AE227" s="1" t="s">
        <x:v>2864</x:v>
      </x:c>
      <x:c r="AF227" s="8" t="s">
        <x:v>118</x:v>
      </x:c>
      <x:c r="AG227" s="1" t="s">
        <x:v>2852</x:v>
      </x:c>
      <x:c r="AH227" s="8" t="str">
        <x:v>Краткая затекстовая ссылка; повторная документальная сверка выполнена</x:v>
      </x:c>
      <x:c r="AI227" s="1"/>
      <x:c r="AJ227" s="17"/>
      <x:c r="AK227" s="1" t="s">
        <x:v>73</x:v>
      </x:c>
      <x:c r="AL227" s="8" t="s">
        <x:v>74</x:v>
      </x:c>
      <x:c r="AM227" s="1"/>
      <x:c r="AN227" s="8" t="s">
        <x:v>75</x:v>
      </x:c>
      <x:c r="AO227" s="1" t="s">
        <x:v>76</x:v>
      </x:c>
      <x:c r="AP227" s="8"/>
      <x:c r="AQ227" s="1" t="s">
        <x:v>77</x:v>
      </x:c>
      <x:c r="AR227" s="8" t="str">
        <x:v>Проверка автором исследования</x:v>
      </x:c>
      <x:c r="AS227" s="1" t="s">
        <x:v>2865</x:v>
      </x:c>
      <x:c r="AT227" s="8" t="s">
        <x:v>2866</x:v>
      </x:c>
      <x:c r="AU227" s="1" t="s">
        <x:v>2867</x:v>
      </x:c>
      <x:c r="AV227" s="17">
        <x:v>46321</x:v>
      </x:c>
      <x:c r="AW227" s="1" t="s">
        <x:v>81</x:v>
      </x:c>
      <x:c r="AX227" s="8" t="s">
        <x:v>82</x:v>
      </x:c>
      <x:c r="AY227" s="8"/>
    </x:row>
    <x:row r="228" ht="98.0999984741211" customHeight="1">
      <x:c r="A228" s="1" t="s">
        <x:v>2868</x:v>
      </x:c>
      <x:c r="B228" s="8" t="s">
        <x:v>2869</x:v>
      </x:c>
      <x:c r="C228" s="1" t="s">
        <x:v>2870</x:v>
      </x:c>
      <x:c r="D228" s="8" t="s">
        <x:v>53</x:v>
      </x:c>
      <x:c r="E228" s="1" t="s">
        <x:v>54</x:v>
      </x:c>
      <x:c r="F228" s="8" t="s">
        <x:v>2871</x:v>
      </x:c>
      <x:c r="G228" s="1" t="s">
        <x:v>2872</x:v>
      </x:c>
      <x:c r="H228" s="8" t="s">
        <x:v>2873</x:v>
      </x:c>
      <x:c r="I228" s="4">
        <x:v>2025</x:v>
      </x:c>
      <x:c r="J228" s="8"/>
      <x:c r="K228" s="1" t="s">
        <x:v>182</x:v>
      </x:c>
      <x:c r="L228" s="8" t="s">
        <x:v>2874</x:v>
      </x:c>
      <x:c r="M228" s="1" t="s">
        <x:v>61</x:v>
      </x:c>
      <x:c r="N228" s="8"/>
      <x:c r="O228" s="1"/>
      <x:c r="P228" s="8"/>
      <x:c r="Q228" s="1"/>
      <x:c r="R228" s="8" t="s">
        <x:v>2875</x:v>
      </x:c>
      <x:c r="S228" s="3"/>
      <x:c r="T228" s="8" t="s">
        <x:v>63</x:v>
      </x:c>
      <x:c r="U228" s="1" t="s">
        <x:v>2876</x:v>
      </x:c>
      <x:c r="V228" s="13">
        <x:v>22</x:v>
      </x:c>
      <x:c r="W228" s="1" t="s">
        <x:v>65</x:v>
      </x:c>
      <x:c r="X228" s="8" t="s">
        <x:v>66</x:v>
      </x:c>
      <x:c r="Y228" s="1" t="str">
        <x:v>Проверено автором исследования</x:v>
      </x:c>
      <x:c r="Z228" s="8" t="s">
        <x:v>2877</x:v>
      </x:c>
      <x:c r="AA228" s="1" t="s">
        <x:v>2878</x:v>
      </x:c>
      <x:c r="AB228" s="13">
        <x:v>2026</x:v>
      </x:c>
      <x:c r="AC228" s="3">
        <x:v>46322</x:v>
      </x:c>
      <x:c r="AD228" s="8" t="s">
        <x:v>69</x:v>
      </x:c>
      <x:c r="AE228" s="1" t="s">
        <x:v>2879</x:v>
      </x:c>
      <x:c r="AF228" s="8" t="s">
        <x:v>118</x:v>
      </x:c>
      <x:c r="AG228" s="1" t="s">
        <x:v>2880</x:v>
      </x:c>
      <x:c r="AH228" s="8" t="str">
        <x:v>Краткая затекстовая ссылка; повторная документальная сверка выполнена</x:v>
      </x:c>
      <x:c r="AI228" s="1"/>
      <x:c r="AJ228" s="17"/>
      <x:c r="AK228" s="1" t="s">
        <x:v>73</x:v>
      </x:c>
      <x:c r="AL228" s="8" t="s">
        <x:v>74</x:v>
      </x:c>
      <x:c r="AM228" s="1"/>
      <x:c r="AN228" s="8" t="s">
        <x:v>75</x:v>
      </x:c>
      <x:c r="AO228" s="1" t="s">
        <x:v>76</x:v>
      </x:c>
      <x:c r="AP228" s="8"/>
      <x:c r="AQ228" s="1" t="s">
        <x:v>77</x:v>
      </x:c>
      <x:c r="AR228" s="8" t="str">
        <x:v>Проверка автором исследования</x:v>
      </x:c>
      <x:c r="AS228" s="1" t="s">
        <x:v>2881</x:v>
      </x:c>
      <x:c r="AT228" s="8" t="s">
        <x:v>2882</x:v>
      </x:c>
      <x:c r="AU228" s="1" t="s">
        <x:v>2883</x:v>
      </x:c>
      <x:c r="AV228" s="17">
        <x:v>46321</x:v>
      </x:c>
      <x:c r="AW228" s="1" t="s">
        <x:v>81</x:v>
      </x:c>
      <x:c r="AX228" s="8" t="s">
        <x:v>82</x:v>
      </x:c>
      <x:c r="AY228" s="8"/>
    </x:row>
    <x:row r="229" ht="98.0999984741211" customHeight="1">
      <x:c r="A229" s="1" t="s">
        <x:v>2884</x:v>
      </x:c>
      <x:c r="B229" s="8" t="s">
        <x:v>2885</x:v>
      </x:c>
      <x:c r="C229" s="1" t="s">
        <x:v>2886</x:v>
      </x:c>
      <x:c r="D229" s="8" t="s">
        <x:v>73</x:v>
      </x:c>
      <x:c r="E229" s="1" t="s">
        <x:v>76</x:v>
      </x:c>
      <x:c r="F229" s="8" t="s">
        <x:v>2871</x:v>
      </x:c>
      <x:c r="G229" s="1" t="s">
        <x:v>2887</x:v>
      </x:c>
      <x:c r="H229" s="8" t="s">
        <x:v>2888</x:v>
      </x:c>
      <x:c r="I229" s="4">
        <x:v>2025</x:v>
      </x:c>
      <x:c r="J229" s="8"/>
      <x:c r="K229" s="1" t="s">
        <x:v>416</x:v>
      </x:c>
      <x:c r="L229" s="8" t="s">
        <x:v>2889</x:v>
      </x:c>
      <x:c r="M229" s="1" t="s">
        <x:v>61</x:v>
      </x:c>
      <x:c r="N229" s="8"/>
      <x:c r="O229" s="1"/>
      <x:c r="P229" s="8"/>
      <x:c r="Q229" s="1"/>
      <x:c r="R229" s="8" t="s">
        <x:v>2890</x:v>
      </x:c>
      <x:c r="S229" s="3"/>
      <x:c r="T229" s="8" t="s">
        <x:v>63</x:v>
      </x:c>
      <x:c r="U229" s="1" t="s">
        <x:v>2876</x:v>
      </x:c>
      <x:c r="V229" s="13">
        <x:v>25</x:v>
      </x:c>
      <x:c r="W229" s="1" t="s">
        <x:v>65</x:v>
      </x:c>
      <x:c r="X229" s="8" t="s">
        <x:v>66</x:v>
      </x:c>
      <x:c r="Y229" s="1" t="str">
        <x:v>Проверено автором исследования</x:v>
      </x:c>
      <x:c r="Z229" s="8" t="s">
        <x:v>2891</x:v>
      </x:c>
      <x:c r="AA229" s="1" t="s">
        <x:v>2878</x:v>
      </x:c>
      <x:c r="AB229" s="13">
        <x:v>2026</x:v>
      </x:c>
      <x:c r="AC229" s="3"/>
      <x:c r="AD229" s="8" t="s">
        <x:v>93</x:v>
      </x:c>
      <x:c r="AE229" s="1" t="s">
        <x:v>2892</x:v>
      </x:c>
      <x:c r="AF229" s="8" t="s">
        <x:v>118</x:v>
      </x:c>
      <x:c r="AG229" s="1" t="s">
        <x:v>2880</x:v>
      </x:c>
      <x:c r="AH229" s="8" t="str">
        <x:v>Краткая затекстовая ссылка; повторная документальная сверка выполнена</x:v>
      </x:c>
      <x:c r="AI229" s="1"/>
      <x:c r="AJ229" s="17"/>
      <x:c r="AK229" s="1" t="s">
        <x:v>73</x:v>
      </x:c>
      <x:c r="AL229" s="8" t="s">
        <x:v>74</x:v>
      </x:c>
      <x:c r="AM229" s="1"/>
      <x:c r="AN229" s="8" t="s">
        <x:v>95</x:v>
      </x:c>
      <x:c r="AO229" s="1" t="s">
        <x:v>76</x:v>
      </x:c>
      <x:c r="AP229" s="8"/>
      <x:c r="AQ229" s="1" t="s">
        <x:v>77</x:v>
      </x:c>
      <x:c r="AR229" s="8" t="str">
        <x:v>Проверка автором исследования</x:v>
      </x:c>
      <x:c r="AS229" s="1"/>
      <x:c r="AT229" s="8" t="s">
        <x:v>96</x:v>
      </x:c>
      <x:c r="AU229" s="1" t="s">
        <x:v>447</x:v>
      </x:c>
      <x:c r="AV229" s="17">
        <x:v>46321</x:v>
      </x:c>
      <x:c r="AW229" s="1" t="s">
        <x:v>81</x:v>
      </x:c>
      <x:c r="AX229" s="8" t="s">
        <x:v>82</x:v>
      </x:c>
      <x:c r="AY229" s="8"/>
    </x:row>
    <x:row r="230" ht="98.0999984741211" customHeight="1">
      <x:c r="A230" s="1" t="s">
        <x:v>2893</x:v>
      </x:c>
      <x:c r="B230" s="8" t="s">
        <x:v>2894</x:v>
      </x:c>
      <x:c r="C230" s="1" t="s">
        <x:v>2895</x:v>
      </x:c>
      <x:c r="D230" s="8" t="s">
        <x:v>53</x:v>
      </x:c>
      <x:c r="E230" s="1" t="s">
        <x:v>54</x:v>
      </x:c>
      <x:c r="F230" s="8" t="s">
        <x:v>2896</x:v>
      </x:c>
      <x:c r="G230" s="1" t="s">
        <x:v>2897</x:v>
      </x:c>
      <x:c r="H230" s="8" t="s">
        <x:v>2898</x:v>
      </x:c>
      <x:c r="I230" s="4">
        <x:v>2026</x:v>
      </x:c>
      <x:c r="J230" s="8" t="s">
        <x:v>536</x:v>
      </x:c>
      <x:c r="K230" s="1" t="s">
        <x:v>239</x:v>
      </x:c>
      <x:c r="L230" s="8" t="s">
        <x:v>2899</x:v>
      </x:c>
      <x:c r="M230" s="1" t="s">
        <x:v>61</x:v>
      </x:c>
      <x:c r="N230" s="8"/>
      <x:c r="O230" s="1"/>
      <x:c r="P230" s="8"/>
      <x:c r="Q230" s="1"/>
      <x:c r="R230" s="8" t="s">
        <x:v>2900</x:v>
      </x:c>
      <x:c r="S230" s="3"/>
      <x:c r="T230" s="8" t="s">
        <x:v>63</x:v>
      </x:c>
      <x:c r="U230" s="1" t="s">
        <x:v>2901</x:v>
      </x:c>
      <x:c r="V230" s="13">
        <x:v>3</x:v>
      </x:c>
      <x:c r="W230" s="1" t="s">
        <x:v>65</x:v>
      </x:c>
      <x:c r="X230" s="8" t="s">
        <x:v>66</x:v>
      </x:c>
      <x:c r="Y230" s="1" t="str">
        <x:v>Проверено автором исследования</x:v>
      </x:c>
      <x:c r="Z230" s="8" t="s">
        <x:v>2902</x:v>
      </x:c>
      <x:c r="AA230" s="1" t="s">
        <x:v>2903</x:v>
      </x:c>
      <x:c r="AB230" s="13">
        <x:v>2026</x:v>
      </x:c>
      <x:c r="AC230" s="3">
        <x:v>46322</x:v>
      </x:c>
      <x:c r="AD230" s="8" t="s">
        <x:v>69</x:v>
      </x:c>
      <x:c r="AE230" s="1" t="s">
        <x:v>2904</x:v>
      </x:c>
      <x:c r="AF230" s="8" t="s">
        <x:v>118</x:v>
      </x:c>
      <x:c r="AG230" s="1" t="s">
        <x:v>2905</x:v>
      </x:c>
      <x:c r="AH230" s="8" t="str">
        <x:v>Краткая затекстовая ссылка; повторная документальная сверка выполнена</x:v>
      </x:c>
      <x:c r="AI230" s="1"/>
      <x:c r="AJ230" s="17"/>
      <x:c r="AK230" s="1" t="s">
        <x:v>73</x:v>
      </x:c>
      <x:c r="AL230" s="8" t="s">
        <x:v>74</x:v>
      </x:c>
      <x:c r="AM230" s="1"/>
      <x:c r="AN230" s="8" t="s">
        <x:v>75</x:v>
      </x:c>
      <x:c r="AO230" s="1" t="s">
        <x:v>76</x:v>
      </x:c>
      <x:c r="AP230" s="8"/>
      <x:c r="AQ230" s="1" t="s">
        <x:v>77</x:v>
      </x:c>
      <x:c r="AR230" s="8" t="str">
        <x:v>Проверка автором исследования</x:v>
      </x:c>
      <x:c r="AS230" s="1" t="s">
        <x:v>2906</x:v>
      </x:c>
      <x:c r="AT230" s="8" t="s">
        <x:v>2907</x:v>
      </x:c>
      <x:c r="AU230" s="1" t="s">
        <x:v>2908</x:v>
      </x:c>
      <x:c r="AV230" s="17">
        <x:v>46321</x:v>
      </x:c>
      <x:c r="AW230" s="1" t="s">
        <x:v>81</x:v>
      </x:c>
      <x:c r="AX230" s="8" t="s">
        <x:v>82</x:v>
      </x:c>
      <x:c r="AY230" s="8"/>
    </x:row>
    <x:row r="231" ht="69.94999694824219" customHeight="1">
      <x:c r="A231" s="1" t="s">
        <x:v>2909</x:v>
      </x:c>
      <x:c r="B231" s="8" t="s">
        <x:v>2910</x:v>
      </x:c>
      <x:c r="C231" s="1" t="s">
        <x:v>2911</x:v>
      </x:c>
      <x:c r="D231" s="8" t="s">
        <x:v>53</x:v>
      </x:c>
      <x:c r="E231" s="1" t="s">
        <x:v>54</x:v>
      </x:c>
      <x:c r="F231" s="8" t="s">
        <x:v>2896</x:v>
      </x:c>
      <x:c r="G231" s="1" t="s">
        <x:v>2912</x:v>
      </x:c>
      <x:c r="H231" s="8" t="s">
        <x:v>2616</x:v>
      </x:c>
      <x:c r="I231" s="4">
        <x:v>2023</x:v>
      </x:c>
      <x:c r="J231" s="8" t="s">
        <x:v>1649</x:v>
      </x:c>
      <x:c r="K231" s="1" t="s">
        <x:v>416</x:v>
      </x:c>
      <x:c r="L231" s="8" t="s">
        <x:v>2913</x:v>
      </x:c>
      <x:c r="M231" s="1" t="s">
        <x:v>61</x:v>
      </x:c>
      <x:c r="N231" s="8"/>
      <x:c r="O231" s="1"/>
      <x:c r="P231" s="8"/>
      <x:c r="Q231" s="1"/>
      <x:c r="R231" s="8" t="s">
        <x:v>2914</x:v>
      </x:c>
      <x:c r="S231" s="3"/>
      <x:c r="T231" s="8" t="s">
        <x:v>63</x:v>
      </x:c>
      <x:c r="U231" s="1" t="s">
        <x:v>2901</x:v>
      </x:c>
      <x:c r="V231" s="13">
        <x:v>6</x:v>
      </x:c>
      <x:c r="W231" s="1" t="s">
        <x:v>65</x:v>
      </x:c>
      <x:c r="X231" s="8" t="s">
        <x:v>66</x:v>
      </x:c>
      <x:c r="Y231" s="1" t="str">
        <x:v>Проверено автором исследования</x:v>
      </x:c>
      <x:c r="Z231" s="8" t="s">
        <x:v>2915</x:v>
      </x:c>
      <x:c r="AA231" s="1" t="s">
        <x:v>2903</x:v>
      </x:c>
      <x:c r="AB231" s="13">
        <x:v>2026</x:v>
      </x:c>
      <x:c r="AC231" s="3">
        <x:v>46322</x:v>
      </x:c>
      <x:c r="AD231" s="8" t="s">
        <x:v>69</x:v>
      </x:c>
      <x:c r="AE231" s="1" t="s">
        <x:v>2916</x:v>
      </x:c>
      <x:c r="AF231" s="8" t="s">
        <x:v>118</x:v>
      </x:c>
      <x:c r="AG231" s="1" t="s">
        <x:v>2905</x:v>
      </x:c>
      <x:c r="AH231" s="8" t="str">
        <x:v>Краткая затекстовая ссылка; повторная документальная сверка выполнена</x:v>
      </x:c>
      <x:c r="AI231" s="1"/>
      <x:c r="AJ231" s="17"/>
      <x:c r="AK231" s="1" t="s">
        <x:v>73</x:v>
      </x:c>
      <x:c r="AL231" s="8" t="s">
        <x:v>74</x:v>
      </x:c>
      <x:c r="AM231" s="1"/>
      <x:c r="AN231" s="8" t="s">
        <x:v>75</x:v>
      </x:c>
      <x:c r="AO231" s="1" t="s">
        <x:v>76</x:v>
      </x:c>
      <x:c r="AP231" s="8"/>
      <x:c r="AQ231" s="1" t="s">
        <x:v>77</x:v>
      </x:c>
      <x:c r="AR231" s="8" t="str">
        <x:v>Проверка автором исследования</x:v>
      </x:c>
      <x:c r="AS231" s="1" t="s">
        <x:v>2917</x:v>
      </x:c>
      <x:c r="AT231" s="8" t="s">
        <x:v>2918</x:v>
      </x:c>
      <x:c r="AU231" s="1" t="s">
        <x:v>2919</x:v>
      </x:c>
      <x:c r="AV231" s="17">
        <x:v>46321</x:v>
      </x:c>
      <x:c r="AW231" s="1" t="s">
        <x:v>81</x:v>
      </x:c>
      <x:c r="AX231" s="8" t="s">
        <x:v>82</x:v>
      </x:c>
      <x:c r="AY231" s="8"/>
    </x:row>
    <x:row r="232" ht="69.94999694824219" customHeight="1">
      <x:c r="A232" s="1" t="s">
        <x:v>2920</x:v>
      </x:c>
      <x:c r="B232" s="8" t="s">
        <x:v>2921</x:v>
      </x:c>
      <x:c r="C232" s="1" t="s">
        <x:v>2922</x:v>
      </x:c>
      <x:c r="D232" s="8" t="s">
        <x:v>73</x:v>
      </x:c>
      <x:c r="E232" s="1" t="s">
        <x:v>76</x:v>
      </x:c>
      <x:c r="F232" s="8" t="s">
        <x:v>2923</x:v>
      </x:c>
      <x:c r="G232" s="1" t="s">
        <x:v>2924</x:v>
      </x:c>
      <x:c r="H232" s="8" t="s">
        <x:v>2925</x:v>
      </x:c>
      <x:c r="I232" s="4">
        <x:v>2015</x:v>
      </x:c>
      <x:c r="J232" s="8"/>
      <x:c r="K232" s="1"/>
      <x:c r="L232" s="8" t="s">
        <x:v>2926</x:v>
      </x:c>
      <x:c r="M232" s="1" t="s">
        <x:v>61</x:v>
      </x:c>
      <x:c r="N232" s="8"/>
      <x:c r="O232" s="1"/>
      <x:c r="P232" s="8"/>
      <x:c r="Q232" s="1"/>
      <x:c r="R232" s="8"/>
      <x:c r="S232" s="3"/>
      <x:c r="T232" s="8" t="s">
        <x:v>63</x:v>
      </x:c>
      <x:c r="U232" s="1" t="s">
        <x:v>2927</x:v>
      </x:c>
      <x:c r="V232" s="13">
        <x:v>16</x:v>
      </x:c>
      <x:c r="W232" s="1" t="s">
        <x:v>65</x:v>
      </x:c>
      <x:c r="X232" s="8" t="s">
        <x:v>66</x:v>
      </x:c>
      <x:c r="Y232" s="1" t="str">
        <x:v>Проверено автором исследования</x:v>
      </x:c>
      <x:c r="Z232" s="8"/>
      <x:c r="AA232" s="1" t="s">
        <x:v>2928</x:v>
      </x:c>
      <x:c r="AB232" s="13">
        <x:v>2026</x:v>
      </x:c>
      <x:c r="AC232" s="3"/>
      <x:c r="AD232" s="8" t="s">
        <x:v>93</x:v>
      </x:c>
      <x:c r="AE232" s="1"/>
      <x:c r="AF232" s="8" t="s">
        <x:v>118</x:v>
      </x:c>
      <x:c r="AG232" s="1" t="s">
        <x:v>2929</x:v>
      </x:c>
      <x:c r="AH232" s="8" t="str">
        <x:v>Краткая затекстовая ссылка; повторная документальная сверка выполнена</x:v>
      </x:c>
      <x:c r="AI232" s="1"/>
      <x:c r="AJ232" s="17"/>
      <x:c r="AK232" s="1" t="s">
        <x:v>73</x:v>
      </x:c>
      <x:c r="AL232" s="8" t="s">
        <x:v>74</x:v>
      </x:c>
      <x:c r="AM232" s="1"/>
      <x:c r="AN232" s="8" t="s">
        <x:v>95</x:v>
      </x:c>
      <x:c r="AO232" s="1" t="s">
        <x:v>76</x:v>
      </x:c>
      <x:c r="AP232" s="8"/>
      <x:c r="AQ232" s="1" t="s">
        <x:v>77</x:v>
      </x:c>
      <x:c r="AR232" s="8" t="str">
        <x:v>Проверка автором исследования</x:v>
      </x:c>
      <x:c r="AS232" s="1"/>
      <x:c r="AT232" s="8" t="s">
        <x:v>96</x:v>
      </x:c>
      <x:c r="AU232" s="1" t="s">
        <x:v>97</x:v>
      </x:c>
      <x:c r="AV232" s="17"/>
      <x:c r="AW232" s="1" t="s">
        <x:v>98</x:v>
      </x:c>
      <x:c r="AX232" s="8" t="s">
        <x:v>82</x:v>
      </x:c>
      <x:c r="AY232" s="8"/>
    </x:row>
    <x:row r="233" ht="69.94999694824219" customHeight="1">
      <x:c r="A233" s="1" t="s">
        <x:v>2930</x:v>
      </x:c>
      <x:c r="B233" s="8" t="s">
        <x:v>2931</x:v>
      </x:c>
      <x:c r="C233" s="1" t="s">
        <x:v>2932</x:v>
      </x:c>
      <x:c r="D233" s="8" t="s">
        <x:v>73</x:v>
      </x:c>
      <x:c r="E233" s="1" t="s">
        <x:v>76</x:v>
      </x:c>
      <x:c r="F233" s="8" t="s">
        <x:v>2933</x:v>
      </x:c>
      <x:c r="G233" s="1" t="s">
        <x:v>2934</x:v>
      </x:c>
      <x:c r="H233" s="8" t="s">
        <x:v>2935</x:v>
      </x:c>
      <x:c r="I233" s="4">
        <x:v>2011</x:v>
      </x:c>
      <x:c r="J233" s="8"/>
      <x:c r="K233" s="1" t="s">
        <x:v>182</x:v>
      </x:c>
      <x:c r="L233" s="8" t="s">
        <x:v>2936</x:v>
      </x:c>
      <x:c r="M233" s="1" t="s">
        <x:v>61</x:v>
      </x:c>
      <x:c r="N233" s="8"/>
      <x:c r="O233" s="1"/>
      <x:c r="P233" s="8"/>
      <x:c r="Q233" s="1"/>
      <x:c r="R233" s="8"/>
      <x:c r="S233" s="3"/>
      <x:c r="T233" s="8" t="s">
        <x:v>63</x:v>
      </x:c>
      <x:c r="U233" s="1" t="s">
        <x:v>2927</x:v>
      </x:c>
      <x:c r="V233" s="13">
        <x:v>17</x:v>
      </x:c>
      <x:c r="W233" s="1" t="s">
        <x:v>65</x:v>
      </x:c>
      <x:c r="X233" s="8" t="s">
        <x:v>66</x:v>
      </x:c>
      <x:c r="Y233" s="1" t="str">
        <x:v>Проверено автором исследования</x:v>
      </x:c>
      <x:c r="Z233" s="8"/>
      <x:c r="AA233" s="1" t="s">
        <x:v>2928</x:v>
      </x:c>
      <x:c r="AB233" s="13">
        <x:v>2026</x:v>
      </x:c>
      <x:c r="AC233" s="3"/>
      <x:c r="AD233" s="8" t="s">
        <x:v>93</x:v>
      </x:c>
      <x:c r="AE233" s="1" t="s">
        <x:v>2937</x:v>
      </x:c>
      <x:c r="AF233" s="8" t="s">
        <x:v>118</x:v>
      </x:c>
      <x:c r="AG233" s="1" t="s">
        <x:v>2929</x:v>
      </x:c>
      <x:c r="AH233" s="8" t="str">
        <x:v>Краткая затекстовая ссылка; повторная документальная сверка выполнена</x:v>
      </x:c>
      <x:c r="AI233" s="1"/>
      <x:c r="AJ233" s="17"/>
      <x:c r="AK233" s="1" t="s">
        <x:v>73</x:v>
      </x:c>
      <x:c r="AL233" s="8" t="s">
        <x:v>74</x:v>
      </x:c>
      <x:c r="AM233" s="1"/>
      <x:c r="AN233" s="8" t="s">
        <x:v>95</x:v>
      </x:c>
      <x:c r="AO233" s="1" t="s">
        <x:v>76</x:v>
      </x:c>
      <x:c r="AP233" s="8"/>
      <x:c r="AQ233" s="1" t="s">
        <x:v>77</x:v>
      </x:c>
      <x:c r="AR233" s="8" t="str">
        <x:v>Проверка автором исследования</x:v>
      </x:c>
      <x:c r="AS233" s="1"/>
      <x:c r="AT233" s="8" t="s">
        <x:v>96</x:v>
      </x:c>
      <x:c r="AU233" s="1" t="s">
        <x:v>97</x:v>
      </x:c>
      <x:c r="AV233" s="17"/>
      <x:c r="AW233" s="1" t="s">
        <x:v>98</x:v>
      </x:c>
      <x:c r="AX233" s="8" t="s">
        <x:v>82</x:v>
      </x:c>
      <x:c r="AY233" s="8"/>
    </x:row>
    <x:row r="234" ht="126" customHeight="1">
      <x:c r="A234" s="1" t="s">
        <x:v>2938</x:v>
      </x:c>
      <x:c r="B234" s="8" t="s">
        <x:v>2939</x:v>
      </x:c>
      <x:c r="C234" s="1" t="s">
        <x:v>2940</x:v>
      </x:c>
      <x:c r="D234" s="8" t="s">
        <x:v>53</x:v>
      </x:c>
      <x:c r="E234" s="1" t="s">
        <x:v>54</x:v>
      </x:c>
      <x:c r="F234" s="8" t="s">
        <x:v>2941</x:v>
      </x:c>
      <x:c r="G234" s="1" t="s">
        <x:v>2942</x:v>
      </x:c>
      <x:c r="H234" s="8" t="s">
        <x:v>2352</x:v>
      </x:c>
      <x:c r="I234" s="4">
        <x:v>2020</x:v>
      </x:c>
      <x:c r="J234" s="8" t="s">
        <x:v>1260</x:v>
      </x:c>
      <x:c r="K234" s="1" t="s">
        <x:v>931</x:v>
      </x:c>
      <x:c r="L234" s="8" t="s">
        <x:v>2943</x:v>
      </x:c>
      <x:c r="M234" s="1" t="s">
        <x:v>61</x:v>
      </x:c>
      <x:c r="N234" s="8"/>
      <x:c r="O234" s="1"/>
      <x:c r="P234" s="8"/>
      <x:c r="Q234" s="1"/>
      <x:c r="R234" s="8" t="s">
        <x:v>2944</x:v>
      </x:c>
      <x:c r="S234" s="3"/>
      <x:c r="T234" s="8" t="s">
        <x:v>63</x:v>
      </x:c>
      <x:c r="U234" s="1" t="s">
        <x:v>2945</x:v>
      </x:c>
      <x:c r="V234" s="13">
        <x:v>2</x:v>
      </x:c>
      <x:c r="W234" s="1" t="s">
        <x:v>65</x:v>
      </x:c>
      <x:c r="X234" s="8" t="s">
        <x:v>66</x:v>
      </x:c>
      <x:c r="Y234" s="1" t="str">
        <x:v>Проверено автором исследования</x:v>
      </x:c>
      <x:c r="Z234" s="8" t="s">
        <x:v>2946</x:v>
      </x:c>
      <x:c r="AA234" s="1" t="s">
        <x:v>2947</x:v>
      </x:c>
      <x:c r="AB234" s="13">
        <x:v>2024</x:v>
      </x:c>
      <x:c r="AC234" s="3">
        <x:v>46322</x:v>
      </x:c>
      <x:c r="AD234" s="8" t="s">
        <x:v>69</x:v>
      </x:c>
      <x:c r="AE234" s="1"/>
      <x:c r="AF234" s="8" t="s">
        <x:v>118</x:v>
      </x:c>
      <x:c r="AG234" s="1" t="s">
        <x:v>2948</x:v>
      </x:c>
      <x:c r="AH234" s="8" t="str">
        <x:v>Краткая затекстовая ссылка; повторная документальная сверка выполнена</x:v>
      </x:c>
      <x:c r="AI234" s="1"/>
      <x:c r="AJ234" s="17"/>
      <x:c r="AK234" s="1" t="s">
        <x:v>73</x:v>
      </x:c>
      <x:c r="AL234" s="8" t="s">
        <x:v>74</x:v>
      </x:c>
      <x:c r="AM234" s="1"/>
      <x:c r="AN234" s="8" t="s">
        <x:v>75</x:v>
      </x:c>
      <x:c r="AO234" s="1" t="s">
        <x:v>76</x:v>
      </x:c>
      <x:c r="AP234" s="8"/>
      <x:c r="AQ234" s="1" t="s">
        <x:v>77</x:v>
      </x:c>
      <x:c r="AR234" s="8" t="str">
        <x:v>Проверка автором исследования</x:v>
      </x:c>
      <x:c r="AS234" s="1" t="s">
        <x:v>2949</x:v>
      </x:c>
      <x:c r="AT234" s="8" t="s">
        <x:v>2950</x:v>
      </x:c>
      <x:c r="AU234" s="1" t="s">
        <x:v>2951</x:v>
      </x:c>
      <x:c r="AV234" s="17">
        <x:v>46321</x:v>
      </x:c>
      <x:c r="AW234" s="1" t="s">
        <x:v>81</x:v>
      </x:c>
      <x:c r="AX234" s="8" t="s">
        <x:v>82</x:v>
      </x:c>
      <x:c r="AY234" s="8"/>
    </x:row>
    <x:row r="235" ht="69.94999694824219" customHeight="1">
      <x:c r="A235" s="1" t="s">
        <x:v>2952</x:v>
      </x:c>
      <x:c r="B235" s="8" t="s">
        <x:v>2953</x:v>
      </x:c>
      <x:c r="C235" s="1" t="s">
        <x:v>2954</x:v>
      </x:c>
      <x:c r="D235" s="8" t="s">
        <x:v>86</x:v>
      </x:c>
      <x:c r="E235" s="1" t="s">
        <x:v>76</x:v>
      </x:c>
      <x:c r="F235" s="8" t="s">
        <x:v>2955</x:v>
      </x:c>
      <x:c r="G235" s="1" t="s">
        <x:v>2956</x:v>
      </x:c>
      <x:c r="H235" s="8"/>
      <x:c r="I235" s="4">
        <x:v>2001</x:v>
      </x:c>
      <x:c r="J235" s="8"/>
      <x:c r="K235" s="1"/>
      <x:c r="L235" s="8" t="s">
        <x:v>2957</x:v>
      </x:c>
      <x:c r="M235" s="1" t="s">
        <x:v>90</x:v>
      </x:c>
      <x:c r="N235" s="8" t="s">
        <x:v>2958</x:v>
      </x:c>
      <x:c r="O235" s="1" t="s">
        <x:v>407</x:v>
      </x:c>
      <x:c r="P235" s="8"/>
      <x:c r="Q235" s="1"/>
      <x:c r="R235" s="8"/>
      <x:c r="S235" s="3"/>
      <x:c r="T235" s="8" t="s">
        <x:v>63</x:v>
      </x:c>
      <x:c r="U235" s="1" t="s">
        <x:v>2959</x:v>
      </x:c>
      <x:c r="V235" s="13">
        <x:v>16</x:v>
      </x:c>
      <x:c r="W235" s="1" t="s">
        <x:v>65</x:v>
      </x:c>
      <x:c r="X235" s="8" t="s">
        <x:v>66</x:v>
      </x:c>
      <x:c r="Y235" s="1" t="str">
        <x:v>Проверено автором исследования</x:v>
      </x:c>
      <x:c r="Z235" s="8"/>
      <x:c r="AA235" s="1" t="s">
        <x:v>2960</x:v>
      </x:c>
      <x:c r="AB235" s="13">
        <x:v>2025</x:v>
      </x:c>
      <x:c r="AC235" s="3"/>
      <x:c r="AD235" s="8" t="s">
        <x:v>93</x:v>
      </x:c>
      <x:c r="AE235" s="1"/>
      <x:c r="AF235" s="8" t="s">
        <x:v>118</x:v>
      </x:c>
      <x:c r="AG235" s="1" t="s">
        <x:v>2961</x:v>
      </x:c>
      <x:c r="AH235" s="8" t="str">
        <x:v>Краткая затекстовая ссылка; повторная документальная сверка выполнена</x:v>
      </x:c>
      <x:c r="AI235" s="1"/>
      <x:c r="AJ235" s="17"/>
      <x:c r="AK235" s="1" t="s">
        <x:v>73</x:v>
      </x:c>
      <x:c r="AL235" s="8" t="s">
        <x:v>74</x:v>
      </x:c>
      <x:c r="AM235" s="1"/>
      <x:c r="AN235" s="8" t="s">
        <x:v>95</x:v>
      </x:c>
      <x:c r="AO235" s="1" t="s">
        <x:v>76</x:v>
      </x:c>
      <x:c r="AP235" s="8"/>
      <x:c r="AQ235" s="1" t="s">
        <x:v>77</x:v>
      </x:c>
      <x:c r="AR235" s="8" t="str">
        <x:v>Проверка автором исследования</x:v>
      </x:c>
      <x:c r="AS235" s="1"/>
      <x:c r="AT235" s="8" t="s">
        <x:v>96</x:v>
      </x:c>
      <x:c r="AU235" s="1" t="s">
        <x:v>97</x:v>
      </x:c>
      <x:c r="AV235" s="17"/>
      <x:c r="AW235" s="1" t="s">
        <x:v>98</x:v>
      </x:c>
      <x:c r="AX235" s="8" t="s">
        <x:v>82</x:v>
      </x:c>
      <x:c r="AY235" s="8"/>
    </x:row>
    <x:row r="236" ht="69.94999694824219" customHeight="1">
      <x:c r="A236" s="1" t="s">
        <x:v>2962</x:v>
      </x:c>
      <x:c r="B236" s="8" t="s">
        <x:v>2963</x:v>
      </x:c>
      <x:c r="C236" s="1" t="s">
        <x:v>2964</x:v>
      </x:c>
      <x:c r="D236" s="8" t="s">
        <x:v>73</x:v>
      </x:c>
      <x:c r="E236" s="1" t="s">
        <x:v>76</x:v>
      </x:c>
      <x:c r="F236" s="8" t="s">
        <x:v>2965</x:v>
      </x:c>
      <x:c r="G236" s="1" t="s">
        <x:v>2966</x:v>
      </x:c>
      <x:c r="H236" s="8" t="s">
        <x:v>2967</x:v>
      </x:c>
      <x:c r="I236" s="4">
        <x:v>2013</x:v>
      </x:c>
      <x:c r="J236" s="8"/>
      <x:c r="K236" s="1" t="s">
        <x:v>2968</x:v>
      </x:c>
      <x:c r="L236" s="8" t="s">
        <x:v>2969</x:v>
      </x:c>
      <x:c r="M236" s="1" t="s">
        <x:v>61</x:v>
      </x:c>
      <x:c r="N236" s="8"/>
      <x:c r="O236" s="1"/>
      <x:c r="P236" s="8"/>
      <x:c r="Q236" s="1"/>
      <x:c r="R236" s="8"/>
      <x:c r="S236" s="3"/>
      <x:c r="T236" s="8" t="s">
        <x:v>63</x:v>
      </x:c>
      <x:c r="U236" s="1" t="s">
        <x:v>2959</x:v>
      </x:c>
      <x:c r="V236" s="13">
        <x:v>23</x:v>
      </x:c>
      <x:c r="W236" s="1" t="s">
        <x:v>65</x:v>
      </x:c>
      <x:c r="X236" s="8" t="s">
        <x:v>66</x:v>
      </x:c>
      <x:c r="Y236" s="1" t="str">
        <x:v>Проверено автором исследования</x:v>
      </x:c>
      <x:c r="Z236" s="8"/>
      <x:c r="AA236" s="1" t="s">
        <x:v>2960</x:v>
      </x:c>
      <x:c r="AB236" s="13">
        <x:v>2025</x:v>
      </x:c>
      <x:c r="AC236" s="3"/>
      <x:c r="AD236" s="8" t="s">
        <x:v>93</x:v>
      </x:c>
      <x:c r="AE236" s="1" t="s">
        <x:v>2970</x:v>
      </x:c>
      <x:c r="AF236" s="8" t="s">
        <x:v>118</x:v>
      </x:c>
      <x:c r="AG236" s="1" t="s">
        <x:v>2961</x:v>
      </x:c>
      <x:c r="AH236" s="8" t="str">
        <x:v>Краткая затекстовая ссылка; повторная документальная сверка выполнена</x:v>
      </x:c>
      <x:c r="AI236" s="1"/>
      <x:c r="AJ236" s="17"/>
      <x:c r="AK236" s="1" t="s">
        <x:v>73</x:v>
      </x:c>
      <x:c r="AL236" s="8" t="s">
        <x:v>74</x:v>
      </x:c>
      <x:c r="AM236" s="1"/>
      <x:c r="AN236" s="8" t="s">
        <x:v>95</x:v>
      </x:c>
      <x:c r="AO236" s="1" t="s">
        <x:v>76</x:v>
      </x:c>
      <x:c r="AP236" s="8"/>
      <x:c r="AQ236" s="1" t="s">
        <x:v>77</x:v>
      </x:c>
      <x:c r="AR236" s="8" t="str">
        <x:v>Проверка автором исследования</x:v>
      </x:c>
      <x:c r="AS236" s="1"/>
      <x:c r="AT236" s="8" t="s">
        <x:v>96</x:v>
      </x:c>
      <x:c r="AU236" s="1" t="s">
        <x:v>97</x:v>
      </x:c>
      <x:c r="AV236" s="17"/>
      <x:c r="AW236" s="1" t="s">
        <x:v>98</x:v>
      </x:c>
      <x:c r="AX236" s="8" t="s">
        <x:v>82</x:v>
      </x:c>
      <x:c r="AY236" s="8"/>
    </x:row>
    <x:row r="237" ht="69.94999694824219" customHeight="1">
      <x:c r="A237" s="1" t="s">
        <x:v>2971</x:v>
      </x:c>
      <x:c r="B237" s="8" t="s">
        <x:v>2972</x:v>
      </x:c>
      <x:c r="C237" s="1" t="s">
        <x:v>2973</x:v>
      </x:c>
      <x:c r="D237" s="8" t="s">
        <x:v>86</x:v>
      </x:c>
      <x:c r="E237" s="1" t="s">
        <x:v>76</x:v>
      </x:c>
      <x:c r="F237" s="8" t="s">
        <x:v>2974</x:v>
      </x:c>
      <x:c r="G237" s="1" t="s">
        <x:v>2975</x:v>
      </x:c>
      <x:c r="H237" s="8"/>
      <x:c r="I237" s="4">
        <x:v>2006</x:v>
      </x:c>
      <x:c r="J237" s="8"/>
      <x:c r="K237" s="1"/>
      <x:c r="L237" s="8" t="s">
        <x:v>2976</x:v>
      </x:c>
      <x:c r="M237" s="1" t="s">
        <x:v>90</x:v>
      </x:c>
      <x:c r="N237" s="8" t="s">
        <x:v>2977</x:v>
      </x:c>
      <x:c r="O237" s="1" t="s">
        <x:v>92</x:v>
      </x:c>
      <x:c r="P237" s="8"/>
      <x:c r="Q237" s="1"/>
      <x:c r="R237" s="8"/>
      <x:c r="S237" s="3"/>
      <x:c r="T237" s="8" t="s">
        <x:v>63</x:v>
      </x:c>
      <x:c r="U237" s="1" t="s">
        <x:v>2959</x:v>
      </x:c>
      <x:c r="V237" s="13">
        <x:v>25</x:v>
      </x:c>
      <x:c r="W237" s="1" t="s">
        <x:v>65</x:v>
      </x:c>
      <x:c r="X237" s="8" t="s">
        <x:v>66</x:v>
      </x:c>
      <x:c r="Y237" s="1" t="str">
        <x:v>Проверено автором исследования</x:v>
      </x:c>
      <x:c r="Z237" s="8"/>
      <x:c r="AA237" s="1" t="s">
        <x:v>2960</x:v>
      </x:c>
      <x:c r="AB237" s="13">
        <x:v>2025</x:v>
      </x:c>
      <x:c r="AC237" s="3"/>
      <x:c r="AD237" s="8" t="s">
        <x:v>93</x:v>
      </x:c>
      <x:c r="AE237" s="1"/>
      <x:c r="AF237" s="8" t="s">
        <x:v>118</x:v>
      </x:c>
      <x:c r="AG237" s="1" t="s">
        <x:v>2961</x:v>
      </x:c>
      <x:c r="AH237" s="8" t="str">
        <x:v>Краткая затекстовая ссылка; повторная документальная сверка выполнена</x:v>
      </x:c>
      <x:c r="AI237" s="1"/>
      <x:c r="AJ237" s="17"/>
      <x:c r="AK237" s="1" t="s">
        <x:v>73</x:v>
      </x:c>
      <x:c r="AL237" s="8" t="s">
        <x:v>74</x:v>
      </x:c>
      <x:c r="AM237" s="1"/>
      <x:c r="AN237" s="8" t="s">
        <x:v>95</x:v>
      </x:c>
      <x:c r="AO237" s="1" t="s">
        <x:v>76</x:v>
      </x:c>
      <x:c r="AP237" s="8"/>
      <x:c r="AQ237" s="1" t="s">
        <x:v>77</x:v>
      </x:c>
      <x:c r="AR237" s="8" t="str">
        <x:v>Проверка автором исследования</x:v>
      </x:c>
      <x:c r="AS237" s="1"/>
      <x:c r="AT237" s="8" t="s">
        <x:v>96</x:v>
      </x:c>
      <x:c r="AU237" s="1" t="s">
        <x:v>97</x:v>
      </x:c>
      <x:c r="AV237" s="17"/>
      <x:c r="AW237" s="1" t="s">
        <x:v>98</x:v>
      </x:c>
      <x:c r="AX237" s="8" t="s">
        <x:v>82</x:v>
      </x:c>
      <x:c r="AY237" s="8"/>
    </x:row>
    <x:row r="238" ht="69.94999694824219" customHeight="1">
      <x:c r="A238" s="1" t="s">
        <x:v>2978</x:v>
      </x:c>
      <x:c r="B238" s="8" t="s">
        <x:v>2979</x:v>
      </x:c>
      <x:c r="C238" s="1" t="s">
        <x:v>2980</x:v>
      </x:c>
      <x:c r="D238" s="8" t="s">
        <x:v>86</x:v>
      </x:c>
      <x:c r="E238" s="1" t="s">
        <x:v>76</x:v>
      </x:c>
      <x:c r="F238" s="8" t="s">
        <x:v>2981</x:v>
      </x:c>
      <x:c r="G238" s="1" t="s">
        <x:v>2982</x:v>
      </x:c>
      <x:c r="H238" s="8"/>
      <x:c r="I238" s="4">
        <x:v>2006</x:v>
      </x:c>
      <x:c r="J238" s="8"/>
      <x:c r="K238" s="1"/>
      <x:c r="L238" s="8" t="s">
        <x:v>2117</x:v>
      </x:c>
      <x:c r="M238" s="1" t="s">
        <x:v>90</x:v>
      </x:c>
      <x:c r="N238" s="8" t="s">
        <x:v>138</x:v>
      </x:c>
      <x:c r="O238" s="1" t="s">
        <x:v>92</x:v>
      </x:c>
      <x:c r="P238" s="8"/>
      <x:c r="Q238" s="1"/>
      <x:c r="R238" s="8"/>
      <x:c r="S238" s="3"/>
      <x:c r="T238" s="8" t="s">
        <x:v>63</x:v>
      </x:c>
      <x:c r="U238" s="1" t="s">
        <x:v>2959</x:v>
      </x:c>
      <x:c r="V238" s="13">
        <x:v>38</x:v>
      </x:c>
      <x:c r="W238" s="1" t="s">
        <x:v>65</x:v>
      </x:c>
      <x:c r="X238" s="8" t="s">
        <x:v>66</x:v>
      </x:c>
      <x:c r="Y238" s="1" t="str">
        <x:v>Проверено автором исследования</x:v>
      </x:c>
      <x:c r="Z238" s="8"/>
      <x:c r="AA238" s="1" t="s">
        <x:v>2960</x:v>
      </x:c>
      <x:c r="AB238" s="13">
        <x:v>2025</x:v>
      </x:c>
      <x:c r="AC238" s="3"/>
      <x:c r="AD238" s="8" t="s">
        <x:v>93</x:v>
      </x:c>
      <x:c r="AE238" s="1"/>
      <x:c r="AF238" s="8" t="s">
        <x:v>118</x:v>
      </x:c>
      <x:c r="AG238" s="1" t="s">
        <x:v>2961</x:v>
      </x:c>
      <x:c r="AH238" s="8" t="str">
        <x:v>Краткая затекстовая ссылка; повторная документальная сверка выполнена</x:v>
      </x:c>
      <x:c r="AI238" s="1"/>
      <x:c r="AJ238" s="17"/>
      <x:c r="AK238" s="1" t="s">
        <x:v>73</x:v>
      </x:c>
      <x:c r="AL238" s="8" t="s">
        <x:v>74</x:v>
      </x:c>
      <x:c r="AM238" s="1"/>
      <x:c r="AN238" s="8" t="s">
        <x:v>95</x:v>
      </x:c>
      <x:c r="AO238" s="1" t="s">
        <x:v>76</x:v>
      </x:c>
      <x:c r="AP238" s="8"/>
      <x:c r="AQ238" s="1" t="s">
        <x:v>77</x:v>
      </x:c>
      <x:c r="AR238" s="8" t="str">
        <x:v>Проверка автором исследования</x:v>
      </x:c>
      <x:c r="AS238" s="1"/>
      <x:c r="AT238" s="8" t="s">
        <x:v>96</x:v>
      </x:c>
      <x:c r="AU238" s="1" t="s">
        <x:v>97</x:v>
      </x:c>
      <x:c r="AV238" s="17"/>
      <x:c r="AW238" s="1" t="s">
        <x:v>98</x:v>
      </x:c>
      <x:c r="AX238" s="8" t="s">
        <x:v>82</x:v>
      </x:c>
      <x:c r="AY238" s="8"/>
    </x:row>
    <x:row r="239" ht="69.94999694824219" customHeight="1">
      <x:c r="A239" s="1" t="s">
        <x:v>2983</x:v>
      </x:c>
      <x:c r="B239" s="8" t="s">
        <x:v>2984</x:v>
      </x:c>
      <x:c r="C239" s="1" t="s">
        <x:v>2985</x:v>
      </x:c>
      <x:c r="D239" s="8" t="s">
        <x:v>53</x:v>
      </x:c>
      <x:c r="E239" s="1" t="s">
        <x:v>54</x:v>
      </x:c>
      <x:c r="F239" s="8" t="s">
        <x:v>2986</x:v>
      </x:c>
      <x:c r="G239" s="1" t="s">
        <x:v>2987</x:v>
      </x:c>
      <x:c r="H239" s="8" t="s">
        <x:v>2988</x:v>
      </x:c>
      <x:c r="I239" s="4">
        <x:v>2019</x:v>
      </x:c>
      <x:c r="J239" s="8" t="s">
        <x:v>106</x:v>
      </x:c>
      <x:c r="K239" s="1" t="s">
        <x:v>182</x:v>
      </x:c>
      <x:c r="L239" s="8" t="s">
        <x:v>2989</x:v>
      </x:c>
      <x:c r="M239" s="1" t="s">
        <x:v>61</x:v>
      </x:c>
      <x:c r="N239" s="8"/>
      <x:c r="O239" s="1"/>
      <x:c r="P239" s="8"/>
      <x:c r="Q239" s="1"/>
      <x:c r="R239" s="8" t="s">
        <x:v>2990</x:v>
      </x:c>
      <x:c r="S239" s="3"/>
      <x:c r="T239" s="8" t="s">
        <x:v>63</x:v>
      </x:c>
      <x:c r="U239" s="1" t="s">
        <x:v>2991</x:v>
      </x:c>
      <x:c r="V239" s="13">
        <x:v>1</x:v>
      </x:c>
      <x:c r="W239" s="1" t="s">
        <x:v>65</x:v>
      </x:c>
      <x:c r="X239" s="8" t="s">
        <x:v>66</x:v>
      </x:c>
      <x:c r="Y239" s="1" t="str">
        <x:v>Проверено автором исследования</x:v>
      </x:c>
      <x:c r="Z239" s="8" t="s">
        <x:v>2992</x:v>
      </x:c>
      <x:c r="AA239" s="1" t="s">
        <x:v>2993</x:v>
      </x:c>
      <x:c r="AB239" s="13">
        <x:v>2025</x:v>
      </x:c>
      <x:c r="AC239" s="3">
        <x:v>46322</x:v>
      </x:c>
      <x:c r="AD239" s="8" t="s">
        <x:v>69</x:v>
      </x:c>
      <x:c r="AE239" s="1" t="s">
        <x:v>2994</x:v>
      </x:c>
      <x:c r="AF239" s="8" t="s">
        <x:v>118</x:v>
      </x:c>
      <x:c r="AG239" s="1" t="s">
        <x:v>2995</x:v>
      </x:c>
      <x:c r="AH239" s="8" t="str">
        <x:v>Краткая затекстовая ссылка; повторная документальная сверка выполнена</x:v>
      </x:c>
      <x:c r="AI239" s="1"/>
      <x:c r="AJ239" s="17"/>
      <x:c r="AK239" s="1" t="s">
        <x:v>73</x:v>
      </x:c>
      <x:c r="AL239" s="8" t="s">
        <x:v>74</x:v>
      </x:c>
      <x:c r="AM239" s="1"/>
      <x:c r="AN239" s="8" t="s">
        <x:v>75</x:v>
      </x:c>
      <x:c r="AO239" s="1" t="s">
        <x:v>76</x:v>
      </x:c>
      <x:c r="AP239" s="8"/>
      <x:c r="AQ239" s="1" t="s">
        <x:v>77</x:v>
      </x:c>
      <x:c r="AR239" s="8" t="str">
        <x:v>Проверка автором исследования</x:v>
      </x:c>
      <x:c r="AS239" s="1" t="s">
        <x:v>2996</x:v>
      </x:c>
      <x:c r="AT239" s="8" t="s">
        <x:v>2997</x:v>
      </x:c>
      <x:c r="AU239" s="1" t="s">
        <x:v>2998</x:v>
      </x:c>
      <x:c r="AV239" s="17">
        <x:v>46321</x:v>
      </x:c>
      <x:c r="AW239" s="1" t="s">
        <x:v>81</x:v>
      </x:c>
      <x:c r="AX239" s="8" t="s">
        <x:v>82</x:v>
      </x:c>
      <x:c r="AY239" s="8"/>
    </x:row>
    <x:row r="240" ht="84" customHeight="1">
      <x:c r="A240" s="1" t="s">
        <x:v>2999</x:v>
      </x:c>
      <x:c r="B240" s="8" t="s">
        <x:v>3000</x:v>
      </x:c>
      <x:c r="C240" s="1" t="s">
        <x:v>3001</x:v>
      </x:c>
      <x:c r="D240" s="8" t="s">
        <x:v>53</x:v>
      </x:c>
      <x:c r="E240" s="1" t="s">
        <x:v>54</x:v>
      </x:c>
      <x:c r="F240" s="8" t="s">
        <x:v>3002</x:v>
      </x:c>
      <x:c r="G240" s="1" t="s">
        <x:v>3003</x:v>
      </x:c>
      <x:c r="H240" s="8" t="s">
        <x:v>3004</x:v>
      </x:c>
      <x:c r="I240" s="4">
        <x:v>2019</x:v>
      </x:c>
      <x:c r="J240" s="8"/>
      <x:c r="K240" s="1"/>
      <x:c r="L240" s="8" t="s">
        <x:v>3005</x:v>
      </x:c>
      <x:c r="M240" s="1" t="s">
        <x:v>61</x:v>
      </x:c>
      <x:c r="N240" s="8"/>
      <x:c r="O240" s="1"/>
      <x:c r="P240" s="8"/>
      <x:c r="Q240" s="1"/>
      <x:c r="R240" s="8" t="s">
        <x:v>3006</x:v>
      </x:c>
      <x:c r="S240" s="3"/>
      <x:c r="T240" s="8" t="s">
        <x:v>63</x:v>
      </x:c>
      <x:c r="U240" s="1" t="s">
        <x:v>3007</x:v>
      </x:c>
      <x:c r="V240" s="13">
        <x:v>4</x:v>
      </x:c>
      <x:c r="W240" s="1" t="s">
        <x:v>65</x:v>
      </x:c>
      <x:c r="X240" s="8" t="s">
        <x:v>66</x:v>
      </x:c>
      <x:c r="Y240" s="1" t="str">
        <x:v>Проверено автором исследования</x:v>
      </x:c>
      <x:c r="Z240" s="8" t="s">
        <x:v>3008</x:v>
      </x:c>
      <x:c r="AA240" s="1" t="s">
        <x:v>3009</x:v>
      </x:c>
      <x:c r="AB240" s="13">
        <x:v>2025</x:v>
      </x:c>
      <x:c r="AC240" s="3">
        <x:v>46322</x:v>
      </x:c>
      <x:c r="AD240" s="8" t="s">
        <x:v>69</x:v>
      </x:c>
      <x:c r="AE240" s="1" t="s">
        <x:v>3010</x:v>
      </x:c>
      <x:c r="AF240" s="8" t="s">
        <x:v>118</x:v>
      </x:c>
      <x:c r="AG240" s="1" t="s">
        <x:v>3011</x:v>
      </x:c>
      <x:c r="AH240" s="8" t="str">
        <x:v>Краткая затекстовая ссылка; повторная документальная сверка выполнена</x:v>
      </x:c>
      <x:c r="AI240" s="1"/>
      <x:c r="AJ240" s="17"/>
      <x:c r="AK240" s="1" t="s">
        <x:v>73</x:v>
      </x:c>
      <x:c r="AL240" s="8" t="s">
        <x:v>74</x:v>
      </x:c>
      <x:c r="AM240" s="1"/>
      <x:c r="AN240" s="8" t="s">
        <x:v>75</x:v>
      </x:c>
      <x:c r="AO240" s="1" t="s">
        <x:v>76</x:v>
      </x:c>
      <x:c r="AP240" s="8"/>
      <x:c r="AQ240" s="1" t="s">
        <x:v>77</x:v>
      </x:c>
      <x:c r="AR240" s="8" t="str">
        <x:v>Проверка автором исследования</x:v>
      </x:c>
      <x:c r="AS240" s="1" t="s">
        <x:v>3012</x:v>
      </x:c>
      <x:c r="AT240" s="8" t="s">
        <x:v>3013</x:v>
      </x:c>
      <x:c r="AU240" s="1" t="s">
        <x:v>3014</x:v>
      </x:c>
      <x:c r="AV240" s="17">
        <x:v>46321</x:v>
      </x:c>
      <x:c r="AW240" s="1" t="s">
        <x:v>81</x:v>
      </x:c>
      <x:c r="AX240" s="8" t="s">
        <x:v>82</x:v>
      </x:c>
      <x:c r="AY240" s="8"/>
    </x:row>
    <x:row r="241" ht="69.94999694824219" customHeight="1">
      <x:c r="A241" s="1" t="s">
        <x:v>3015</x:v>
      </x:c>
      <x:c r="B241" s="8" t="s">
        <x:v>3016</x:v>
      </x:c>
      <x:c r="C241" s="1" t="s">
        <x:v>3017</x:v>
      </x:c>
      <x:c r="D241" s="8" t="s">
        <x:v>86</x:v>
      </x:c>
      <x:c r="E241" s="1" t="s">
        <x:v>76</x:v>
      </x:c>
      <x:c r="F241" s="8" t="s">
        <x:v>3018</x:v>
      </x:c>
      <x:c r="G241" s="1" t="s">
        <x:v>3019</x:v>
      </x:c>
      <x:c r="H241" s="8"/>
      <x:c r="I241" s="4">
        <x:v>2001</x:v>
      </x:c>
      <x:c r="J241" s="8"/>
      <x:c r="K241" s="1"/>
      <x:c r="L241" s="8" t="s">
        <x:v>3020</x:v>
      </x:c>
      <x:c r="M241" s="1" t="s">
        <x:v>90</x:v>
      </x:c>
      <x:c r="N241" s="8" t="s">
        <x:v>2977</x:v>
      </x:c>
      <x:c r="O241" s="1" t="s">
        <x:v>92</x:v>
      </x:c>
      <x:c r="P241" s="8"/>
      <x:c r="Q241" s="1"/>
      <x:c r="R241" s="8"/>
      <x:c r="S241" s="3"/>
      <x:c r="T241" s="8" t="s">
        <x:v>63</x:v>
      </x:c>
      <x:c r="U241" s="1" t="s">
        <x:v>3007</x:v>
      </x:c>
      <x:c r="V241" s="13">
        <x:v>9</x:v>
      </x:c>
      <x:c r="W241" s="1" t="s">
        <x:v>65</x:v>
      </x:c>
      <x:c r="X241" s="8" t="s">
        <x:v>66</x:v>
      </x:c>
      <x:c r="Y241" s="1" t="str">
        <x:v>Проверено автором исследования</x:v>
      </x:c>
      <x:c r="Z241" s="8"/>
      <x:c r="AA241" s="1" t="s">
        <x:v>3009</x:v>
      </x:c>
      <x:c r="AB241" s="13">
        <x:v>2025</x:v>
      </x:c>
      <x:c r="AC241" s="3"/>
      <x:c r="AD241" s="8" t="s">
        <x:v>93</x:v>
      </x:c>
      <x:c r="AE241" s="1"/>
      <x:c r="AF241" s="8" t="s">
        <x:v>118</x:v>
      </x:c>
      <x:c r="AG241" s="1" t="s">
        <x:v>3011</x:v>
      </x:c>
      <x:c r="AH241" s="8" t="str">
        <x:v>Краткая затекстовая ссылка; повторная документальная сверка выполнена</x:v>
      </x:c>
      <x:c r="AI241" s="1"/>
      <x:c r="AJ241" s="17"/>
      <x:c r="AK241" s="1" t="s">
        <x:v>73</x:v>
      </x:c>
      <x:c r="AL241" s="8" t="s">
        <x:v>74</x:v>
      </x:c>
      <x:c r="AM241" s="1"/>
      <x:c r="AN241" s="8" t="s">
        <x:v>95</x:v>
      </x:c>
      <x:c r="AO241" s="1" t="s">
        <x:v>76</x:v>
      </x:c>
      <x:c r="AP241" s="8"/>
      <x:c r="AQ241" s="1" t="s">
        <x:v>77</x:v>
      </x:c>
      <x:c r="AR241" s="8" t="str">
        <x:v>Проверка автором исследования</x:v>
      </x:c>
      <x:c r="AS241" s="1"/>
      <x:c r="AT241" s="8" t="s">
        <x:v>96</x:v>
      </x:c>
      <x:c r="AU241" s="1" t="s">
        <x:v>97</x:v>
      </x:c>
      <x:c r="AV241" s="17"/>
      <x:c r="AW241" s="1" t="s">
        <x:v>98</x:v>
      </x:c>
      <x:c r="AX241" s="8" t="s">
        <x:v>82</x:v>
      </x:c>
      <x:c r="AY241" s="8"/>
    </x:row>
    <x:row r="242" ht="84" customHeight="1">
      <x:c r="A242" s="1" t="s">
        <x:v>3021</x:v>
      </x:c>
      <x:c r="B242" s="8" t="s">
        <x:v>3022</x:v>
      </x:c>
      <x:c r="C242" s="1" t="s">
        <x:v>3023</x:v>
      </x:c>
      <x:c r="D242" s="8" t="s">
        <x:v>53</x:v>
      </x:c>
      <x:c r="E242" s="1" t="s">
        <x:v>54</x:v>
      </x:c>
      <x:c r="F242" s="8" t="s">
        <x:v>3024</x:v>
      </x:c>
      <x:c r="G242" s="1" t="s">
        <x:v>3025</x:v>
      </x:c>
      <x:c r="H242" s="8" t="s">
        <x:v>3026</x:v>
      </x:c>
      <x:c r="I242" s="4">
        <x:v>2024</x:v>
      </x:c>
      <x:c r="J242" s="8"/>
      <x:c r="K242" s="1" t="s">
        <x:v>239</x:v>
      </x:c>
      <x:c r="L242" s="8" t="s">
        <x:v>3027</x:v>
      </x:c>
      <x:c r="M242" s="1" t="s">
        <x:v>61</x:v>
      </x:c>
      <x:c r="N242" s="8"/>
      <x:c r="O242" s="1"/>
      <x:c r="P242" s="8"/>
      <x:c r="Q242" s="1"/>
      <x:c r="R242" s="8" t="s">
        <x:v>3028</x:v>
      </x:c>
      <x:c r="S242" s="3"/>
      <x:c r="T242" s="8" t="s">
        <x:v>63</x:v>
      </x:c>
      <x:c r="U242" s="1" t="s">
        <x:v>3029</x:v>
      </x:c>
      <x:c r="V242" s="13">
        <x:v>3</x:v>
      </x:c>
      <x:c r="W242" s="1" t="s">
        <x:v>65</x:v>
      </x:c>
      <x:c r="X242" s="8" t="s">
        <x:v>66</x:v>
      </x:c>
      <x:c r="Y242" s="1" t="str">
        <x:v>Проверено автором исследования</x:v>
      </x:c>
      <x:c r="Z242" s="8" t="s">
        <x:v>3030</x:v>
      </x:c>
      <x:c r="AA242" s="1" t="s">
        <x:v>3031</x:v>
      </x:c>
      <x:c r="AB242" s="13">
        <x:v>2025</x:v>
      </x:c>
      <x:c r="AC242" s="3">
        <x:v>46322</x:v>
      </x:c>
      <x:c r="AD242" s="8" t="s">
        <x:v>69</x:v>
      </x:c>
      <x:c r="AE242" s="1" t="s">
        <x:v>3032</x:v>
      </x:c>
      <x:c r="AF242" s="8" t="s">
        <x:v>118</x:v>
      </x:c>
      <x:c r="AG242" s="1" t="s">
        <x:v>3033</x:v>
      </x:c>
      <x:c r="AH242" s="8" t="str">
        <x:v>Краткая затекстовая ссылка; повторная документальная сверка выполнена</x:v>
      </x:c>
      <x:c r="AI242" s="1"/>
      <x:c r="AJ242" s="17"/>
      <x:c r="AK242" s="1" t="s">
        <x:v>73</x:v>
      </x:c>
      <x:c r="AL242" s="8" t="s">
        <x:v>74</x:v>
      </x:c>
      <x:c r="AM242" s="1"/>
      <x:c r="AN242" s="8" t="s">
        <x:v>75</x:v>
      </x:c>
      <x:c r="AO242" s="1" t="s">
        <x:v>76</x:v>
      </x:c>
      <x:c r="AP242" s="8"/>
      <x:c r="AQ242" s="1" t="s">
        <x:v>77</x:v>
      </x:c>
      <x:c r="AR242" s="8" t="str">
        <x:v>Проверка автором исследования</x:v>
      </x:c>
      <x:c r="AS242" s="1" t="s">
        <x:v>3034</x:v>
      </x:c>
      <x:c r="AT242" s="8" t="s">
        <x:v>3035</x:v>
      </x:c>
      <x:c r="AU242" s="1" t="s">
        <x:v>3036</x:v>
      </x:c>
      <x:c r="AV242" s="17">
        <x:v>46321</x:v>
      </x:c>
      <x:c r="AW242" s="1" t="s">
        <x:v>81</x:v>
      </x:c>
      <x:c r="AX242" s="8" t="s">
        <x:v>82</x:v>
      </x:c>
      <x:c r="AY242" s="8"/>
    </x:row>
    <x:row r="243" ht="69.94999694824219" customHeight="1">
      <x:c r="A243" s="1" t="s">
        <x:v>3037</x:v>
      </x:c>
      <x:c r="B243" s="8" t="s">
        <x:v>3038</x:v>
      </x:c>
      <x:c r="C243" s="1" t="s">
        <x:v>3039</x:v>
      </x:c>
      <x:c r="D243" s="8" t="s">
        <x:v>73</x:v>
      </x:c>
      <x:c r="E243" s="1" t="s">
        <x:v>76</x:v>
      </x:c>
      <x:c r="F243" s="8" t="s">
        <x:v>3040</x:v>
      </x:c>
      <x:c r="G243" s="1" t="s">
        <x:v>3041</x:v>
      </x:c>
      <x:c r="H243" s="8" t="s">
        <x:v>3042</x:v>
      </x:c>
      <x:c r="I243" s="4">
        <x:v>2021</x:v>
      </x:c>
      <x:c r="J243" s="8" t="s">
        <x:v>340</x:v>
      </x:c>
      <x:c r="K243" s="1" t="s">
        <x:v>182</x:v>
      </x:c>
      <x:c r="L243" s="8" t="s">
        <x:v>3043</x:v>
      </x:c>
      <x:c r="M243" s="1" t="s">
        <x:v>61</x:v>
      </x:c>
      <x:c r="N243" s="8"/>
      <x:c r="O243" s="1"/>
      <x:c r="P243" s="8"/>
      <x:c r="Q243" s="1"/>
      <x:c r="R243" s="8" t="s">
        <x:v>3044</x:v>
      </x:c>
      <x:c r="S243" s="3"/>
      <x:c r="T243" s="8" t="s">
        <x:v>63</x:v>
      </x:c>
      <x:c r="U243" s="1" t="s">
        <x:v>3045</x:v>
      </x:c>
      <x:c r="V243" s="13">
        <x:v>8</x:v>
      </x:c>
      <x:c r="W243" s="1" t="s">
        <x:v>65</x:v>
      </x:c>
      <x:c r="X243" s="8" t="s">
        <x:v>66</x:v>
      </x:c>
      <x:c r="Y243" s="1" t="str">
        <x:v>Проверено автором исследования</x:v>
      </x:c>
      <x:c r="Z243" s="8" t="s">
        <x:v>3046</x:v>
      </x:c>
      <x:c r="AA243" s="1" t="s">
        <x:v>3047</x:v>
      </x:c>
      <x:c r="AB243" s="13">
        <x:v>2025</x:v>
      </x:c>
      <x:c r="AC243" s="3"/>
      <x:c r="AD243" s="8" t="s">
        <x:v>93</x:v>
      </x:c>
      <x:c r="AE243" s="1" t="s">
        <x:v>3048</x:v>
      </x:c>
      <x:c r="AF243" s="8" t="s">
        <x:v>118</x:v>
      </x:c>
      <x:c r="AG243" s="1" t="s">
        <x:v>3049</x:v>
      </x:c>
      <x:c r="AH243" s="8" t="str">
        <x:v>Краткая затекстовая ссылка; повторная документальная сверка выполнена</x:v>
      </x:c>
      <x:c r="AI243" s="1"/>
      <x:c r="AJ243" s="17"/>
      <x:c r="AK243" s="1" t="s">
        <x:v>73</x:v>
      </x:c>
      <x:c r="AL243" s="8" t="s">
        <x:v>74</x:v>
      </x:c>
      <x:c r="AM243" s="1"/>
      <x:c r="AN243" s="8" t="s">
        <x:v>95</x:v>
      </x:c>
      <x:c r="AO243" s="1" t="s">
        <x:v>76</x:v>
      </x:c>
      <x:c r="AP243" s="8"/>
      <x:c r="AQ243" s="1" t="s">
        <x:v>77</x:v>
      </x:c>
      <x:c r="AR243" s="8" t="str">
        <x:v>Проверка автором исследования</x:v>
      </x:c>
      <x:c r="AS243" s="1"/>
      <x:c r="AT243" s="8" t="s">
        <x:v>96</x:v>
      </x:c>
      <x:c r="AU243" s="1" t="s">
        <x:v>3050</x:v>
      </x:c>
      <x:c r="AV243" s="17">
        <x:v>46321</x:v>
      </x:c>
      <x:c r="AW243" s="1" t="s">
        <x:v>81</x:v>
      </x:c>
      <x:c r="AX243" s="8" t="s">
        <x:v>82</x:v>
      </x:c>
      <x:c r="AY243" s="8"/>
    </x:row>
    <x:row r="244" ht="69.94999694824219" customHeight="1">
      <x:c r="A244" s="1" t="s">
        <x:v>3051</x:v>
      </x:c>
      <x:c r="B244" s="8" t="s">
        <x:v>3052</x:v>
      </x:c>
      <x:c r="C244" s="1" t="s">
        <x:v>3053</x:v>
      </x:c>
      <x:c r="D244" s="8" t="s">
        <x:v>86</x:v>
      </x:c>
      <x:c r="E244" s="1" t="s">
        <x:v>76</x:v>
      </x:c>
      <x:c r="F244" s="8" t="s">
        <x:v>3054</x:v>
      </x:c>
      <x:c r="G244" s="1" t="s">
        <x:v>3055</x:v>
      </x:c>
      <x:c r="H244" s="8"/>
      <x:c r="I244" s="4">
        <x:v>2020</x:v>
      </x:c>
      <x:c r="J244" s="8"/>
      <x:c r="K244" s="1"/>
      <x:c r="L244" s="8" t="s">
        <x:v>3056</x:v>
      </x:c>
      <x:c r="M244" s="1" t="s">
        <x:v>90</x:v>
      </x:c>
      <x:c r="N244" s="8" t="s">
        <x:v>3057</x:v>
      </x:c>
      <x:c r="O244" s="1" t="s">
        <x:v>407</x:v>
      </x:c>
      <x:c r="P244" s="8"/>
      <x:c r="Q244" s="1"/>
      <x:c r="R244" s="8"/>
      <x:c r="S244" s="3"/>
      <x:c r="T244" s="8" t="s">
        <x:v>63</x:v>
      </x:c>
      <x:c r="U244" s="1" t="s">
        <x:v>3045</x:v>
      </x:c>
      <x:c r="V244" s="13">
        <x:v>30</x:v>
      </x:c>
      <x:c r="W244" s="1" t="s">
        <x:v>65</x:v>
      </x:c>
      <x:c r="X244" s="8" t="s">
        <x:v>66</x:v>
      </x:c>
      <x:c r="Y244" s="1" t="str">
        <x:v>Проверено автором исследования</x:v>
      </x:c>
      <x:c r="Z244" s="8"/>
      <x:c r="AA244" s="1" t="s">
        <x:v>3047</x:v>
      </x:c>
      <x:c r="AB244" s="13">
        <x:v>2025</x:v>
      </x:c>
      <x:c r="AC244" s="3"/>
      <x:c r="AD244" s="8" t="s">
        <x:v>93</x:v>
      </x:c>
      <x:c r="AE244" s="1" t="s">
        <x:v>3058</x:v>
      </x:c>
      <x:c r="AF244" s="8" t="s">
        <x:v>118</x:v>
      </x:c>
      <x:c r="AG244" s="1" t="s">
        <x:v>3049</x:v>
      </x:c>
      <x:c r="AH244" s="8" t="str">
        <x:v>Краткая затекстовая ссылка; повторная документальная сверка выполнена</x:v>
      </x:c>
      <x:c r="AI244" s="1"/>
      <x:c r="AJ244" s="17"/>
      <x:c r="AK244" s="1" t="s">
        <x:v>73</x:v>
      </x:c>
      <x:c r="AL244" s="8" t="s">
        <x:v>74</x:v>
      </x:c>
      <x:c r="AM244" s="1"/>
      <x:c r="AN244" s="8" t="s">
        <x:v>95</x:v>
      </x:c>
      <x:c r="AO244" s="1" t="s">
        <x:v>76</x:v>
      </x:c>
      <x:c r="AP244" s="8"/>
      <x:c r="AQ244" s="1" t="s">
        <x:v>77</x:v>
      </x:c>
      <x:c r="AR244" s="8" t="str">
        <x:v>Проверка автором исследования</x:v>
      </x:c>
      <x:c r="AS244" s="1"/>
      <x:c r="AT244" s="8" t="s">
        <x:v>96</x:v>
      </x:c>
      <x:c r="AU244" s="1" t="s">
        <x:v>97</x:v>
      </x:c>
      <x:c r="AV244" s="17"/>
      <x:c r="AW244" s="1" t="s">
        <x:v>98</x:v>
      </x:c>
      <x:c r="AX244" s="8" t="s">
        <x:v>82</x:v>
      </x:c>
      <x:c r="AY244" s="8"/>
    </x:row>
    <x:row r="245" ht="98.0999984741211" customHeight="1">
      <x:c r="A245" s="1" t="s">
        <x:v>3059</x:v>
      </x:c>
      <x:c r="B245" s="8" t="s">
        <x:v>3060</x:v>
      </x:c>
      <x:c r="C245" s="1" t="s">
        <x:v>3061</x:v>
      </x:c>
      <x:c r="D245" s="8" t="s">
        <x:v>53</x:v>
      </x:c>
      <x:c r="E245" s="1" t="s">
        <x:v>54</x:v>
      </x:c>
      <x:c r="F245" s="8" t="s">
        <x:v>3062</x:v>
      </x:c>
      <x:c r="G245" s="1" t="s">
        <x:v>3063</x:v>
      </x:c>
      <x:c r="H245" s="8" t="s">
        <x:v>2352</x:v>
      </x:c>
      <x:c r="I245" s="4">
        <x:v>2023</x:v>
      </x:c>
      <x:c r="J245" s="8" t="s">
        <x:v>512</x:v>
      </x:c>
      <x:c r="K245" s="1" t="s">
        <x:v>1346</x:v>
      </x:c>
      <x:c r="L245" s="8" t="s">
        <x:v>3064</x:v>
      </x:c>
      <x:c r="M245" s="1" t="s">
        <x:v>61</x:v>
      </x:c>
      <x:c r="N245" s="8"/>
      <x:c r="O245" s="1"/>
      <x:c r="P245" s="8"/>
      <x:c r="Q245" s="1"/>
      <x:c r="R245" s="8" t="s">
        <x:v>3065</x:v>
      </x:c>
      <x:c r="S245" s="3"/>
      <x:c r="T245" s="8" t="s">
        <x:v>63</x:v>
      </x:c>
      <x:c r="U245" s="1" t="s">
        <x:v>3045</x:v>
      </x:c>
      <x:c r="V245" s="13">
        <x:v>43</x:v>
      </x:c>
      <x:c r="W245" s="1" t="s">
        <x:v>65</x:v>
      </x:c>
      <x:c r="X245" s="8" t="s">
        <x:v>66</x:v>
      </x:c>
      <x:c r="Y245" s="1" t="str">
        <x:v>Проверено автором исследования</x:v>
      </x:c>
      <x:c r="Z245" s="8" t="s">
        <x:v>3066</x:v>
      </x:c>
      <x:c r="AA245" s="1" t="s">
        <x:v>3047</x:v>
      </x:c>
      <x:c r="AB245" s="13">
        <x:v>2025</x:v>
      </x:c>
      <x:c r="AC245" s="3">
        <x:v>46322</x:v>
      </x:c>
      <x:c r="AD245" s="8" t="s">
        <x:v>69</x:v>
      </x:c>
      <x:c r="AE245" s="1" t="s">
        <x:v>3067</x:v>
      </x:c>
      <x:c r="AF245" s="8" t="s">
        <x:v>118</x:v>
      </x:c>
      <x:c r="AG245" s="1" t="s">
        <x:v>3049</x:v>
      </x:c>
      <x:c r="AH245" s="8" t="str">
        <x:v>Краткая затекстовая ссылка; повторная документальная сверка выполнена</x:v>
      </x:c>
      <x:c r="AI245" s="1"/>
      <x:c r="AJ245" s="17"/>
      <x:c r="AK245" s="1" t="s">
        <x:v>73</x:v>
      </x:c>
      <x:c r="AL245" s="8" t="s">
        <x:v>74</x:v>
      </x:c>
      <x:c r="AM245" s="1"/>
      <x:c r="AN245" s="8" t="s">
        <x:v>75</x:v>
      </x:c>
      <x:c r="AO245" s="1" t="s">
        <x:v>76</x:v>
      </x:c>
      <x:c r="AP245" s="8"/>
      <x:c r="AQ245" s="1" t="s">
        <x:v>77</x:v>
      </x:c>
      <x:c r="AR245" s="8" t="str">
        <x:v>Проверка автором исследования</x:v>
      </x:c>
      <x:c r="AS245" s="1" t="s">
        <x:v>3068</x:v>
      </x:c>
      <x:c r="AT245" s="8" t="s">
        <x:v>3069</x:v>
      </x:c>
      <x:c r="AU245" s="1" t="s">
        <x:v>3070</x:v>
      </x:c>
      <x:c r="AV245" s="17">
        <x:v>46321</x:v>
      </x:c>
      <x:c r="AW245" s="1" t="s">
        <x:v>81</x:v>
      </x:c>
      <x:c r="AX245" s="8" t="s">
        <x:v>82</x:v>
      </x:c>
      <x:c r="AY245" s="8"/>
    </x:row>
    <x:row r="246" ht="69.94999694824219" customHeight="1">
      <x:c r="A246" s="1" t="s">
        <x:v>3071</x:v>
      </x:c>
      <x:c r="B246" s="8" t="s">
        <x:v>3072</x:v>
      </x:c>
      <x:c r="C246" s="1" t="s">
        <x:v>3073</x:v>
      </x:c>
      <x:c r="D246" s="8" t="s">
        <x:v>73</x:v>
      </x:c>
      <x:c r="E246" s="1" t="s">
        <x:v>76</x:v>
      </x:c>
      <x:c r="F246" s="8" t="s">
        <x:v>3074</x:v>
      </x:c>
      <x:c r="G246" s="1" t="s">
        <x:v>3075</x:v>
      </x:c>
      <x:c r="H246" s="8" t="s">
        <x:v>3076</x:v>
      </x:c>
      <x:c r="I246" s="4">
        <x:v>2023</x:v>
      </x:c>
      <x:c r="J246" s="8" t="s">
        <x:v>1044</x:v>
      </x:c>
      <x:c r="K246" s="1" t="s">
        <x:v>3077</x:v>
      </x:c>
      <x:c r="L246" s="8" t="s">
        <x:v>3078</x:v>
      </x:c>
      <x:c r="M246" s="1" t="s">
        <x:v>61</x:v>
      </x:c>
      <x:c r="N246" s="8"/>
      <x:c r="O246" s="1"/>
      <x:c r="P246" s="8"/>
      <x:c r="Q246" s="1"/>
      <x:c r="R246" s="8" t="s">
        <x:v>3079</x:v>
      </x:c>
      <x:c r="S246" s="3"/>
      <x:c r="T246" s="8" t="s">
        <x:v>63</x:v>
      </x:c>
      <x:c r="U246" s="1" t="s">
        <x:v>3045</x:v>
      </x:c>
      <x:c r="V246" s="13">
        <x:v>44</x:v>
      </x:c>
      <x:c r="W246" s="1" t="s">
        <x:v>65</x:v>
      </x:c>
      <x:c r="X246" s="8" t="s">
        <x:v>66</x:v>
      </x:c>
      <x:c r="Y246" s="1" t="str">
        <x:v>Проверено автором исследования</x:v>
      </x:c>
      <x:c r="Z246" s="8" t="s">
        <x:v>3080</x:v>
      </x:c>
      <x:c r="AA246" s="1" t="s">
        <x:v>3047</x:v>
      </x:c>
      <x:c r="AB246" s="13">
        <x:v>2025</x:v>
      </x:c>
      <x:c r="AC246" s="3"/>
      <x:c r="AD246" s="8" t="s">
        <x:v>93</x:v>
      </x:c>
      <x:c r="AE246" s="1" t="s">
        <x:v>3081</x:v>
      </x:c>
      <x:c r="AF246" s="8" t="s">
        <x:v>118</x:v>
      </x:c>
      <x:c r="AG246" s="1" t="s">
        <x:v>3049</x:v>
      </x:c>
      <x:c r="AH246" s="8" t="str">
        <x:v>Краткая затекстовая ссылка; повторная документальная сверка выполнена</x:v>
      </x:c>
      <x:c r="AI246" s="1"/>
      <x:c r="AJ246" s="17"/>
      <x:c r="AK246" s="1" t="s">
        <x:v>73</x:v>
      </x:c>
      <x:c r="AL246" s="8" t="s">
        <x:v>74</x:v>
      </x:c>
      <x:c r="AM246" s="1"/>
      <x:c r="AN246" s="8" t="s">
        <x:v>95</x:v>
      </x:c>
      <x:c r="AO246" s="1" t="s">
        <x:v>76</x:v>
      </x:c>
      <x:c r="AP246" s="8"/>
      <x:c r="AQ246" s="1" t="s">
        <x:v>77</x:v>
      </x:c>
      <x:c r="AR246" s="8" t="str">
        <x:v>Проверка автором исследования</x:v>
      </x:c>
      <x:c r="AS246" s="1"/>
      <x:c r="AT246" s="8" t="s">
        <x:v>96</x:v>
      </x:c>
      <x:c r="AU246" s="1" t="s">
        <x:v>447</x:v>
      </x:c>
      <x:c r="AV246" s="17">
        <x:v>46321</x:v>
      </x:c>
      <x:c r="AW246" s="1" t="s">
        <x:v>81</x:v>
      </x:c>
      <x:c r="AX246" s="8" t="s">
        <x:v>82</x:v>
      </x:c>
      <x:c r="AY246" s="8"/>
    </x:row>
    <x:row r="247" ht="69.94999694824219" customHeight="1">
      <x:c r="A247" s="1" t="s">
        <x:v>3082</x:v>
      </x:c>
      <x:c r="B247" s="8" t="s">
        <x:v>3083</x:v>
      </x:c>
      <x:c r="C247" s="1" t="s">
        <x:v>3084</x:v>
      </x:c>
      <x:c r="D247" s="8" t="s">
        <x:v>53</x:v>
      </x:c>
      <x:c r="E247" s="1" t="s">
        <x:v>54</x:v>
      </x:c>
      <x:c r="F247" s="8" t="s">
        <x:v>3085</x:v>
      </x:c>
      <x:c r="G247" s="1" t="s">
        <x:v>3086</x:v>
      </x:c>
      <x:c r="H247" s="8" t="s">
        <x:v>3087</x:v>
      </x:c>
      <x:c r="I247" s="4">
        <x:v>2021</x:v>
      </x:c>
      <x:c r="J247" s="8"/>
      <x:c r="K247" s="1" t="s">
        <x:v>182</x:v>
      </x:c>
      <x:c r="L247" s="8" t="s">
        <x:v>3088</x:v>
      </x:c>
      <x:c r="M247" s="1" t="s">
        <x:v>61</x:v>
      </x:c>
      <x:c r="N247" s="8"/>
      <x:c r="O247" s="1"/>
      <x:c r="P247" s="8"/>
      <x:c r="Q247" s="1"/>
      <x:c r="R247" s="8" t="s">
        <x:v>3089</x:v>
      </x:c>
      <x:c r="S247" s="3"/>
      <x:c r="T247" s="8" t="s">
        <x:v>63</x:v>
      </x:c>
      <x:c r="U247" s="1" t="s">
        <x:v>3045</x:v>
      </x:c>
      <x:c r="V247" s="13">
        <x:v>47</x:v>
      </x:c>
      <x:c r="W247" s="1" t="s">
        <x:v>65</x:v>
      </x:c>
      <x:c r="X247" s="8" t="s">
        <x:v>66</x:v>
      </x:c>
      <x:c r="Y247" s="1" t="str">
        <x:v>Проверено автором исследования</x:v>
      </x:c>
      <x:c r="Z247" s="8" t="s">
        <x:v>3090</x:v>
      </x:c>
      <x:c r="AA247" s="1" t="s">
        <x:v>3047</x:v>
      </x:c>
      <x:c r="AB247" s="13">
        <x:v>2025</x:v>
      </x:c>
      <x:c r="AC247" s="3">
        <x:v>46322</x:v>
      </x:c>
      <x:c r="AD247" s="8" t="s">
        <x:v>69</x:v>
      </x:c>
      <x:c r="AE247" s="1" t="s">
        <x:v>3091</x:v>
      </x:c>
      <x:c r="AF247" s="8" t="s">
        <x:v>118</x:v>
      </x:c>
      <x:c r="AG247" s="1" t="s">
        <x:v>3049</x:v>
      </x:c>
      <x:c r="AH247" s="8" t="str">
        <x:v>Краткая затекстовая ссылка; повторная документальная сверка выполнена</x:v>
      </x:c>
      <x:c r="AI247" s="1"/>
      <x:c r="AJ247" s="17"/>
      <x:c r="AK247" s="1" t="s">
        <x:v>73</x:v>
      </x:c>
      <x:c r="AL247" s="8" t="s">
        <x:v>74</x:v>
      </x:c>
      <x:c r="AM247" s="1"/>
      <x:c r="AN247" s="8" t="s">
        <x:v>75</x:v>
      </x:c>
      <x:c r="AO247" s="1" t="s">
        <x:v>76</x:v>
      </x:c>
      <x:c r="AP247" s="8"/>
      <x:c r="AQ247" s="1" t="s">
        <x:v>77</x:v>
      </x:c>
      <x:c r="AR247" s="8" t="str">
        <x:v>Проверка автором исследования</x:v>
      </x:c>
      <x:c r="AS247" s="1" t="s">
        <x:v>3092</x:v>
      </x:c>
      <x:c r="AT247" s="8" t="s">
        <x:v>3093</x:v>
      </x:c>
      <x:c r="AU247" s="1" t="s">
        <x:v>3094</x:v>
      </x:c>
      <x:c r="AV247" s="17">
        <x:v>46321</x:v>
      </x:c>
      <x:c r="AW247" s="1" t="s">
        <x:v>81</x:v>
      </x:c>
      <x:c r="AX247" s="8" t="s">
        <x:v>82</x:v>
      </x:c>
      <x:c r="AY247" s="8"/>
    </x:row>
    <x:row r="248" ht="111.94999694824219" customHeight="1">
      <x:c r="A248" s="1" t="s">
        <x:v>3095</x:v>
      </x:c>
      <x:c r="B248" s="8" t="s">
        <x:v>3096</x:v>
      </x:c>
      <x:c r="C248" s="1" t="s">
        <x:v>3097</x:v>
      </x:c>
      <x:c r="D248" s="8" t="s">
        <x:v>53</x:v>
      </x:c>
      <x:c r="E248" s="1" t="s">
        <x:v>54</x:v>
      </x:c>
      <x:c r="F248" s="8" t="s">
        <x:v>3098</x:v>
      </x:c>
      <x:c r="G248" s="1" t="s">
        <x:v>3099</x:v>
      </x:c>
      <x:c r="H248" s="8" t="s">
        <x:v>3100</x:v>
      </x:c>
      <x:c r="I248" s="4">
        <x:v>2024</x:v>
      </x:c>
      <x:c r="J248" s="8" t="s">
        <x:v>3101</x:v>
      </x:c>
      <x:c r="K248" s="1" t="s">
        <x:v>416</x:v>
      </x:c>
      <x:c r="L248" s="8" t="s">
        <x:v>3102</x:v>
      </x:c>
      <x:c r="M248" s="1" t="s">
        <x:v>61</x:v>
      </x:c>
      <x:c r="N248" s="8"/>
      <x:c r="O248" s="1"/>
      <x:c r="P248" s="8"/>
      <x:c r="Q248" s="1"/>
      <x:c r="R248" s="8" t="s">
        <x:v>3103</x:v>
      </x:c>
      <x:c r="S248" s="3"/>
      <x:c r="T248" s="8" t="s">
        <x:v>63</x:v>
      </x:c>
      <x:c r="U248" s="1" t="s">
        <x:v>3104</x:v>
      </x:c>
      <x:c r="V248" s="13">
        <x:v>6</x:v>
      </x:c>
      <x:c r="W248" s="1" t="s">
        <x:v>65</x:v>
      </x:c>
      <x:c r="X248" s="8" t="s">
        <x:v>66</x:v>
      </x:c>
      <x:c r="Y248" s="1" t="str">
        <x:v>Проверено автором исследования</x:v>
      </x:c>
      <x:c r="Z248" s="8" t="s">
        <x:v>3105</x:v>
      </x:c>
      <x:c r="AA248" s="1" t="s">
        <x:v>3106</x:v>
      </x:c>
      <x:c r="AB248" s="13">
        <x:v>2025</x:v>
      </x:c>
      <x:c r="AC248" s="3">
        <x:v>46322</x:v>
      </x:c>
      <x:c r="AD248" s="8" t="s">
        <x:v>69</x:v>
      </x:c>
      <x:c r="AE248" s="1" t="s">
        <x:v>3107</x:v>
      </x:c>
      <x:c r="AF248" s="8" t="s">
        <x:v>118</x:v>
      </x:c>
      <x:c r="AG248" s="1" t="s">
        <x:v>3108</x:v>
      </x:c>
      <x:c r="AH248" s="8" t="str">
        <x:v>Краткая затекстовая ссылка; повторная документальная сверка выполнена</x:v>
      </x:c>
      <x:c r="AI248" s="1"/>
      <x:c r="AJ248" s="17"/>
      <x:c r="AK248" s="1" t="s">
        <x:v>73</x:v>
      </x:c>
      <x:c r="AL248" s="8" t="s">
        <x:v>74</x:v>
      </x:c>
      <x:c r="AM248" s="1"/>
      <x:c r="AN248" s="8" t="s">
        <x:v>75</x:v>
      </x:c>
      <x:c r="AO248" s="1" t="s">
        <x:v>76</x:v>
      </x:c>
      <x:c r="AP248" s="8"/>
      <x:c r="AQ248" s="1" t="s">
        <x:v>77</x:v>
      </x:c>
      <x:c r="AR248" s="8" t="str">
        <x:v>Проверка автором исследования</x:v>
      </x:c>
      <x:c r="AS248" s="1" t="s">
        <x:v>3109</x:v>
      </x:c>
      <x:c r="AT248" s="8" t="s">
        <x:v>3110</x:v>
      </x:c>
      <x:c r="AU248" s="1" t="s">
        <x:v>3111</x:v>
      </x:c>
      <x:c r="AV248" s="17">
        <x:v>46321</x:v>
      </x:c>
      <x:c r="AW248" s="1" t="s">
        <x:v>81</x:v>
      </x:c>
      <x:c r="AX248" s="8" t="s">
        <x:v>82</x:v>
      </x:c>
      <x:c r="AY248" s="8"/>
    </x:row>
    <x:row r="249" ht="69.94999694824219" customHeight="1">
      <x:c r="A249" s="1" t="s">
        <x:v>3112</x:v>
      </x:c>
      <x:c r="B249" s="8" t="s">
        <x:v>3113</x:v>
      </x:c>
      <x:c r="C249" s="1" t="s">
        <x:v>3114</x:v>
      </x:c>
      <x:c r="D249" s="8" t="s">
        <x:v>86</x:v>
      </x:c>
      <x:c r="E249" s="1" t="s">
        <x:v>76</x:v>
      </x:c>
      <x:c r="F249" s="8" t="s">
        <x:v>3115</x:v>
      </x:c>
      <x:c r="G249" s="1" t="s">
        <x:v>3116</x:v>
      </x:c>
      <x:c r="H249" s="8"/>
      <x:c r="I249" s="4">
        <x:v>2010</x:v>
      </x:c>
      <x:c r="J249" s="8"/>
      <x:c r="K249" s="1"/>
      <x:c r="L249" s="8" t="s">
        <x:v>3117</x:v>
      </x:c>
      <x:c r="M249" s="1" t="s">
        <x:v>90</x:v>
      </x:c>
      <x:c r="N249" s="8" t="s">
        <x:v>3118</x:v>
      </x:c>
      <x:c r="O249" s="1" t="s">
        <x:v>92</x:v>
      </x:c>
      <x:c r="P249" s="8"/>
      <x:c r="Q249" s="1"/>
      <x:c r="R249" s="8"/>
      <x:c r="S249" s="3"/>
      <x:c r="T249" s="8" t="s">
        <x:v>63</x:v>
      </x:c>
      <x:c r="U249" s="1" t="s">
        <x:v>3104</x:v>
      </x:c>
      <x:c r="V249" s="13">
        <x:v>7</x:v>
      </x:c>
      <x:c r="W249" s="1" t="s">
        <x:v>65</x:v>
      </x:c>
      <x:c r="X249" s="8" t="s">
        <x:v>66</x:v>
      </x:c>
      <x:c r="Y249" s="1" t="str">
        <x:v>Проверено автором исследования</x:v>
      </x:c>
      <x:c r="Z249" s="8"/>
      <x:c r="AA249" s="1" t="s">
        <x:v>3106</x:v>
      </x:c>
      <x:c r="AB249" s="13">
        <x:v>2025</x:v>
      </x:c>
      <x:c r="AC249" s="3"/>
      <x:c r="AD249" s="8" t="s">
        <x:v>93</x:v>
      </x:c>
      <x:c r="AE249" s="1"/>
      <x:c r="AF249" s="8" t="s">
        <x:v>118</x:v>
      </x:c>
      <x:c r="AG249" s="1" t="s">
        <x:v>3108</x:v>
      </x:c>
      <x:c r="AH249" s="8" t="str">
        <x:v>Краткая затекстовая ссылка; повторная документальная сверка выполнена</x:v>
      </x:c>
      <x:c r="AI249" s="1"/>
      <x:c r="AJ249" s="17"/>
      <x:c r="AK249" s="1" t="s">
        <x:v>73</x:v>
      </x:c>
      <x:c r="AL249" s="8" t="s">
        <x:v>74</x:v>
      </x:c>
      <x:c r="AM249" s="1"/>
      <x:c r="AN249" s="8" t="s">
        <x:v>95</x:v>
      </x:c>
      <x:c r="AO249" s="1" t="s">
        <x:v>76</x:v>
      </x:c>
      <x:c r="AP249" s="8"/>
      <x:c r="AQ249" s="1" t="s">
        <x:v>77</x:v>
      </x:c>
      <x:c r="AR249" s="8" t="str">
        <x:v>Проверка автором исследования</x:v>
      </x:c>
      <x:c r="AS249" s="1"/>
      <x:c r="AT249" s="8" t="s">
        <x:v>96</x:v>
      </x:c>
      <x:c r="AU249" s="1" t="s">
        <x:v>97</x:v>
      </x:c>
      <x:c r="AV249" s="17"/>
      <x:c r="AW249" s="1" t="s">
        <x:v>98</x:v>
      </x:c>
      <x:c r="AX249" s="8" t="s">
        <x:v>82</x:v>
      </x:c>
      <x:c r="AY249" s="8"/>
    </x:row>
    <x:row r="250" ht="84" customHeight="1">
      <x:c r="A250" s="1" t="s">
        <x:v>3119</x:v>
      </x:c>
      <x:c r="B250" s="8" t="s">
        <x:v>3120</x:v>
      </x:c>
      <x:c r="C250" s="1" t="s">
        <x:v>3121</x:v>
      </x:c>
      <x:c r="D250" s="8" t="s">
        <x:v>53</x:v>
      </x:c>
      <x:c r="E250" s="1" t="s">
        <x:v>54</x:v>
      </x:c>
      <x:c r="F250" s="8" t="s">
        <x:v>3122</x:v>
      </x:c>
      <x:c r="G250" s="1" t="s">
        <x:v>3123</x:v>
      </x:c>
      <x:c r="H250" s="8" t="s">
        <x:v>3124</x:v>
      </x:c>
      <x:c r="I250" s="4">
        <x:v>2022</x:v>
      </x:c>
      <x:c r="J250" s="8"/>
      <x:c r="K250" s="1" t="s">
        <x:v>3125</x:v>
      </x:c>
      <x:c r="L250" s="8" t="s">
        <x:v>3126</x:v>
      </x:c>
      <x:c r="M250" s="1" t="s">
        <x:v>61</x:v>
      </x:c>
      <x:c r="N250" s="8"/>
      <x:c r="O250" s="1"/>
      <x:c r="P250" s="8"/>
      <x:c r="Q250" s="1"/>
      <x:c r="R250" s="8" t="s">
        <x:v>3127</x:v>
      </x:c>
      <x:c r="S250" s="3"/>
      <x:c r="T250" s="8" t="s">
        <x:v>63</x:v>
      </x:c>
      <x:c r="U250" s="1" t="s">
        <x:v>3104</x:v>
      </x:c>
      <x:c r="V250" s="13">
        <x:v>15</x:v>
      </x:c>
      <x:c r="W250" s="1" t="s">
        <x:v>242</x:v>
      </x:c>
      <x:c r="X250" s="8" t="s">
        <x:v>66</x:v>
      </x:c>
      <x:c r="Y250" s="1" t="str">
        <x:v>Проверено автором; дополнительно проверено Михаилом Саяпиным</x:v>
      </x:c>
      <x:c r="Z250" s="8" t="s">
        <x:v>3128</x:v>
      </x:c>
      <x:c r="AA250" s="1" t="s">
        <x:v>3106</x:v>
      </x:c>
      <x:c r="AB250" s="13">
        <x:v>2025</x:v>
      </x:c>
      <x:c r="AC250" s="3">
        <x:v>46322</x:v>
      </x:c>
      <x:c r="AD250" s="8" t="s">
        <x:v>69</x:v>
      </x:c>
      <x:c r="AE250" s="1" t="s">
        <x:v>3129</x:v>
      </x:c>
      <x:c r="AF250" s="8" t="s">
        <x:v>118</x:v>
      </x:c>
      <x:c r="AG250" s="1" t="s">
        <x:v>3108</x:v>
      </x:c>
      <x:c r="AH250" s="8" t="s">
        <x:v>144</x:v>
      </x:c>
      <x:c r="AI250" s="1" t="s">
        <x:v>145</x:v>
      </x:c>
      <x:c r="AJ250" s="17">
        <x:v>46323</x:v>
      </x:c>
      <x:c r="AK250" s="1" t="s">
        <x:v>73</x:v>
      </x:c>
      <x:c r="AL250" s="8" t="s">
        <x:v>74</x:v>
      </x:c>
      <x:c r="AM250" s="1"/>
      <x:c r="AN250" s="8" t="s">
        <x:v>75</x:v>
      </x:c>
      <x:c r="AO250" s="1" t="s">
        <x:v>76</x:v>
      </x:c>
      <x:c r="AP250" s="8"/>
      <x:c r="AQ250" s="1" t="s">
        <x:v>77</x:v>
      </x:c>
      <x:c r="AR250" s="8" t="str">
        <x:v>Проверка автором исследования; дополнительная проверка Михаилом Саяпиным; согласование 28.10.2026</x:v>
      </x:c>
      <x:c r="AS250" s="1" t="s">
        <x:v>3130</x:v>
      </x:c>
      <x:c r="AT250" s="8" t="s">
        <x:v>3131</x:v>
      </x:c>
      <x:c r="AU250" s="1" t="s">
        <x:v>3132</x:v>
      </x:c>
      <x:c r="AV250" s="17">
        <x:v>46321</x:v>
      </x:c>
      <x:c r="AW250" s="1" t="s">
        <x:v>81</x:v>
      </x:c>
      <x:c r="AX250" s="8" t="s">
        <x:v>146</x:v>
      </x:c>
      <x:c r="AY250" s="8" t="s">
        <x:v>3133</x:v>
      </x:c>
    </x:row>
    <x:row r="251" ht="69.94999694824219" customHeight="1">
      <x:c r="A251" s="1" t="s">
        <x:v>3134</x:v>
      </x:c>
      <x:c r="B251" s="8" t="s">
        <x:v>3135</x:v>
      </x:c>
      <x:c r="C251" s="1" t="s">
        <x:v>3136</x:v>
      </x:c>
      <x:c r="D251" s="8" t="s">
        <x:v>73</x:v>
      </x:c>
      <x:c r="E251" s="1" t="s">
        <x:v>76</x:v>
      </x:c>
      <x:c r="F251" s="8" t="s">
        <x:v>3137</x:v>
      </x:c>
      <x:c r="G251" s="1" t="s">
        <x:v>3138</x:v>
      </x:c>
      <x:c r="H251" s="8" t="s">
        <x:v>2214</x:v>
      </x:c>
      <x:c r="I251" s="4">
        <x:v>2023</x:v>
      </x:c>
      <x:c r="J251" s="8" t="s">
        <x:v>975</x:v>
      </x:c>
      <x:c r="K251" s="1" t="s">
        <x:v>239</x:v>
      </x:c>
      <x:c r="L251" s="8" t="s">
        <x:v>3139</x:v>
      </x:c>
      <x:c r="M251" s="1" t="s">
        <x:v>61</x:v>
      </x:c>
      <x:c r="N251" s="8"/>
      <x:c r="O251" s="1"/>
      <x:c r="P251" s="8"/>
      <x:c r="Q251" s="1"/>
      <x:c r="R251" s="8" t="s">
        <x:v>3140</x:v>
      </x:c>
      <x:c r="S251" s="3"/>
      <x:c r="T251" s="8" t="s">
        <x:v>63</x:v>
      </x:c>
      <x:c r="U251" s="1" t="s">
        <x:v>3104</x:v>
      </x:c>
      <x:c r="V251" s="13">
        <x:v>17</x:v>
      </x:c>
      <x:c r="W251" s="1" t="s">
        <x:v>65</x:v>
      </x:c>
      <x:c r="X251" s="8" t="s">
        <x:v>66</x:v>
      </x:c>
      <x:c r="Y251" s="1" t="str">
        <x:v>Проверено автором исследования</x:v>
      </x:c>
      <x:c r="Z251" s="8" t="s">
        <x:v>3141</x:v>
      </x:c>
      <x:c r="AA251" s="1" t="s">
        <x:v>3106</x:v>
      </x:c>
      <x:c r="AB251" s="13">
        <x:v>2025</x:v>
      </x:c>
      <x:c r="AC251" s="3"/>
      <x:c r="AD251" s="8" t="s">
        <x:v>93</x:v>
      </x:c>
      <x:c r="AE251" s="1" t="s">
        <x:v>3142</x:v>
      </x:c>
      <x:c r="AF251" s="8" t="s">
        <x:v>118</x:v>
      </x:c>
      <x:c r="AG251" s="1" t="s">
        <x:v>3108</x:v>
      </x:c>
      <x:c r="AH251" s="8" t="str">
        <x:v>Краткая затекстовая ссылка; повторная документальная сверка выполнена</x:v>
      </x:c>
      <x:c r="AI251" s="1"/>
      <x:c r="AJ251" s="17"/>
      <x:c r="AK251" s="1" t="s">
        <x:v>73</x:v>
      </x:c>
      <x:c r="AL251" s="8" t="s">
        <x:v>74</x:v>
      </x:c>
      <x:c r="AM251" s="1"/>
      <x:c r="AN251" s="8" t="s">
        <x:v>95</x:v>
      </x:c>
      <x:c r="AO251" s="1" t="s">
        <x:v>76</x:v>
      </x:c>
      <x:c r="AP251" s="8"/>
      <x:c r="AQ251" s="1" t="s">
        <x:v>77</x:v>
      </x:c>
      <x:c r="AR251" s="8" t="str">
        <x:v>Проверка автором исследования</x:v>
      </x:c>
      <x:c r="AS251" s="1"/>
      <x:c r="AT251" s="8" t="s">
        <x:v>96</x:v>
      </x:c>
      <x:c r="AU251" s="1" t="s">
        <x:v>458</x:v>
      </x:c>
      <x:c r="AV251" s="17">
        <x:v>46321</x:v>
      </x:c>
      <x:c r="AW251" s="1" t="s">
        <x:v>81</x:v>
      </x:c>
      <x:c r="AX251" s="8" t="s">
        <x:v>82</x:v>
      </x:c>
      <x:c r="AY251" s="8"/>
    </x:row>
    <x:row r="252" ht="69.94999694824219" customHeight="1">
      <x:c r="A252" s="1" t="s">
        <x:v>3143</x:v>
      </x:c>
      <x:c r="B252" s="8" t="s">
        <x:v>3144</x:v>
      </x:c>
      <x:c r="C252" s="1" t="s">
        <x:v>3145</x:v>
      </x:c>
      <x:c r="D252" s="8" t="s">
        <x:v>73</x:v>
      </x:c>
      <x:c r="E252" s="1" t="s">
        <x:v>76</x:v>
      </x:c>
      <x:c r="F252" s="8" t="s">
        <x:v>3146</x:v>
      </x:c>
      <x:c r="G252" s="1" t="s">
        <x:v>3147</x:v>
      </x:c>
      <x:c r="H252" s="8" t="s">
        <x:v>3148</x:v>
      </x:c>
      <x:c r="I252" s="4">
        <x:v>1993</x:v>
      </x:c>
      <x:c r="J252" s="8"/>
      <x:c r="K252" s="1"/>
      <x:c r="L252" s="8" t="s">
        <x:v>3149</x:v>
      </x:c>
      <x:c r="M252" s="1" t="s">
        <x:v>61</x:v>
      </x:c>
      <x:c r="N252" s="8"/>
      <x:c r="O252" s="1"/>
      <x:c r="P252" s="8"/>
      <x:c r="Q252" s="1"/>
      <x:c r="R252" s="8"/>
      <x:c r="S252" s="3"/>
      <x:c r="T252" s="8" t="s">
        <x:v>63</x:v>
      </x:c>
      <x:c r="U252" s="1" t="s">
        <x:v>3104</x:v>
      </x:c>
      <x:c r="V252" s="13">
        <x:v>20</x:v>
      </x:c>
      <x:c r="W252" s="1" t="s">
        <x:v>65</x:v>
      </x:c>
      <x:c r="X252" s="8" t="s">
        <x:v>66</x:v>
      </x:c>
      <x:c r="Y252" s="1" t="str">
        <x:v>Проверено автором исследования</x:v>
      </x:c>
      <x:c r="Z252" s="8"/>
      <x:c r="AA252" s="1" t="s">
        <x:v>3106</x:v>
      </x:c>
      <x:c r="AB252" s="13">
        <x:v>2025</x:v>
      </x:c>
      <x:c r="AC252" s="3"/>
      <x:c r="AD252" s="8" t="s">
        <x:v>93</x:v>
      </x:c>
      <x:c r="AE252" s="1"/>
      <x:c r="AF252" s="8" t="s">
        <x:v>118</x:v>
      </x:c>
      <x:c r="AG252" s="1" t="s">
        <x:v>3108</x:v>
      </x:c>
      <x:c r="AH252" s="8" t="str">
        <x:v>Краткая затекстовая ссылка; повторная документальная сверка выполнена</x:v>
      </x:c>
      <x:c r="AI252" s="1"/>
      <x:c r="AJ252" s="17"/>
      <x:c r="AK252" s="1" t="s">
        <x:v>73</x:v>
      </x:c>
      <x:c r="AL252" s="8" t="s">
        <x:v>74</x:v>
      </x:c>
      <x:c r="AM252" s="1"/>
      <x:c r="AN252" s="8" t="s">
        <x:v>95</x:v>
      </x:c>
      <x:c r="AO252" s="1" t="s">
        <x:v>76</x:v>
      </x:c>
      <x:c r="AP252" s="8"/>
      <x:c r="AQ252" s="1" t="s">
        <x:v>77</x:v>
      </x:c>
      <x:c r="AR252" s="8" t="str">
        <x:v>Проверка автором исследования</x:v>
      </x:c>
      <x:c r="AS252" s="1"/>
      <x:c r="AT252" s="8" t="s">
        <x:v>96</x:v>
      </x:c>
      <x:c r="AU252" s="1" t="s">
        <x:v>97</x:v>
      </x:c>
      <x:c r="AV252" s="17"/>
      <x:c r="AW252" s="1" t="s">
        <x:v>98</x:v>
      </x:c>
      <x:c r="AX252" s="8" t="s">
        <x:v>82</x:v>
      </x:c>
      <x:c r="AY252" s="8"/>
    </x:row>
    <x:row r="253" ht="84" customHeight="1">
      <x:c r="A253" s="1" t="s">
        <x:v>3150</x:v>
      </x:c>
      <x:c r="B253" s="8" t="s">
        <x:v>3151</x:v>
      </x:c>
      <x:c r="C253" s="1" t="s">
        <x:v>3152</x:v>
      </x:c>
      <x:c r="D253" s="8" t="s">
        <x:v>53</x:v>
      </x:c>
      <x:c r="E253" s="1" t="s">
        <x:v>54</x:v>
      </x:c>
      <x:c r="F253" s="8" t="s">
        <x:v>3153</x:v>
      </x:c>
      <x:c r="G253" s="1" t="s">
        <x:v>3154</x:v>
      </x:c>
      <x:c r="H253" s="8" t="s">
        <x:v>2988</x:v>
      </x:c>
      <x:c r="I253" s="4">
        <x:v>2020</x:v>
      </x:c>
      <x:c r="J253" s="8" t="s">
        <x:v>485</x:v>
      </x:c>
      <x:c r="K253" s="1" t="s">
        <x:v>416</x:v>
      </x:c>
      <x:c r="L253" s="8" t="s">
        <x:v>3155</x:v>
      </x:c>
      <x:c r="M253" s="1" t="s">
        <x:v>61</x:v>
      </x:c>
      <x:c r="N253" s="8"/>
      <x:c r="O253" s="1"/>
      <x:c r="P253" s="8"/>
      <x:c r="Q253" s="1"/>
      <x:c r="R253" s="8" t="s">
        <x:v>3156</x:v>
      </x:c>
      <x:c r="S253" s="3"/>
      <x:c r="T253" s="8" t="s">
        <x:v>63</x:v>
      </x:c>
      <x:c r="U253" s="1" t="s">
        <x:v>3157</x:v>
      </x:c>
      <x:c r="V253" s="13">
        <x:v>11</x:v>
      </x:c>
      <x:c r="W253" s="1" t="s">
        <x:v>65</x:v>
      </x:c>
      <x:c r="X253" s="8" t="s">
        <x:v>66</x:v>
      </x:c>
      <x:c r="Y253" s="1" t="str">
        <x:v>Проверено автором исследования</x:v>
      </x:c>
      <x:c r="Z253" s="8" t="s">
        <x:v>3158</x:v>
      </x:c>
      <x:c r="AA253" s="1" t="s">
        <x:v>3159</x:v>
      </x:c>
      <x:c r="AB253" s="13">
        <x:v>2025</x:v>
      </x:c>
      <x:c r="AC253" s="3">
        <x:v>46322</x:v>
      </x:c>
      <x:c r="AD253" s="8" t="s">
        <x:v>69</x:v>
      </x:c>
      <x:c r="AE253" s="1" t="s">
        <x:v>3160</x:v>
      </x:c>
      <x:c r="AF253" s="8" t="s">
        <x:v>118</x:v>
      </x:c>
      <x:c r="AG253" s="1" t="s">
        <x:v>3161</x:v>
      </x:c>
      <x:c r="AH253" s="8" t="str">
        <x:v>Краткая затекстовая ссылка; повторная документальная сверка выполнена</x:v>
      </x:c>
      <x:c r="AI253" s="1"/>
      <x:c r="AJ253" s="17"/>
      <x:c r="AK253" s="1" t="s">
        <x:v>73</x:v>
      </x:c>
      <x:c r="AL253" s="8" t="s">
        <x:v>74</x:v>
      </x:c>
      <x:c r="AM253" s="1"/>
      <x:c r="AN253" s="8" t="s">
        <x:v>75</x:v>
      </x:c>
      <x:c r="AO253" s="1" t="s">
        <x:v>76</x:v>
      </x:c>
      <x:c r="AP253" s="8"/>
      <x:c r="AQ253" s="1" t="s">
        <x:v>77</x:v>
      </x:c>
      <x:c r="AR253" s="8" t="str">
        <x:v>Проверка автором исследования</x:v>
      </x:c>
      <x:c r="AS253" s="1" t="s">
        <x:v>3162</x:v>
      </x:c>
      <x:c r="AT253" s="8" t="s">
        <x:v>3163</x:v>
      </x:c>
      <x:c r="AU253" s="1" t="s">
        <x:v>3164</x:v>
      </x:c>
      <x:c r="AV253" s="17">
        <x:v>46321</x:v>
      </x:c>
      <x:c r="AW253" s="1" t="s">
        <x:v>81</x:v>
      </x:c>
      <x:c r="AX253" s="8" t="s">
        <x:v>82</x:v>
      </x:c>
      <x:c r="AY253" s="8"/>
    </x:row>
    <x:row r="254" ht="69.94999694824219" customHeight="1">
      <x:c r="A254" s="1" t="s">
        <x:v>3165</x:v>
      </x:c>
      <x:c r="B254" s="8" t="s">
        <x:v>3166</x:v>
      </x:c>
      <x:c r="C254" s="1" t="s">
        <x:v>3167</x:v>
      </x:c>
      <x:c r="D254" s="8" t="s">
        <x:v>86</x:v>
      </x:c>
      <x:c r="E254" s="1" t="s">
        <x:v>76</x:v>
      </x:c>
      <x:c r="F254" s="8" t="s">
        <x:v>3168</x:v>
      </x:c>
      <x:c r="G254" s="1" t="s">
        <x:v>3169</x:v>
      </x:c>
      <x:c r="H254" s="8"/>
      <x:c r="I254" s="4">
        <x:v>2010</x:v>
      </x:c>
      <x:c r="J254" s="8"/>
      <x:c r="K254" s="1"/>
      <x:c r="L254" s="8" t="s">
        <x:v>1394</x:v>
      </x:c>
      <x:c r="M254" s="1" t="s">
        <x:v>90</x:v>
      </x:c>
      <x:c r="N254" s="8" t="s">
        <x:v>3170</x:v>
      </x:c>
      <x:c r="O254" s="1" t="s">
        <x:v>92</x:v>
      </x:c>
      <x:c r="P254" s="8"/>
      <x:c r="Q254" s="1"/>
      <x:c r="R254" s="8"/>
      <x:c r="S254" s="3"/>
      <x:c r="T254" s="8" t="s">
        <x:v>63</x:v>
      </x:c>
      <x:c r="U254" s="1" t="s">
        <x:v>3157</x:v>
      </x:c>
      <x:c r="V254" s="13">
        <x:v>26</x:v>
      </x:c>
      <x:c r="W254" s="1" t="s">
        <x:v>140</x:v>
      </x:c>
      <x:c r="X254" s="8" t="s">
        <x:v>66</x:v>
      </x:c>
      <x:c r="Y254" s="1" t="str">
        <x:v>Проверено автором; дополнительно проверено Михаилом Саяпиным</x:v>
      </x:c>
      <x:c r="Z254" s="8"/>
      <x:c r="AA254" s="1" t="s">
        <x:v>3159</x:v>
      </x:c>
      <x:c r="AB254" s="13">
        <x:v>2025</x:v>
      </x:c>
      <x:c r="AC254" s="3"/>
      <x:c r="AD254" s="8" t="s">
        <x:v>93</x:v>
      </x:c>
      <x:c r="AE254" s="1" t="s">
        <x:v>3171</x:v>
      </x:c>
      <x:c r="AF254" s="8" t="s">
        <x:v>118</x:v>
      </x:c>
      <x:c r="AG254" s="1" t="s">
        <x:v>3161</x:v>
      </x:c>
      <x:c r="AH254" s="8" t="s">
        <x:v>144</x:v>
      </x:c>
      <x:c r="AI254" s="1" t="s">
        <x:v>145</x:v>
      </x:c>
      <x:c r="AJ254" s="17">
        <x:v>46323</x:v>
      </x:c>
      <x:c r="AK254" s="1" t="s">
        <x:v>73</x:v>
      </x:c>
      <x:c r="AL254" s="8" t="s">
        <x:v>74</x:v>
      </x:c>
      <x:c r="AM254" s="1"/>
      <x:c r="AN254" s="8" t="s">
        <x:v>95</x:v>
      </x:c>
      <x:c r="AO254" s="1" t="s">
        <x:v>76</x:v>
      </x:c>
      <x:c r="AP254" s="8"/>
      <x:c r="AQ254" s="1" t="s">
        <x:v>77</x:v>
      </x:c>
      <x:c r="AR254" s="8" t="str">
        <x:v>Проверка автором исследования; дополнительная проверка Михаилом Саяпиным; согласование 28.10.2026</x:v>
      </x:c>
      <x:c r="AS254" s="1"/>
      <x:c r="AT254" s="8" t="s">
        <x:v>96</x:v>
      </x:c>
      <x:c r="AU254" s="1" t="s">
        <x:v>97</x:v>
      </x:c>
      <x:c r="AV254" s="17"/>
      <x:c r="AW254" s="1" t="s">
        <x:v>98</x:v>
      </x:c>
      <x:c r="AX254" s="8" t="s">
        <x:v>146</x:v>
      </x:c>
      <x:c r="AY254" s="8" t="s">
        <x:v>3172</x:v>
      </x:c>
    </x:row>
    <x:row r="255" ht="69.94999694824219" customHeight="1">
      <x:c r="A255" s="1" t="s">
        <x:v>3173</x:v>
      </x:c>
      <x:c r="B255" s="8" t="s">
        <x:v>3174</x:v>
      </x:c>
      <x:c r="C255" s="1" t="s">
        <x:v>3175</x:v>
      </x:c>
      <x:c r="D255" s="8" t="s">
        <x:v>3176</x:v>
      </x:c>
      <x:c r="E255" s="1" t="s">
        <x:v>76</x:v>
      </x:c>
      <x:c r="F255" s="8" t="s">
        <x:v>3177</x:v>
      </x:c>
      <x:c r="G255" s="1" t="s">
        <x:v>3178</x:v>
      </x:c>
      <x:c r="H255" s="8" t="s">
        <x:v>3179</x:v>
      </x:c>
      <x:c r="I255" s="4">
        <x:v>2016</x:v>
      </x:c>
      <x:c r="J255" s="8"/>
      <x:c r="K255" s="1" t="s">
        <x:v>537</x:v>
      </x:c>
      <x:c r="L255" s="8" t="s">
        <x:v>3180</x:v>
      </x:c>
      <x:c r="M255" s="1" t="s">
        <x:v>61</x:v>
      </x:c>
      <x:c r="N255" s="8" t="s">
        <x:v>3181</x:v>
      </x:c>
      <x:c r="O255" s="1" t="s">
        <x:v>92</x:v>
      </x:c>
      <x:c r="P255" s="8"/>
      <x:c r="Q255" s="1"/>
      <x:c r="R255" s="8"/>
      <x:c r="S255" s="3"/>
      <x:c r="T255" s="8" t="s">
        <x:v>63</x:v>
      </x:c>
      <x:c r="U255" s="1" t="s">
        <x:v>3157</x:v>
      </x:c>
      <x:c r="V255" s="13">
        <x:v>31</x:v>
      </x:c>
      <x:c r="W255" s="1" t="s">
        <x:v>3182</x:v>
      </x:c>
      <x:c r="X255" s="8" t="s">
        <x:v>66</x:v>
      </x:c>
      <x:c r="Y255" s="1" t="str">
        <x:v>Проверено автором; дополнительно проверено Михаилом Саяпиным</x:v>
      </x:c>
      <x:c r="Z255" s="8"/>
      <x:c r="AA255" s="1" t="s">
        <x:v>3159</x:v>
      </x:c>
      <x:c r="AB255" s="13">
        <x:v>2025</x:v>
      </x:c>
      <x:c r="AC255" s="3"/>
      <x:c r="AD255" s="8" t="s">
        <x:v>93</x:v>
      </x:c>
      <x:c r="AE255" s="1" t="s">
        <x:v>3183</x:v>
      </x:c>
      <x:c r="AF255" s="8" t="s">
        <x:v>118</x:v>
      </x:c>
      <x:c r="AG255" s="1" t="s">
        <x:v>3161</x:v>
      </x:c>
      <x:c r="AH255" s="8" t="s">
        <x:v>144</x:v>
      </x:c>
      <x:c r="AI255" s="1" t="s">
        <x:v>145</x:v>
      </x:c>
      <x:c r="AJ255" s="17">
        <x:v>46323</x:v>
      </x:c>
      <x:c r="AK255" s="1" t="s">
        <x:v>73</x:v>
      </x:c>
      <x:c r="AL255" s="8" t="s">
        <x:v>74</x:v>
      </x:c>
      <x:c r="AM255" s="1"/>
      <x:c r="AN255" s="8" t="s">
        <x:v>95</x:v>
      </x:c>
      <x:c r="AO255" s="1" t="s">
        <x:v>76</x:v>
      </x:c>
      <x:c r="AP255" s="8"/>
      <x:c r="AQ255" s="1" t="s">
        <x:v>77</x:v>
      </x:c>
      <x:c r="AR255" s="8" t="str">
        <x:v>Проверка автором исследования; дополнительная проверка Михаилом Саяпиным; согласование 28.10.2026</x:v>
      </x:c>
      <x:c r="AS255" s="1"/>
      <x:c r="AT255" s="8" t="s">
        <x:v>96</x:v>
      </x:c>
      <x:c r="AU255" s="1" t="s">
        <x:v>97</x:v>
      </x:c>
      <x:c r="AV255" s="17"/>
      <x:c r="AW255" s="1" t="s">
        <x:v>98</x:v>
      </x:c>
      <x:c r="AX255" s="8" t="s">
        <x:v>146</x:v>
      </x:c>
      <x:c r="AY255" s="8" t="s">
        <x:v>3184</x:v>
      </x:c>
    </x:row>
    <x:row r="256" ht="69.94999694824219" customHeight="1">
      <x:c r="A256" s="1" t="s">
        <x:v>3185</x:v>
      </x:c>
      <x:c r="B256" s="8" t="s">
        <x:v>3186</x:v>
      </x:c>
      <x:c r="C256" s="1" t="s">
        <x:v>3187</x:v>
      </x:c>
      <x:c r="D256" s="8" t="s">
        <x:v>73</x:v>
      </x:c>
      <x:c r="E256" s="1" t="s">
        <x:v>76</x:v>
      </x:c>
      <x:c r="F256" s="8" t="s">
        <x:v>3188</x:v>
      </x:c>
      <x:c r="G256" s="1" t="s">
        <x:v>3189</x:v>
      </x:c>
      <x:c r="H256" s="8" t="s">
        <x:v>3190</x:v>
      </x:c>
      <x:c r="I256" s="4">
        <x:v>2020</x:v>
      </x:c>
      <x:c r="J256" s="8"/>
      <x:c r="K256" s="1" t="s">
        <x:v>182</x:v>
      </x:c>
      <x:c r="L256" s="8" t="s">
        <x:v>3191</x:v>
      </x:c>
      <x:c r="M256" s="1" t="s">
        <x:v>61</x:v>
      </x:c>
      <x:c r="N256" s="8"/>
      <x:c r="O256" s="1"/>
      <x:c r="P256" s="8"/>
      <x:c r="Q256" s="1"/>
      <x:c r="R256" s="8"/>
      <x:c r="S256" s="3"/>
      <x:c r="T256" s="8" t="s">
        <x:v>63</x:v>
      </x:c>
      <x:c r="U256" s="1" t="s">
        <x:v>3192</x:v>
      </x:c>
      <x:c r="V256" s="13">
        <x:v>13</x:v>
      </x:c>
      <x:c r="W256" s="1" t="s">
        <x:v>65</x:v>
      </x:c>
      <x:c r="X256" s="8" t="s">
        <x:v>66</x:v>
      </x:c>
      <x:c r="Y256" s="1" t="str">
        <x:v>Проверено автором исследования</x:v>
      </x:c>
      <x:c r="Z256" s="8"/>
      <x:c r="AA256" s="1" t="s">
        <x:v>3193</x:v>
      </x:c>
      <x:c r="AB256" s="13">
        <x:v>2025</x:v>
      </x:c>
      <x:c r="AC256" s="3"/>
      <x:c r="AD256" s="8" t="s">
        <x:v>93</x:v>
      </x:c>
      <x:c r="AE256" s="1" t="s">
        <x:v>3194</x:v>
      </x:c>
      <x:c r="AF256" s="8" t="s">
        <x:v>118</x:v>
      </x:c>
      <x:c r="AG256" s="1" t="s">
        <x:v>3195</x:v>
      </x:c>
      <x:c r="AH256" s="8" t="str">
        <x:v>Краткая затекстовая ссылка; повторная документальная сверка выполнена</x:v>
      </x:c>
      <x:c r="AI256" s="1"/>
      <x:c r="AJ256" s="17"/>
      <x:c r="AK256" s="1" t="s">
        <x:v>73</x:v>
      </x:c>
      <x:c r="AL256" s="8" t="s">
        <x:v>74</x:v>
      </x:c>
      <x:c r="AM256" s="1"/>
      <x:c r="AN256" s="8" t="s">
        <x:v>95</x:v>
      </x:c>
      <x:c r="AO256" s="1" t="s">
        <x:v>76</x:v>
      </x:c>
      <x:c r="AP256" s="8"/>
      <x:c r="AQ256" s="1" t="s">
        <x:v>77</x:v>
      </x:c>
      <x:c r="AR256" s="8" t="str">
        <x:v>Проверка автором исследования</x:v>
      </x:c>
      <x:c r="AS256" s="1"/>
      <x:c r="AT256" s="8" t="s">
        <x:v>96</x:v>
      </x:c>
      <x:c r="AU256" s="1" t="s">
        <x:v>97</x:v>
      </x:c>
      <x:c r="AV256" s="17"/>
      <x:c r="AW256" s="1" t="s">
        <x:v>98</x:v>
      </x:c>
      <x:c r="AX256" s="8" t="s">
        <x:v>82</x:v>
      </x:c>
      <x:c r="AY256" s="8"/>
    </x:row>
    <x:row r="257" ht="84" customHeight="1">
      <x:c r="A257" s="1" t="s">
        <x:v>3196</x:v>
      </x:c>
      <x:c r="B257" s="8" t="s">
        <x:v>3197</x:v>
      </x:c>
      <x:c r="C257" s="1" t="s">
        <x:v>3198</x:v>
      </x:c>
      <x:c r="D257" s="8" t="s">
        <x:v>53</x:v>
      </x:c>
      <x:c r="E257" s="1" t="s">
        <x:v>54</x:v>
      </x:c>
      <x:c r="F257" s="8" t="s">
        <x:v>3199</x:v>
      </x:c>
      <x:c r="G257" s="1" t="s">
        <x:v>3200</x:v>
      </x:c>
      <x:c r="H257" s="8" t="s">
        <x:v>3004</x:v>
      </x:c>
      <x:c r="I257" s="4">
        <x:v>2024</x:v>
      </x:c>
      <x:c r="J257" s="8"/>
      <x:c r="K257" s="1"/>
      <x:c r="L257" s="8" t="s">
        <x:v>3201</x:v>
      </x:c>
      <x:c r="M257" s="1" t="s">
        <x:v>61</x:v>
      </x:c>
      <x:c r="N257" s="8"/>
      <x:c r="O257" s="1"/>
      <x:c r="P257" s="8"/>
      <x:c r="Q257" s="1"/>
      <x:c r="R257" s="8" t="s">
        <x:v>3202</x:v>
      </x:c>
      <x:c r="S257" s="3"/>
      <x:c r="T257" s="8" t="s">
        <x:v>63</x:v>
      </x:c>
      <x:c r="U257" s="1" t="s">
        <x:v>3192</x:v>
      </x:c>
      <x:c r="V257" s="13">
        <x:v>14</x:v>
      </x:c>
      <x:c r="W257" s="1" t="s">
        <x:v>65</x:v>
      </x:c>
      <x:c r="X257" s="8" t="s">
        <x:v>66</x:v>
      </x:c>
      <x:c r="Y257" s="1" t="str">
        <x:v>Проверено автором исследования</x:v>
      </x:c>
      <x:c r="Z257" s="8" t="s">
        <x:v>3203</x:v>
      </x:c>
      <x:c r="AA257" s="1" t="s">
        <x:v>3193</x:v>
      </x:c>
      <x:c r="AB257" s="13">
        <x:v>2025</x:v>
      </x:c>
      <x:c r="AC257" s="3">
        <x:v>46322</x:v>
      </x:c>
      <x:c r="AD257" s="8" t="s">
        <x:v>69</x:v>
      </x:c>
      <x:c r="AE257" s="1" t="s">
        <x:v>3204</x:v>
      </x:c>
      <x:c r="AF257" s="8" t="s">
        <x:v>118</x:v>
      </x:c>
      <x:c r="AG257" s="1" t="s">
        <x:v>3195</x:v>
      </x:c>
      <x:c r="AH257" s="8" t="str">
        <x:v>Краткая затекстовая ссылка; повторная документальная сверка выполнена</x:v>
      </x:c>
      <x:c r="AI257" s="1"/>
      <x:c r="AJ257" s="17"/>
      <x:c r="AK257" s="1" t="s">
        <x:v>73</x:v>
      </x:c>
      <x:c r="AL257" s="8" t="s">
        <x:v>74</x:v>
      </x:c>
      <x:c r="AM257" s="1"/>
      <x:c r="AN257" s="8" t="s">
        <x:v>75</x:v>
      </x:c>
      <x:c r="AO257" s="1" t="s">
        <x:v>76</x:v>
      </x:c>
      <x:c r="AP257" s="8"/>
      <x:c r="AQ257" s="1" t="s">
        <x:v>77</x:v>
      </x:c>
      <x:c r="AR257" s="8" t="str">
        <x:v>Проверка автором исследования</x:v>
      </x:c>
      <x:c r="AS257" s="1" t="s">
        <x:v>3205</x:v>
      </x:c>
      <x:c r="AT257" s="8" t="s">
        <x:v>3206</x:v>
      </x:c>
      <x:c r="AU257" s="1" t="s">
        <x:v>3207</x:v>
      </x:c>
      <x:c r="AV257" s="17">
        <x:v>46321</x:v>
      </x:c>
      <x:c r="AW257" s="1" t="s">
        <x:v>81</x:v>
      </x:c>
      <x:c r="AX257" s="8" t="s">
        <x:v>82</x:v>
      </x:c>
      <x:c r="AY257" s="8"/>
    </x:row>
    <x:row r="258" ht="69.94999694824219" customHeight="1">
      <x:c r="A258" s="1" t="s">
        <x:v>3208</x:v>
      </x:c>
      <x:c r="B258" s="8" t="s">
        <x:v>3209</x:v>
      </x:c>
      <x:c r="C258" s="1" t="s">
        <x:v>3210</x:v>
      </x:c>
      <x:c r="D258" s="8" t="s">
        <x:v>53</x:v>
      </x:c>
      <x:c r="E258" s="1" t="s">
        <x:v>54</x:v>
      </x:c>
      <x:c r="F258" s="8" t="s">
        <x:v>3211</x:v>
      </x:c>
      <x:c r="G258" s="1" t="s">
        <x:v>3212</x:v>
      </x:c>
      <x:c r="H258" s="8" t="s">
        <x:v>3213</x:v>
      </x:c>
      <x:c r="I258" s="4">
        <x:v>2023</x:v>
      </x:c>
      <x:c r="J258" s="8"/>
      <x:c r="K258" s="1" t="s">
        <x:v>3214</x:v>
      </x:c>
      <x:c r="L258" s="8" t="s">
        <x:v>3215</x:v>
      </x:c>
      <x:c r="M258" s="1" t="s">
        <x:v>61</x:v>
      </x:c>
      <x:c r="N258" s="8"/>
      <x:c r="O258" s="1"/>
      <x:c r="P258" s="8"/>
      <x:c r="Q258" s="1"/>
      <x:c r="R258" s="8" t="s">
        <x:v>3216</x:v>
      </x:c>
      <x:c r="S258" s="3"/>
      <x:c r="T258" s="8" t="s">
        <x:v>63</x:v>
      </x:c>
      <x:c r="U258" s="1" t="s">
        <x:v>3192</x:v>
      </x:c>
      <x:c r="V258" s="13">
        <x:v>18</x:v>
      </x:c>
      <x:c r="W258" s="1" t="s">
        <x:v>65</x:v>
      </x:c>
      <x:c r="X258" s="8" t="s">
        <x:v>66</x:v>
      </x:c>
      <x:c r="Y258" s="1" t="str">
        <x:v>Проверено автором исследования</x:v>
      </x:c>
      <x:c r="Z258" s="8" t="s">
        <x:v>3217</x:v>
      </x:c>
      <x:c r="AA258" s="1" t="s">
        <x:v>3193</x:v>
      </x:c>
      <x:c r="AB258" s="13">
        <x:v>2025</x:v>
      </x:c>
      <x:c r="AC258" s="3">
        <x:v>46322</x:v>
      </x:c>
      <x:c r="AD258" s="8" t="s">
        <x:v>69</x:v>
      </x:c>
      <x:c r="AE258" s="1" t="s">
        <x:v>3218</x:v>
      </x:c>
      <x:c r="AF258" s="8" t="s">
        <x:v>118</x:v>
      </x:c>
      <x:c r="AG258" s="1" t="s">
        <x:v>3195</x:v>
      </x:c>
      <x:c r="AH258" s="8" t="str">
        <x:v>Краткая затекстовая ссылка; повторная документальная сверка выполнена</x:v>
      </x:c>
      <x:c r="AI258" s="1"/>
      <x:c r="AJ258" s="17"/>
      <x:c r="AK258" s="1" t="s">
        <x:v>73</x:v>
      </x:c>
      <x:c r="AL258" s="8" t="s">
        <x:v>74</x:v>
      </x:c>
      <x:c r="AM258" s="1"/>
      <x:c r="AN258" s="8" t="s">
        <x:v>75</x:v>
      </x:c>
      <x:c r="AO258" s="1" t="s">
        <x:v>76</x:v>
      </x:c>
      <x:c r="AP258" s="8"/>
      <x:c r="AQ258" s="1" t="s">
        <x:v>77</x:v>
      </x:c>
      <x:c r="AR258" s="8" t="str">
        <x:v>Проверка автором исследования</x:v>
      </x:c>
      <x:c r="AS258" s="1" t="s">
        <x:v>3219</x:v>
      </x:c>
      <x:c r="AT258" s="8" t="s">
        <x:v>3220</x:v>
      </x:c>
      <x:c r="AU258" s="1" t="s">
        <x:v>3221</x:v>
      </x:c>
      <x:c r="AV258" s="17">
        <x:v>46321</x:v>
      </x:c>
      <x:c r="AW258" s="1" t="s">
        <x:v>81</x:v>
      </x:c>
      <x:c r="AX258" s="8" t="s">
        <x:v>82</x:v>
      </x:c>
      <x:c r="AY258" s="8"/>
    </x:row>
    <x:row r="259" ht="111.94999694824219" customHeight="1">
      <x:c r="A259" s="1" t="s">
        <x:v>3222</x:v>
      </x:c>
      <x:c r="B259" s="8" t="s">
        <x:v>3223</x:v>
      </x:c>
      <x:c r="C259" s="1" t="s">
        <x:v>3224</x:v>
      </x:c>
      <x:c r="D259" s="8" t="s">
        <x:v>53</x:v>
      </x:c>
      <x:c r="E259" s="1" t="s">
        <x:v>54</x:v>
      </x:c>
      <x:c r="F259" s="8" t="s">
        <x:v>3225</x:v>
      </x:c>
      <x:c r="G259" s="1" t="s">
        <x:v>3226</x:v>
      </x:c>
      <x:c r="H259" s="8" t="s">
        <x:v>3227</x:v>
      </x:c>
      <x:c r="I259" s="4">
        <x:v>2023</x:v>
      </x:c>
      <x:c r="J259" s="8" t="s">
        <x:v>740</x:v>
      </x:c>
      <x:c r="K259" s="1" t="s">
        <x:v>239</x:v>
      </x:c>
      <x:c r="L259" s="8" t="s">
        <x:v>3228</x:v>
      </x:c>
      <x:c r="M259" s="1" t="s">
        <x:v>61</x:v>
      </x:c>
      <x:c r="N259" s="8"/>
      <x:c r="O259" s="1"/>
      <x:c r="P259" s="8"/>
      <x:c r="Q259" s="1"/>
      <x:c r="R259" s="8" t="s">
        <x:v>3229</x:v>
      </x:c>
      <x:c r="S259" s="3"/>
      <x:c r="T259" s="8" t="s">
        <x:v>63</x:v>
      </x:c>
      <x:c r="U259" s="1" t="s">
        <x:v>3230</x:v>
      </x:c>
      <x:c r="V259" s="13">
        <x:v>6</x:v>
      </x:c>
      <x:c r="W259" s="1" t="s">
        <x:v>65</x:v>
      </x:c>
      <x:c r="X259" s="8" t="s">
        <x:v>66</x:v>
      </x:c>
      <x:c r="Y259" s="1" t="str">
        <x:v>Проверено автором исследования</x:v>
      </x:c>
      <x:c r="Z259" s="8" t="s">
        <x:v>3231</x:v>
      </x:c>
      <x:c r="AA259" s="1" t="s">
        <x:v>3232</x:v>
      </x:c>
      <x:c r="AB259" s="13">
        <x:v>2025</x:v>
      </x:c>
      <x:c r="AC259" s="3">
        <x:v>46322</x:v>
      </x:c>
      <x:c r="AD259" s="8" t="s">
        <x:v>69</x:v>
      </x:c>
      <x:c r="AE259" s="1" t="s">
        <x:v>3233</x:v>
      </x:c>
      <x:c r="AF259" s="8" t="s">
        <x:v>71</x:v>
      </x:c>
      <x:c r="AG259" s="1" t="s">
        <x:v>3234</x:v>
      </x:c>
      <x:c r="AH259" s="8" t="str">
        <x:v>Краткая затекстовая ссылка; повторная документальная сверка выполнена</x:v>
      </x:c>
      <x:c r="AI259" s="1"/>
      <x:c r="AJ259" s="17"/>
      <x:c r="AK259" s="1" t="s">
        <x:v>73</x:v>
      </x:c>
      <x:c r="AL259" s="8" t="s">
        <x:v>74</x:v>
      </x:c>
      <x:c r="AM259" s="1"/>
      <x:c r="AN259" s="8" t="s">
        <x:v>75</x:v>
      </x:c>
      <x:c r="AO259" s="1" t="s">
        <x:v>76</x:v>
      </x:c>
      <x:c r="AP259" s="8"/>
      <x:c r="AQ259" s="1" t="s">
        <x:v>77</x:v>
      </x:c>
      <x:c r="AR259" s="8" t="str">
        <x:v>Проверка автором исследования</x:v>
      </x:c>
      <x:c r="AS259" s="1" t="s">
        <x:v>3235</x:v>
      </x:c>
      <x:c r="AT259" s="8" t="s">
        <x:v>3236</x:v>
      </x:c>
      <x:c r="AU259" s="1" t="s">
        <x:v>3237</x:v>
      </x:c>
      <x:c r="AV259" s="17">
        <x:v>46321</x:v>
      </x:c>
      <x:c r="AW259" s="1" t="s">
        <x:v>81</x:v>
      </x:c>
      <x:c r="AX259" s="8" t="s">
        <x:v>82</x:v>
      </x:c>
      <x:c r="AY259" s="8"/>
    </x:row>
    <x:row r="260" ht="69.94999694824219" customHeight="1">
      <x:c r="A260" s="1" t="s">
        <x:v>3238</x:v>
      </x:c>
      <x:c r="B260" s="8" t="s">
        <x:v>3239</x:v>
      </x:c>
      <x:c r="C260" s="1" t="s">
        <x:v>3240</x:v>
      </x:c>
      <x:c r="D260" s="8" t="s">
        <x:v>73</x:v>
      </x:c>
      <x:c r="E260" s="1" t="s">
        <x:v>76</x:v>
      </x:c>
      <x:c r="F260" s="8" t="s">
        <x:v>3241</x:v>
      </x:c>
      <x:c r="G260" s="1" t="s">
        <x:v>3242</x:v>
      </x:c>
      <x:c r="H260" s="8" t="s">
        <x:v>3243</x:v>
      </x:c>
      <x:c r="I260" s="4">
        <x:v>2006</x:v>
      </x:c>
      <x:c r="J260" s="8"/>
      <x:c r="K260" s="1" t="s">
        <x:v>3244</x:v>
      </x:c>
      <x:c r="L260" s="8" t="s">
        <x:v>3245</x:v>
      </x:c>
      <x:c r="M260" s="1" t="s">
        <x:v>61</x:v>
      </x:c>
      <x:c r="N260" s="8"/>
      <x:c r="O260" s="1"/>
      <x:c r="P260" s="8"/>
      <x:c r="Q260" s="1"/>
      <x:c r="R260" s="8"/>
      <x:c r="S260" s="3"/>
      <x:c r="T260" s="8" t="s">
        <x:v>63</x:v>
      </x:c>
      <x:c r="U260" s="1" t="s">
        <x:v>3246</x:v>
      </x:c>
      <x:c r="V260" s="13">
        <x:v>7</x:v>
      </x:c>
      <x:c r="W260" s="1" t="s">
        <x:v>65</x:v>
      </x:c>
      <x:c r="X260" s="8" t="s">
        <x:v>66</x:v>
      </x:c>
      <x:c r="Y260" s="1" t="str">
        <x:v>Проверено автором исследования</x:v>
      </x:c>
      <x:c r="Z260" s="8"/>
      <x:c r="AA260" s="1" t="s">
        <x:v>3247</x:v>
      </x:c>
      <x:c r="AB260" s="13">
        <x:v>2025</x:v>
      </x:c>
      <x:c r="AC260" s="3"/>
      <x:c r="AD260" s="8" t="s">
        <x:v>93</x:v>
      </x:c>
      <x:c r="AE260" s="1" t="s">
        <x:v>3248</x:v>
      </x:c>
      <x:c r="AF260" s="8" t="s">
        <x:v>118</x:v>
      </x:c>
      <x:c r="AG260" s="1" t="s">
        <x:v>3249</x:v>
      </x:c>
      <x:c r="AH260" s="8" t="str">
        <x:v>Краткая затекстовая ссылка; повторная документальная сверка выполнена</x:v>
      </x:c>
      <x:c r="AI260" s="1"/>
      <x:c r="AJ260" s="17"/>
      <x:c r="AK260" s="1" t="s">
        <x:v>73</x:v>
      </x:c>
      <x:c r="AL260" s="8" t="s">
        <x:v>74</x:v>
      </x:c>
      <x:c r="AM260" s="1"/>
      <x:c r="AN260" s="8" t="s">
        <x:v>95</x:v>
      </x:c>
      <x:c r="AO260" s="1" t="s">
        <x:v>76</x:v>
      </x:c>
      <x:c r="AP260" s="8"/>
      <x:c r="AQ260" s="1" t="s">
        <x:v>77</x:v>
      </x:c>
      <x:c r="AR260" s="8" t="str">
        <x:v>Проверка автором исследования</x:v>
      </x:c>
      <x:c r="AS260" s="1"/>
      <x:c r="AT260" s="8" t="s">
        <x:v>96</x:v>
      </x:c>
      <x:c r="AU260" s="1" t="s">
        <x:v>97</x:v>
      </x:c>
      <x:c r="AV260" s="17"/>
      <x:c r="AW260" s="1" t="s">
        <x:v>98</x:v>
      </x:c>
      <x:c r="AX260" s="8" t="s">
        <x:v>82</x:v>
      </x:c>
      <x:c r="AY260" s="8"/>
    </x:row>
    <x:row r="261" ht="69.94999694824219" customHeight="1">
      <x:c r="A261" s="1" t="s">
        <x:v>3250</x:v>
      </x:c>
      <x:c r="B261" s="8" t="s">
        <x:v>3251</x:v>
      </x:c>
      <x:c r="C261" s="1" t="s">
        <x:v>3252</x:v>
      </x:c>
      <x:c r="D261" s="8" t="s">
        <x:v>86</x:v>
      </x:c>
      <x:c r="E261" s="1" t="s">
        <x:v>76</x:v>
      </x:c>
      <x:c r="F261" s="8" t="s">
        <x:v>3253</x:v>
      </x:c>
      <x:c r="G261" s="1" t="s">
        <x:v>3254</x:v>
      </x:c>
      <x:c r="H261" s="8"/>
      <x:c r="I261" s="4">
        <x:v>1999</x:v>
      </x:c>
      <x:c r="J261" s="8"/>
      <x:c r="K261" s="1"/>
      <x:c r="L261" s="8" t="s">
        <x:v>3255</x:v>
      </x:c>
      <x:c r="M261" s="1" t="s">
        <x:v>90</x:v>
      </x:c>
      <x:c r="N261" s="8" t="s">
        <x:v>3256</x:v>
      </x:c>
      <x:c r="O261" s="1" t="s">
        <x:v>92</x:v>
      </x:c>
      <x:c r="P261" s="8"/>
      <x:c r="Q261" s="1"/>
      <x:c r="R261" s="8"/>
      <x:c r="S261" s="3"/>
      <x:c r="T261" s="8" t="s">
        <x:v>63</x:v>
      </x:c>
      <x:c r="U261" s="1" t="s">
        <x:v>3246</x:v>
      </x:c>
      <x:c r="V261" s="13">
        <x:v>15</x:v>
      </x:c>
      <x:c r="W261" s="1" t="s">
        <x:v>65</x:v>
      </x:c>
      <x:c r="X261" s="8" t="s">
        <x:v>66</x:v>
      </x:c>
      <x:c r="Y261" s="1" t="str">
        <x:v>Проверено автором исследования</x:v>
      </x:c>
      <x:c r="Z261" s="8"/>
      <x:c r="AA261" s="1" t="s">
        <x:v>3247</x:v>
      </x:c>
      <x:c r="AB261" s="13">
        <x:v>2025</x:v>
      </x:c>
      <x:c r="AC261" s="3"/>
      <x:c r="AD261" s="8" t="s">
        <x:v>93</x:v>
      </x:c>
      <x:c r="AE261" s="1"/>
      <x:c r="AF261" s="8" t="s">
        <x:v>118</x:v>
      </x:c>
      <x:c r="AG261" s="1" t="s">
        <x:v>3249</x:v>
      </x:c>
      <x:c r="AH261" s="8" t="str">
        <x:v>Краткая затекстовая ссылка; повторная документальная сверка выполнена</x:v>
      </x:c>
      <x:c r="AI261" s="1"/>
      <x:c r="AJ261" s="17"/>
      <x:c r="AK261" s="1" t="s">
        <x:v>73</x:v>
      </x:c>
      <x:c r="AL261" s="8" t="s">
        <x:v>74</x:v>
      </x:c>
      <x:c r="AM261" s="1"/>
      <x:c r="AN261" s="8" t="s">
        <x:v>95</x:v>
      </x:c>
      <x:c r="AO261" s="1" t="s">
        <x:v>76</x:v>
      </x:c>
      <x:c r="AP261" s="8"/>
      <x:c r="AQ261" s="1" t="s">
        <x:v>77</x:v>
      </x:c>
      <x:c r="AR261" s="8" t="str">
        <x:v>Проверка автором исследования</x:v>
      </x:c>
      <x:c r="AS261" s="1"/>
      <x:c r="AT261" s="8" t="s">
        <x:v>96</x:v>
      </x:c>
      <x:c r="AU261" s="1" t="s">
        <x:v>97</x:v>
      </x:c>
      <x:c r="AV261" s="17"/>
      <x:c r="AW261" s="1" t="s">
        <x:v>98</x:v>
      </x:c>
      <x:c r="AX261" s="8" t="s">
        <x:v>82</x:v>
      </x:c>
      <x:c r="AY261" s="8"/>
    </x:row>
    <x:row r="262" ht="69.94999694824219" customHeight="1">
      <x:c r="A262" s="1" t="s">
        <x:v>3257</x:v>
      </x:c>
      <x:c r="B262" s="8" t="s">
        <x:v>3258</x:v>
      </x:c>
      <x:c r="C262" s="1" t="s">
        <x:v>3259</x:v>
      </x:c>
      <x:c r="D262" s="8" t="s">
        <x:v>73</x:v>
      </x:c>
      <x:c r="E262" s="1" t="s">
        <x:v>76</x:v>
      </x:c>
      <x:c r="F262" s="8" t="s">
        <x:v>3260</x:v>
      </x:c>
      <x:c r="G262" s="1" t="s">
        <x:v>3261</x:v>
      </x:c>
      <x:c r="H262" s="8" t="s">
        <x:v>3262</x:v>
      </x:c>
      <x:c r="I262" s="4">
        <x:v>2012</x:v>
      </x:c>
      <x:c r="J262" s="8"/>
      <x:c r="K262" s="1"/>
      <x:c r="L262" s="8" t="s">
        <x:v>3263</x:v>
      </x:c>
      <x:c r="M262" s="1" t="s">
        <x:v>61</x:v>
      </x:c>
      <x:c r="N262" s="8"/>
      <x:c r="O262" s="1"/>
      <x:c r="P262" s="8"/>
      <x:c r="Q262" s="1"/>
      <x:c r="R262" s="8"/>
      <x:c r="S262" s="3"/>
      <x:c r="T262" s="8" t="s">
        <x:v>63</x:v>
      </x:c>
      <x:c r="U262" s="1" t="s">
        <x:v>3264</x:v>
      </x:c>
      <x:c r="V262" s="13">
        <x:v>4</x:v>
      </x:c>
      <x:c r="W262" s="1" t="s">
        <x:v>65</x:v>
      </x:c>
      <x:c r="X262" s="8" t="s">
        <x:v>66</x:v>
      </x:c>
      <x:c r="Y262" s="1" t="str">
        <x:v>Проверено автором исследования</x:v>
      </x:c>
      <x:c r="Z262" s="8"/>
      <x:c r="AA262" s="1" t="s">
        <x:v>3265</x:v>
      </x:c>
      <x:c r="AB262" s="13">
        <x:v>2025</x:v>
      </x:c>
      <x:c r="AC262" s="3"/>
      <x:c r="AD262" s="8" t="s">
        <x:v>93</x:v>
      </x:c>
      <x:c r="AE262" s="1" t="s">
        <x:v>3266</x:v>
      </x:c>
      <x:c r="AF262" s="8" t="s">
        <x:v>71</x:v>
      </x:c>
      <x:c r="AG262" s="1" t="s">
        <x:v>3267</x:v>
      </x:c>
      <x:c r="AH262" s="8" t="str">
        <x:v>Краткая затекстовая ссылка; повторная документальная сверка выполнена</x:v>
      </x:c>
      <x:c r="AI262" s="1"/>
      <x:c r="AJ262" s="17"/>
      <x:c r="AK262" s="1" t="s">
        <x:v>73</x:v>
      </x:c>
      <x:c r="AL262" s="8" t="s">
        <x:v>74</x:v>
      </x:c>
      <x:c r="AM262" s="1"/>
      <x:c r="AN262" s="8" t="s">
        <x:v>95</x:v>
      </x:c>
      <x:c r="AO262" s="1" t="s">
        <x:v>76</x:v>
      </x:c>
      <x:c r="AP262" s="8"/>
      <x:c r="AQ262" s="1" t="s">
        <x:v>77</x:v>
      </x:c>
      <x:c r="AR262" s="8" t="str">
        <x:v>Проверка автором исследования</x:v>
      </x:c>
      <x:c r="AS262" s="1"/>
      <x:c r="AT262" s="8" t="s">
        <x:v>96</x:v>
      </x:c>
      <x:c r="AU262" s="1" t="s">
        <x:v>97</x:v>
      </x:c>
      <x:c r="AV262" s="17"/>
      <x:c r="AW262" s="1" t="s">
        <x:v>98</x:v>
      </x:c>
      <x:c r="AX262" s="8" t="s">
        <x:v>82</x:v>
      </x:c>
      <x:c r="AY262" s="8"/>
    </x:row>
    <x:row r="263" ht="98.0999984741211" customHeight="1">
      <x:c r="A263" s="1" t="s">
        <x:v>3268</x:v>
      </x:c>
      <x:c r="B263" s="8" t="s">
        <x:v>3269</x:v>
      </x:c>
      <x:c r="C263" s="1" t="s">
        <x:v>3270</x:v>
      </x:c>
      <x:c r="D263" s="8" t="s">
        <x:v>53</x:v>
      </x:c>
      <x:c r="E263" s="1" t="s">
        <x:v>54</x:v>
      </x:c>
      <x:c r="F263" s="8" t="s">
        <x:v>3271</x:v>
      </x:c>
      <x:c r="G263" s="1" t="s">
        <x:v>3272</x:v>
      </x:c>
      <x:c r="H263" s="8" t="s">
        <x:v>3273</x:v>
      </x:c>
      <x:c r="I263" s="4">
        <x:v>2024</x:v>
      </x:c>
      <x:c r="J263" s="8" t="s">
        <x:v>1260</x:v>
      </x:c>
      <x:c r="K263" s="1" t="s">
        <x:v>182</x:v>
      </x:c>
      <x:c r="L263" s="8" t="s">
        <x:v>3274</x:v>
      </x:c>
      <x:c r="M263" s="1" t="s">
        <x:v>61</x:v>
      </x:c>
      <x:c r="N263" s="8"/>
      <x:c r="O263" s="1"/>
      <x:c r="P263" s="8"/>
      <x:c r="Q263" s="1"/>
      <x:c r="R263" s="8" t="s">
        <x:v>3275</x:v>
      </x:c>
      <x:c r="S263" s="3"/>
      <x:c r="T263" s="8" t="s">
        <x:v>63</x:v>
      </x:c>
      <x:c r="U263" s="1" t="s">
        <x:v>3264</x:v>
      </x:c>
      <x:c r="V263" s="13">
        <x:v>9</x:v>
      </x:c>
      <x:c r="W263" s="1" t="s">
        <x:v>65</x:v>
      </x:c>
      <x:c r="X263" s="8" t="s">
        <x:v>66</x:v>
      </x:c>
      <x:c r="Y263" s="1" t="str">
        <x:v>Проверено автором исследования</x:v>
      </x:c>
      <x:c r="Z263" s="8" t="s">
        <x:v>3276</x:v>
      </x:c>
      <x:c r="AA263" s="1" t="s">
        <x:v>3265</x:v>
      </x:c>
      <x:c r="AB263" s="13">
        <x:v>2025</x:v>
      </x:c>
      <x:c r="AC263" s="3">
        <x:v>46322</x:v>
      </x:c>
      <x:c r="AD263" s="8" t="s">
        <x:v>69</x:v>
      </x:c>
      <x:c r="AE263" s="1" t="s">
        <x:v>3277</x:v>
      </x:c>
      <x:c r="AF263" s="8" t="s">
        <x:v>71</x:v>
      </x:c>
      <x:c r="AG263" s="1" t="s">
        <x:v>3267</x:v>
      </x:c>
      <x:c r="AH263" s="8" t="str">
        <x:v>Краткая затекстовая ссылка; повторная документальная сверка выполнена</x:v>
      </x:c>
      <x:c r="AI263" s="1"/>
      <x:c r="AJ263" s="17"/>
      <x:c r="AK263" s="1" t="s">
        <x:v>73</x:v>
      </x:c>
      <x:c r="AL263" s="8" t="s">
        <x:v>74</x:v>
      </x:c>
      <x:c r="AM263" s="1"/>
      <x:c r="AN263" s="8" t="s">
        <x:v>75</x:v>
      </x:c>
      <x:c r="AO263" s="1" t="s">
        <x:v>76</x:v>
      </x:c>
      <x:c r="AP263" s="8"/>
      <x:c r="AQ263" s="1" t="s">
        <x:v>77</x:v>
      </x:c>
      <x:c r="AR263" s="8" t="str">
        <x:v>Проверка автором исследования</x:v>
      </x:c>
      <x:c r="AS263" s="1" t="s">
        <x:v>3278</x:v>
      </x:c>
      <x:c r="AT263" s="8" t="s">
        <x:v>3279</x:v>
      </x:c>
      <x:c r="AU263" s="1" t="s">
        <x:v>3280</x:v>
      </x:c>
      <x:c r="AV263" s="17">
        <x:v>46321</x:v>
      </x:c>
      <x:c r="AW263" s="1" t="s">
        <x:v>81</x:v>
      </x:c>
      <x:c r="AX263" s="8" t="s">
        <x:v>82</x:v>
      </x:c>
      <x:c r="AY263" s="8"/>
    </x:row>
    <x:row r="264" ht="140.10000610351562" customHeight="1">
      <x:c r="A264" s="1" t="s">
        <x:v>3281</x:v>
      </x:c>
      <x:c r="B264" s="8" t="s">
        <x:v>3282</x:v>
      </x:c>
      <x:c r="C264" s="1" t="s">
        <x:v>3283</x:v>
      </x:c>
      <x:c r="D264" s="8" t="s">
        <x:v>53</x:v>
      </x:c>
      <x:c r="E264" s="1" t="s">
        <x:v>54</x:v>
      </x:c>
      <x:c r="F264" s="8" t="s">
        <x:v>3284</x:v>
      </x:c>
      <x:c r="G264" s="1" t="s">
        <x:v>3285</x:v>
      </x:c>
      <x:c r="H264" s="8" t="s">
        <x:v>2352</x:v>
      </x:c>
      <x:c r="I264" s="4">
        <x:v>2022</x:v>
      </x:c>
      <x:c r="J264" s="8" t="s">
        <x:v>3286</x:v>
      </x:c>
      <x:c r="K264" s="1" t="s">
        <x:v>931</x:v>
      </x:c>
      <x:c r="L264" s="8" t="s">
        <x:v>3287</x:v>
      </x:c>
      <x:c r="M264" s="1" t="s">
        <x:v>61</x:v>
      </x:c>
      <x:c r="N264" s="8"/>
      <x:c r="O264" s="1"/>
      <x:c r="P264" s="8"/>
      <x:c r="Q264" s="1"/>
      <x:c r="R264" s="8" t="s">
        <x:v>3288</x:v>
      </x:c>
      <x:c r="S264" s="3"/>
      <x:c r="T264" s="8" t="s">
        <x:v>63</x:v>
      </x:c>
      <x:c r="U264" s="1" t="s">
        <x:v>3264</x:v>
      </x:c>
      <x:c r="V264" s="13">
        <x:v>18</x:v>
      </x:c>
      <x:c r="W264" s="1" t="s">
        <x:v>65</x:v>
      </x:c>
      <x:c r="X264" s="8" t="s">
        <x:v>66</x:v>
      </x:c>
      <x:c r="Y264" s="1" t="str">
        <x:v>Проверено автором исследования</x:v>
      </x:c>
      <x:c r="Z264" s="8" t="s">
        <x:v>3289</x:v>
      </x:c>
      <x:c r="AA264" s="1" t="s">
        <x:v>3265</x:v>
      </x:c>
      <x:c r="AB264" s="13">
        <x:v>2025</x:v>
      </x:c>
      <x:c r="AC264" s="3">
        <x:v>46322</x:v>
      </x:c>
      <x:c r="AD264" s="8" t="s">
        <x:v>69</x:v>
      </x:c>
      <x:c r="AE264" s="1" t="s">
        <x:v>3290</x:v>
      </x:c>
      <x:c r="AF264" s="8" t="s">
        <x:v>71</x:v>
      </x:c>
      <x:c r="AG264" s="1" t="s">
        <x:v>3267</x:v>
      </x:c>
      <x:c r="AH264" s="8" t="str">
        <x:v>Краткая затекстовая ссылка; повторная документальная сверка выполнена</x:v>
      </x:c>
      <x:c r="AI264" s="1"/>
      <x:c r="AJ264" s="17"/>
      <x:c r="AK264" s="1" t="s">
        <x:v>73</x:v>
      </x:c>
      <x:c r="AL264" s="8" t="s">
        <x:v>74</x:v>
      </x:c>
      <x:c r="AM264" s="1"/>
      <x:c r="AN264" s="8" t="s">
        <x:v>75</x:v>
      </x:c>
      <x:c r="AO264" s="1" t="s">
        <x:v>76</x:v>
      </x:c>
      <x:c r="AP264" s="8"/>
      <x:c r="AQ264" s="1" t="s">
        <x:v>77</x:v>
      </x:c>
      <x:c r="AR264" s="8" t="str">
        <x:v>Проверка автором исследования</x:v>
      </x:c>
      <x:c r="AS264" s="1" t="s">
        <x:v>3291</x:v>
      </x:c>
      <x:c r="AT264" s="8" t="s">
        <x:v>3292</x:v>
      </x:c>
      <x:c r="AU264" s="1" t="s">
        <x:v>3293</x:v>
      </x:c>
      <x:c r="AV264" s="17">
        <x:v>46321</x:v>
      </x:c>
      <x:c r="AW264" s="1" t="s">
        <x:v>81</x:v>
      </x:c>
      <x:c r="AX264" s="8" t="s">
        <x:v>82</x:v>
      </x:c>
      <x:c r="AY264" s="8"/>
    </x:row>
    <x:row r="265" ht="126" customHeight="1">
      <x:c r="A265" s="1" t="s">
        <x:v>3294</x:v>
      </x:c>
      <x:c r="B265" s="8" t="s">
        <x:v>3295</x:v>
      </x:c>
      <x:c r="C265" s="1" t="s">
        <x:v>3296</x:v>
      </x:c>
      <x:c r="D265" s="8" t="s">
        <x:v>53</x:v>
      </x:c>
      <x:c r="E265" s="1" t="s">
        <x:v>54</x:v>
      </x:c>
      <x:c r="F265" s="8" t="s">
        <x:v>3297</x:v>
      </x:c>
      <x:c r="G265" s="1" t="s">
        <x:v>3298</x:v>
      </x:c>
      <x:c r="H265" s="8" t="s">
        <x:v>2352</x:v>
      </x:c>
      <x:c r="I265" s="4">
        <x:v>2021</x:v>
      </x:c>
      <x:c r="J265" s="8" t="s">
        <x:v>697</x:v>
      </x:c>
      <x:c r="K265" s="1" t="s">
        <x:v>59</x:v>
      </x:c>
      <x:c r="L265" s="8" t="s">
        <x:v>3299</x:v>
      </x:c>
      <x:c r="M265" s="1" t="s">
        <x:v>61</x:v>
      </x:c>
      <x:c r="N265" s="8"/>
      <x:c r="O265" s="1"/>
      <x:c r="P265" s="8"/>
      <x:c r="Q265" s="1"/>
      <x:c r="R265" s="8" t="s">
        <x:v>3300</x:v>
      </x:c>
      <x:c r="S265" s="3"/>
      <x:c r="T265" s="8" t="s">
        <x:v>63</x:v>
      </x:c>
      <x:c r="U265" s="1" t="s">
        <x:v>3264</x:v>
      </x:c>
      <x:c r="V265" s="13">
        <x:v>21</x:v>
      </x:c>
      <x:c r="W265" s="1" t="s">
        <x:v>65</x:v>
      </x:c>
      <x:c r="X265" s="8" t="s">
        <x:v>66</x:v>
      </x:c>
      <x:c r="Y265" s="1" t="str">
        <x:v>Проверено автором исследования</x:v>
      </x:c>
      <x:c r="Z265" s="8" t="s">
        <x:v>3301</x:v>
      </x:c>
      <x:c r="AA265" s="1" t="s">
        <x:v>3265</x:v>
      </x:c>
      <x:c r="AB265" s="13">
        <x:v>2025</x:v>
      </x:c>
      <x:c r="AC265" s="3">
        <x:v>46322</x:v>
      </x:c>
      <x:c r="AD265" s="8" t="s">
        <x:v>69</x:v>
      </x:c>
      <x:c r="AE265" s="1" t="s">
        <x:v>3302</x:v>
      </x:c>
      <x:c r="AF265" s="8" t="s">
        <x:v>71</x:v>
      </x:c>
      <x:c r="AG265" s="1" t="s">
        <x:v>3267</x:v>
      </x:c>
      <x:c r="AH265" s="8" t="str">
        <x:v>Краткая затекстовая ссылка; повторная документальная сверка выполнена</x:v>
      </x:c>
      <x:c r="AI265" s="1"/>
      <x:c r="AJ265" s="17"/>
      <x:c r="AK265" s="1" t="s">
        <x:v>73</x:v>
      </x:c>
      <x:c r="AL265" s="8" t="s">
        <x:v>74</x:v>
      </x:c>
      <x:c r="AM265" s="1"/>
      <x:c r="AN265" s="8" t="s">
        <x:v>75</x:v>
      </x:c>
      <x:c r="AO265" s="1" t="s">
        <x:v>76</x:v>
      </x:c>
      <x:c r="AP265" s="8"/>
      <x:c r="AQ265" s="1" t="s">
        <x:v>77</x:v>
      </x:c>
      <x:c r="AR265" s="8" t="str">
        <x:v>Проверка автором исследования</x:v>
      </x:c>
      <x:c r="AS265" s="1" t="s">
        <x:v>3303</x:v>
      </x:c>
      <x:c r="AT265" s="8" t="s">
        <x:v>3304</x:v>
      </x:c>
      <x:c r="AU265" s="1" t="s">
        <x:v>3305</x:v>
      </x:c>
      <x:c r="AV265" s="17">
        <x:v>46321</x:v>
      </x:c>
      <x:c r="AW265" s="1" t="s">
        <x:v>81</x:v>
      </x:c>
      <x:c r="AX265" s="8" t="s">
        <x:v>82</x:v>
      </x:c>
      <x:c r="AY265" s="8"/>
    </x:row>
    <x:row r="266" ht="69.94999694824219" customHeight="1">
      <x:c r="A266" s="1" t="s">
        <x:v>3306</x:v>
      </x:c>
      <x:c r="B266" s="8" t="s">
        <x:v>3307</x:v>
      </x:c>
      <x:c r="C266" s="1" t="s">
        <x:v>3308</x:v>
      </x:c>
      <x:c r="D266" s="8" t="s">
        <x:v>73</x:v>
      </x:c>
      <x:c r="E266" s="1" t="s">
        <x:v>76</x:v>
      </x:c>
      <x:c r="F266" s="8" t="s">
        <x:v>3309</x:v>
      </x:c>
      <x:c r="G266" s="1" t="s">
        <x:v>3310</x:v>
      </x:c>
      <x:c r="H266" s="8" t="s">
        <x:v>501</x:v>
      </x:c>
      <x:c r="I266" s="4">
        <x:v>2021</x:v>
      </x:c>
      <x:c r="J266" s="8"/>
      <x:c r="K266" s="1" t="s">
        <x:v>3311</x:v>
      </x:c>
      <x:c r="L266" s="8" t="s">
        <x:v>3312</x:v>
      </x:c>
      <x:c r="M266" s="1" t="s">
        <x:v>61</x:v>
      </x:c>
      <x:c r="N266" s="8"/>
      <x:c r="O266" s="1"/>
      <x:c r="P266" s="8"/>
      <x:c r="Q266" s="1"/>
      <x:c r="R266" s="8" t="s">
        <x:v>3313</x:v>
      </x:c>
      <x:c r="S266" s="3"/>
      <x:c r="T266" s="8" t="s">
        <x:v>63</x:v>
      </x:c>
      <x:c r="U266" s="1" t="s">
        <x:v>3314</x:v>
      </x:c>
      <x:c r="V266" s="13">
        <x:v>19</x:v>
      </x:c>
      <x:c r="W266" s="1" t="s">
        <x:v>65</x:v>
      </x:c>
      <x:c r="X266" s="8" t="s">
        <x:v>66</x:v>
      </x:c>
      <x:c r="Y266" s="1" t="str">
        <x:v>Проверено автором исследования</x:v>
      </x:c>
      <x:c r="Z266" s="8" t="s">
        <x:v>3315</x:v>
      </x:c>
      <x:c r="AA266" s="1" t="s">
        <x:v>3316</x:v>
      </x:c>
      <x:c r="AB266" s="13">
        <x:v>2025</x:v>
      </x:c>
      <x:c r="AC266" s="3"/>
      <x:c r="AD266" s="8" t="s">
        <x:v>93</x:v>
      </x:c>
      <x:c r="AE266" s="1" t="s">
        <x:v>3317</x:v>
      </x:c>
      <x:c r="AF266" s="8" t="s">
        <x:v>118</x:v>
      </x:c>
      <x:c r="AG266" s="1" t="s">
        <x:v>3318</x:v>
      </x:c>
      <x:c r="AH266" s="8" t="str">
        <x:v>Краткая затекстовая ссылка; повторная документальная сверка выполнена</x:v>
      </x:c>
      <x:c r="AI266" s="1"/>
      <x:c r="AJ266" s="17"/>
      <x:c r="AK266" s="1" t="s">
        <x:v>73</x:v>
      </x:c>
      <x:c r="AL266" s="8" t="s">
        <x:v>74</x:v>
      </x:c>
      <x:c r="AM266" s="1"/>
      <x:c r="AN266" s="8" t="s">
        <x:v>95</x:v>
      </x:c>
      <x:c r="AO266" s="1" t="s">
        <x:v>76</x:v>
      </x:c>
      <x:c r="AP266" s="8"/>
      <x:c r="AQ266" s="1" t="s">
        <x:v>77</x:v>
      </x:c>
      <x:c r="AR266" s="8" t="str">
        <x:v>Проверка автором исследования</x:v>
      </x:c>
      <x:c r="AS266" s="1"/>
      <x:c r="AT266" s="8" t="s">
        <x:v>96</x:v>
      </x:c>
      <x:c r="AU266" s="1" t="s">
        <x:v>447</x:v>
      </x:c>
      <x:c r="AV266" s="17">
        <x:v>46321</x:v>
      </x:c>
      <x:c r="AW266" s="1" t="s">
        <x:v>81</x:v>
      </x:c>
      <x:c r="AX266" s="8" t="s">
        <x:v>82</x:v>
      </x:c>
      <x:c r="AY266" s="8"/>
    </x:row>
    <x:row r="267" ht="111.94999694824219" customHeight="1">
      <x:c r="A267" s="1" t="s">
        <x:v>3319</x:v>
      </x:c>
      <x:c r="B267" s="8" t="s">
        <x:v>3320</x:v>
      </x:c>
      <x:c r="C267" s="1" t="s">
        <x:v>3321</x:v>
      </x:c>
      <x:c r="D267" s="8" t="s">
        <x:v>53</x:v>
      </x:c>
      <x:c r="E267" s="1" t="s">
        <x:v>54</x:v>
      </x:c>
      <x:c r="F267" s="8" t="s">
        <x:v>3322</x:v>
      </x:c>
      <x:c r="G267" s="1" t="s">
        <x:v>3323</x:v>
      </x:c>
      <x:c r="H267" s="8" t="s">
        <x:v>3324</x:v>
      </x:c>
      <x:c r="I267" s="4">
        <x:v>2019</x:v>
      </x:c>
      <x:c r="J267" s="8"/>
      <x:c r="K267" s="1" t="s">
        <x:v>975</x:v>
      </x:c>
      <x:c r="L267" s="8" t="s">
        <x:v>3325</x:v>
      </x:c>
      <x:c r="M267" s="1" t="s">
        <x:v>61</x:v>
      </x:c>
      <x:c r="N267" s="8"/>
      <x:c r="O267" s="1"/>
      <x:c r="P267" s="8"/>
      <x:c r="Q267" s="1"/>
      <x:c r="R267" s="8" t="s">
        <x:v>3326</x:v>
      </x:c>
      <x:c r="S267" s="3"/>
      <x:c r="T267" s="8" t="s">
        <x:v>63</x:v>
      </x:c>
      <x:c r="U267" s="1" t="s">
        <x:v>3314</x:v>
      </x:c>
      <x:c r="V267" s="13">
        <x:v>22</x:v>
      </x:c>
      <x:c r="W267" s="1" t="s">
        <x:v>65</x:v>
      </x:c>
      <x:c r="X267" s="8" t="s">
        <x:v>66</x:v>
      </x:c>
      <x:c r="Y267" s="1" t="str">
        <x:v>Проверено автором исследования</x:v>
      </x:c>
      <x:c r="Z267" s="8" t="s">
        <x:v>3327</x:v>
      </x:c>
      <x:c r="AA267" s="1" t="s">
        <x:v>3316</x:v>
      </x:c>
      <x:c r="AB267" s="13">
        <x:v>2025</x:v>
      </x:c>
      <x:c r="AC267" s="3">
        <x:v>46322</x:v>
      </x:c>
      <x:c r="AD267" s="8" t="s">
        <x:v>69</x:v>
      </x:c>
      <x:c r="AE267" s="1"/>
      <x:c r="AF267" s="8" t="s">
        <x:v>118</x:v>
      </x:c>
      <x:c r="AG267" s="1" t="s">
        <x:v>3318</x:v>
      </x:c>
      <x:c r="AH267" s="8" t="str">
        <x:v>Краткая затекстовая ссылка; повторная документальная сверка выполнена</x:v>
      </x:c>
      <x:c r="AI267" s="1"/>
      <x:c r="AJ267" s="17"/>
      <x:c r="AK267" s="1" t="s">
        <x:v>73</x:v>
      </x:c>
      <x:c r="AL267" s="8" t="s">
        <x:v>74</x:v>
      </x:c>
      <x:c r="AM267" s="1"/>
      <x:c r="AN267" s="8" t="s">
        <x:v>75</x:v>
      </x:c>
      <x:c r="AO267" s="1" t="s">
        <x:v>76</x:v>
      </x:c>
      <x:c r="AP267" s="8"/>
      <x:c r="AQ267" s="1" t="s">
        <x:v>77</x:v>
      </x:c>
      <x:c r="AR267" s="8" t="str">
        <x:v>Проверка автором исследования</x:v>
      </x:c>
      <x:c r="AS267" s="1" t="s">
        <x:v>3328</x:v>
      </x:c>
      <x:c r="AT267" s="8" t="s">
        <x:v>3329</x:v>
      </x:c>
      <x:c r="AU267" s="1" t="s">
        <x:v>3330</x:v>
      </x:c>
      <x:c r="AV267" s="17">
        <x:v>46321</x:v>
      </x:c>
      <x:c r="AW267" s="1" t="s">
        <x:v>81</x:v>
      </x:c>
      <x:c r="AX267" s="8" t="s">
        <x:v>82</x:v>
      </x:c>
      <x:c r="AY267" s="8"/>
    </x:row>
    <x:row r="268" ht="69.94999694824219" customHeight="1">
      <x:c r="A268" s="1" t="s">
        <x:v>3331</x:v>
      </x:c>
      <x:c r="B268" s="8" t="s">
        <x:v>3332</x:v>
      </x:c>
      <x:c r="C268" s="1" t="s">
        <x:v>3333</x:v>
      </x:c>
      <x:c r="D268" s="8" t="s">
        <x:v>73</x:v>
      </x:c>
      <x:c r="E268" s="1" t="s">
        <x:v>76</x:v>
      </x:c>
      <x:c r="F268" s="8" t="s">
        <x:v>3334</x:v>
      </x:c>
      <x:c r="G268" s="1" t="s">
        <x:v>3335</x:v>
      </x:c>
      <x:c r="H268" s="8" t="s">
        <x:v>3336</x:v>
      </x:c>
      <x:c r="I268" s="4">
        <x:v>2022</x:v>
      </x:c>
      <x:c r="J268" s="8" t="s">
        <x:v>975</x:v>
      </x:c>
      <x:c r="K268" s="1" t="s">
        <x:v>239</x:v>
      </x:c>
      <x:c r="L268" s="8" t="s">
        <x:v>512</x:v>
      </x:c>
      <x:c r="M268" s="1" t="s">
        <x:v>61</x:v>
      </x:c>
      <x:c r="N268" s="8"/>
      <x:c r="O268" s="1"/>
      <x:c r="P268" s="8"/>
      <x:c r="Q268" s="1"/>
      <x:c r="R268" s="8"/>
      <x:c r="S268" s="3"/>
      <x:c r="T268" s="8" t="s">
        <x:v>63</x:v>
      </x:c>
      <x:c r="U268" s="1" t="s">
        <x:v>3314</x:v>
      </x:c>
      <x:c r="V268" s="13">
        <x:v>23</x:v>
      </x:c>
      <x:c r="W268" s="1" t="s">
        <x:v>65</x:v>
      </x:c>
      <x:c r="X268" s="8" t="s">
        <x:v>66</x:v>
      </x:c>
      <x:c r="Y268" s="1" t="str">
        <x:v>Проверено автором исследования</x:v>
      </x:c>
      <x:c r="Z268" s="8"/>
      <x:c r="AA268" s="1" t="s">
        <x:v>3316</x:v>
      </x:c>
      <x:c r="AB268" s="13">
        <x:v>2025</x:v>
      </x:c>
      <x:c r="AC268" s="3"/>
      <x:c r="AD268" s="8" t="s">
        <x:v>93</x:v>
      </x:c>
      <x:c r="AE268" s="1" t="s">
        <x:v>3337</x:v>
      </x:c>
      <x:c r="AF268" s="8" t="s">
        <x:v>118</x:v>
      </x:c>
      <x:c r="AG268" s="1" t="s">
        <x:v>3318</x:v>
      </x:c>
      <x:c r="AH268" s="8" t="str">
        <x:v>Краткая затекстовая ссылка; повторная документальная сверка выполнена</x:v>
      </x:c>
      <x:c r="AI268" s="1"/>
      <x:c r="AJ268" s="17"/>
      <x:c r="AK268" s="1" t="s">
        <x:v>73</x:v>
      </x:c>
      <x:c r="AL268" s="8" t="s">
        <x:v>74</x:v>
      </x:c>
      <x:c r="AM268" s="1"/>
      <x:c r="AN268" s="8" t="s">
        <x:v>95</x:v>
      </x:c>
      <x:c r="AO268" s="1" t="s">
        <x:v>76</x:v>
      </x:c>
      <x:c r="AP268" s="8"/>
      <x:c r="AQ268" s="1" t="s">
        <x:v>77</x:v>
      </x:c>
      <x:c r="AR268" s="8" t="str">
        <x:v>Проверка автором исследования</x:v>
      </x:c>
      <x:c r="AS268" s="1"/>
      <x:c r="AT268" s="8" t="s">
        <x:v>96</x:v>
      </x:c>
      <x:c r="AU268" s="1" t="s">
        <x:v>97</x:v>
      </x:c>
      <x:c r="AV268" s="17"/>
      <x:c r="AW268" s="1" t="s">
        <x:v>98</x:v>
      </x:c>
      <x:c r="AX268" s="8" t="s">
        <x:v>82</x:v>
      </x:c>
      <x:c r="AY268" s="8"/>
    </x:row>
    <x:row r="269" ht="69.94999694824219" customHeight="1">
      <x:c r="A269" s="1" t="s">
        <x:v>3338</x:v>
      </x:c>
      <x:c r="B269" s="8" t="s">
        <x:v>3339</x:v>
      </x:c>
      <x:c r="C269" s="1" t="s">
        <x:v>3340</x:v>
      </x:c>
      <x:c r="D269" s="8" t="s">
        <x:v>53</x:v>
      </x:c>
      <x:c r="E269" s="1" t="s">
        <x:v>54</x:v>
      </x:c>
      <x:c r="F269" s="8" t="s">
        <x:v>3341</x:v>
      </x:c>
      <x:c r="G269" s="1" t="s">
        <x:v>3342</x:v>
      </x:c>
      <x:c r="H269" s="8" t="s">
        <x:v>3343</x:v>
      </x:c>
      <x:c r="I269" s="4">
        <x:v>2024</x:v>
      </x:c>
      <x:c r="J269" s="8" t="s">
        <x:v>239</x:v>
      </x:c>
      <x:c r="K269" s="1" t="s">
        <x:v>2549</x:v>
      </x:c>
      <x:c r="L269" s="8" t="s">
        <x:v>3344</x:v>
      </x:c>
      <x:c r="M269" s="1" t="s">
        <x:v>61</x:v>
      </x:c>
      <x:c r="N269" s="8"/>
      <x:c r="O269" s="1"/>
      <x:c r="P269" s="8"/>
      <x:c r="Q269" s="1"/>
      <x:c r="R269" s="8" t="s">
        <x:v>3345</x:v>
      </x:c>
      <x:c r="S269" s="3"/>
      <x:c r="T269" s="8" t="s">
        <x:v>63</x:v>
      </x:c>
      <x:c r="U269" s="1" t="s">
        <x:v>3314</x:v>
      </x:c>
      <x:c r="V269" s="13">
        <x:v>32</x:v>
      </x:c>
      <x:c r="W269" s="1" t="s">
        <x:v>65</x:v>
      </x:c>
      <x:c r="X269" s="8" t="s">
        <x:v>66</x:v>
      </x:c>
      <x:c r="Y269" s="1" t="str">
        <x:v>Проверено автором исследования</x:v>
      </x:c>
      <x:c r="Z269" s="8" t="s">
        <x:v>3346</x:v>
      </x:c>
      <x:c r="AA269" s="1" t="s">
        <x:v>3316</x:v>
      </x:c>
      <x:c r="AB269" s="13">
        <x:v>2025</x:v>
      </x:c>
      <x:c r="AC269" s="3">
        <x:v>46322</x:v>
      </x:c>
      <x:c r="AD269" s="8" t="s">
        <x:v>69</x:v>
      </x:c>
      <x:c r="AE269" s="1"/>
      <x:c r="AF269" s="8" t="s">
        <x:v>118</x:v>
      </x:c>
      <x:c r="AG269" s="1" t="s">
        <x:v>3318</x:v>
      </x:c>
      <x:c r="AH269" s="8" t="str">
        <x:v>Краткая затекстовая ссылка; повторная документальная сверка выполнена</x:v>
      </x:c>
      <x:c r="AI269" s="1"/>
      <x:c r="AJ269" s="17"/>
      <x:c r="AK269" s="1" t="s">
        <x:v>73</x:v>
      </x:c>
      <x:c r="AL269" s="8" t="s">
        <x:v>74</x:v>
      </x:c>
      <x:c r="AM269" s="1"/>
      <x:c r="AN269" s="8" t="s">
        <x:v>75</x:v>
      </x:c>
      <x:c r="AO269" s="1" t="s">
        <x:v>76</x:v>
      </x:c>
      <x:c r="AP269" s="8"/>
      <x:c r="AQ269" s="1" t="s">
        <x:v>77</x:v>
      </x:c>
      <x:c r="AR269" s="8" t="str">
        <x:v>Проверка автором исследования</x:v>
      </x:c>
      <x:c r="AS269" s="1" t="s">
        <x:v>3347</x:v>
      </x:c>
      <x:c r="AT269" s="8" t="s">
        <x:v>3348</x:v>
      </x:c>
      <x:c r="AU269" s="1" t="s">
        <x:v>3349</x:v>
      </x:c>
      <x:c r="AV269" s="17">
        <x:v>46321</x:v>
      </x:c>
      <x:c r="AW269" s="1" t="s">
        <x:v>81</x:v>
      </x:c>
      <x:c r="AX269" s="8" t="s">
        <x:v>82</x:v>
      </x:c>
      <x:c r="AY269" s="8"/>
    </x:row>
    <x:row r="270" ht="140.10000610351562" customHeight="1">
      <x:c r="A270" s="1" t="s">
        <x:v>3350</x:v>
      </x:c>
      <x:c r="B270" s="8" t="s">
        <x:v>3351</x:v>
      </x:c>
      <x:c r="C270" s="1" t="s">
        <x:v>3352</x:v>
      </x:c>
      <x:c r="D270" s="8" t="s">
        <x:v>53</x:v>
      </x:c>
      <x:c r="E270" s="1" t="s">
        <x:v>54</x:v>
      </x:c>
      <x:c r="F270" s="8" t="s">
        <x:v>3353</x:v>
      </x:c>
      <x:c r="G270" s="1" t="s">
        <x:v>3354</x:v>
      </x:c>
      <x:c r="H270" s="8" t="s">
        <x:v>3042</x:v>
      </x:c>
      <x:c r="I270" s="4">
        <x:v>2024</x:v>
      </x:c>
      <x:c r="J270" s="8" t="s">
        <x:v>58</x:v>
      </x:c>
      <x:c r="K270" s="1" t="s">
        <x:v>416</x:v>
      </x:c>
      <x:c r="L270" s="8" t="s">
        <x:v>3355</x:v>
      </x:c>
      <x:c r="M270" s="1" t="s">
        <x:v>61</x:v>
      </x:c>
      <x:c r="N270" s="8"/>
      <x:c r="O270" s="1"/>
      <x:c r="P270" s="8"/>
      <x:c r="Q270" s="1"/>
      <x:c r="R270" s="8" t="s">
        <x:v>3356</x:v>
      </x:c>
      <x:c r="S270" s="3"/>
      <x:c r="T270" s="8" t="s">
        <x:v>63</x:v>
      </x:c>
      <x:c r="U270" s="1" t="s">
        <x:v>3314</x:v>
      </x:c>
      <x:c r="V270" s="13">
        <x:v>33</x:v>
      </x:c>
      <x:c r="W270" s="1" t="s">
        <x:v>242</x:v>
      </x:c>
      <x:c r="X270" s="8" t="s">
        <x:v>66</x:v>
      </x:c>
      <x:c r="Y270" s="1" t="str">
        <x:v>Проверено автором; дополнительно проверено Михаилом Саяпиным</x:v>
      </x:c>
      <x:c r="Z270" s="8" t="s">
        <x:v>3357</x:v>
      </x:c>
      <x:c r="AA270" s="1" t="s">
        <x:v>3316</x:v>
      </x:c>
      <x:c r="AB270" s="13">
        <x:v>2025</x:v>
      </x:c>
      <x:c r="AC270" s="3">
        <x:v>46322</x:v>
      </x:c>
      <x:c r="AD270" s="8" t="s">
        <x:v>69</x:v>
      </x:c>
      <x:c r="AE270" s="1" t="s">
        <x:v>3358</x:v>
      </x:c>
      <x:c r="AF270" s="8" t="s">
        <x:v>118</x:v>
      </x:c>
      <x:c r="AG270" s="1" t="s">
        <x:v>3318</x:v>
      </x:c>
      <x:c r="AH270" s="8" t="s">
        <x:v>144</x:v>
      </x:c>
      <x:c r="AI270" s="1" t="s">
        <x:v>145</x:v>
      </x:c>
      <x:c r="AJ270" s="17">
        <x:v>46323</x:v>
      </x:c>
      <x:c r="AK270" s="1" t="s">
        <x:v>73</x:v>
      </x:c>
      <x:c r="AL270" s="8" t="s">
        <x:v>74</x:v>
      </x:c>
      <x:c r="AM270" s="1"/>
      <x:c r="AN270" s="8" t="s">
        <x:v>75</x:v>
      </x:c>
      <x:c r="AO270" s="1" t="s">
        <x:v>76</x:v>
      </x:c>
      <x:c r="AP270" s="8"/>
      <x:c r="AQ270" s="1" t="s">
        <x:v>77</x:v>
      </x:c>
      <x:c r="AR270" s="8" t="str">
        <x:v>Проверка автором исследования; дополнительная проверка Михаилом Саяпиным; согласование 28.10.2026</x:v>
      </x:c>
      <x:c r="AS270" s="1" t="s">
        <x:v>3359</x:v>
      </x:c>
      <x:c r="AT270" s="8" t="s">
        <x:v>3360</x:v>
      </x:c>
      <x:c r="AU270" s="1" t="s">
        <x:v>3361</x:v>
      </x:c>
      <x:c r="AV270" s="17">
        <x:v>46321</x:v>
      </x:c>
      <x:c r="AW270" s="1" t="s">
        <x:v>81</x:v>
      </x:c>
      <x:c r="AX270" s="8" t="s">
        <x:v>146</x:v>
      </x:c>
      <x:c r="AY270" s="8" t="s">
        <x:v>3362</x:v>
      </x:c>
    </x:row>
    <x:row r="271" ht="98.0999984741211" customHeight="1">
      <x:c r="A271" s="1" t="s">
        <x:v>3363</x:v>
      </x:c>
      <x:c r="B271" s="8" t="s">
        <x:v>3364</x:v>
      </x:c>
      <x:c r="C271" s="1" t="s">
        <x:v>3365</x:v>
      </x:c>
      <x:c r="D271" s="8" t="s">
        <x:v>53</x:v>
      </x:c>
      <x:c r="E271" s="1" t="s">
        <x:v>54</x:v>
      </x:c>
      <x:c r="F271" s="8" t="s">
        <x:v>3366</x:v>
      </x:c>
      <x:c r="G271" s="1" t="s">
        <x:v>3367</x:v>
      </x:c>
      <x:c r="H271" s="8" t="s">
        <x:v>3042</x:v>
      </x:c>
      <x:c r="I271" s="4">
        <x:v>2024</x:v>
      </x:c>
      <x:c r="J271" s="8" t="s">
        <x:v>58</x:v>
      </x:c>
      <x:c r="K271" s="1" t="s">
        <x:v>239</x:v>
      </x:c>
      <x:c r="L271" s="8" t="s">
        <x:v>3368</x:v>
      </x:c>
      <x:c r="M271" s="1" t="s">
        <x:v>61</x:v>
      </x:c>
      <x:c r="N271" s="8"/>
      <x:c r="O271" s="1"/>
      <x:c r="P271" s="8"/>
      <x:c r="Q271" s="1"/>
      <x:c r="R271" s="8" t="s">
        <x:v>3369</x:v>
      </x:c>
      <x:c r="S271" s="3"/>
      <x:c r="T271" s="8" t="s">
        <x:v>63</x:v>
      </x:c>
      <x:c r="U271" s="1" t="s">
        <x:v>3370</x:v>
      </x:c>
      <x:c r="V271" s="13">
        <x:v>5</x:v>
      </x:c>
      <x:c r="W271" s="1" t="s">
        <x:v>65</x:v>
      </x:c>
      <x:c r="X271" s="8" t="s">
        <x:v>66</x:v>
      </x:c>
      <x:c r="Y271" s="1" t="str">
        <x:v>Проверено автором исследования</x:v>
      </x:c>
      <x:c r="Z271" s="8" t="s">
        <x:v>3371</x:v>
      </x:c>
      <x:c r="AA271" s="1" t="s">
        <x:v>3372</x:v>
      </x:c>
      <x:c r="AB271" s="13">
        <x:v>2025</x:v>
      </x:c>
      <x:c r="AC271" s="3">
        <x:v>46322</x:v>
      </x:c>
      <x:c r="AD271" s="8" t="s">
        <x:v>69</x:v>
      </x:c>
      <x:c r="AE271" s="1" t="s">
        <x:v>3373</x:v>
      </x:c>
      <x:c r="AF271" s="8" t="s">
        <x:v>118</x:v>
      </x:c>
      <x:c r="AG271" s="1" t="s">
        <x:v>3374</x:v>
      </x:c>
      <x:c r="AH271" s="8" t="str">
        <x:v>Краткая затекстовая ссылка; повторная документальная сверка выполнена</x:v>
      </x:c>
      <x:c r="AI271" s="1"/>
      <x:c r="AJ271" s="17"/>
      <x:c r="AK271" s="1" t="s">
        <x:v>73</x:v>
      </x:c>
      <x:c r="AL271" s="8" t="s">
        <x:v>74</x:v>
      </x:c>
      <x:c r="AM271" s="1"/>
      <x:c r="AN271" s="8" t="s">
        <x:v>75</x:v>
      </x:c>
      <x:c r="AO271" s="1" t="s">
        <x:v>76</x:v>
      </x:c>
      <x:c r="AP271" s="8"/>
      <x:c r="AQ271" s="1" t="s">
        <x:v>77</x:v>
      </x:c>
      <x:c r="AR271" s="8" t="str">
        <x:v>Проверка автором исследования</x:v>
      </x:c>
      <x:c r="AS271" s="1" t="s">
        <x:v>3375</x:v>
      </x:c>
      <x:c r="AT271" s="8" t="s">
        <x:v>3376</x:v>
      </x:c>
      <x:c r="AU271" s="1" t="s">
        <x:v>3377</x:v>
      </x:c>
      <x:c r="AV271" s="17">
        <x:v>46321</x:v>
      </x:c>
      <x:c r="AW271" s="1" t="s">
        <x:v>81</x:v>
      </x:c>
      <x:c r="AX271" s="8" t="s">
        <x:v>82</x:v>
      </x:c>
      <x:c r="AY271" s="8"/>
    </x:row>
    <x:row r="272" ht="69.94999694824219" customHeight="1">
      <x:c r="A272" s="1" t="s">
        <x:v>3378</x:v>
      </x:c>
      <x:c r="B272" s="8" t="s">
        <x:v>3379</x:v>
      </x:c>
      <x:c r="C272" s="1" t="s">
        <x:v>3380</x:v>
      </x:c>
      <x:c r="D272" s="8" t="s">
        <x:v>86</x:v>
      </x:c>
      <x:c r="E272" s="1" t="s">
        <x:v>76</x:v>
      </x:c>
      <x:c r="F272" s="8" t="s">
        <x:v>3381</x:v>
      </x:c>
      <x:c r="G272" s="1" t="s">
        <x:v>3382</x:v>
      </x:c>
      <x:c r="H272" s="8"/>
      <x:c r="I272" s="4">
        <x:v>2021</x:v>
      </x:c>
      <x:c r="J272" s="8"/>
      <x:c r="K272" s="1"/>
      <x:c r="L272" s="8" t="s">
        <x:v>3383</x:v>
      </x:c>
      <x:c r="M272" s="1" t="s">
        <x:v>90</x:v>
      </x:c>
      <x:c r="N272" s="8" t="s">
        <x:v>1953</x:v>
      </x:c>
      <x:c r="O272" s="1" t="s">
        <x:v>92</x:v>
      </x:c>
      <x:c r="P272" s="8"/>
      <x:c r="Q272" s="1"/>
      <x:c r="R272" s="8"/>
      <x:c r="S272" s="3"/>
      <x:c r="T272" s="8" t="s">
        <x:v>63</x:v>
      </x:c>
      <x:c r="U272" s="1" t="s">
        <x:v>3384</x:v>
      </x:c>
      <x:c r="V272" s="13">
        <x:v>1</x:v>
      </x:c>
      <x:c r="W272" s="1" t="s">
        <x:v>65</x:v>
      </x:c>
      <x:c r="X272" s="8" t="s">
        <x:v>66</x:v>
      </x:c>
      <x:c r="Y272" s="1" t="str">
        <x:v>Проверено автором исследования</x:v>
      </x:c>
      <x:c r="Z272" s="8"/>
      <x:c r="AA272" s="1" t="s">
        <x:v>3385</x:v>
      </x:c>
      <x:c r="AB272" s="13">
        <x:v>2025</x:v>
      </x:c>
      <x:c r="AC272" s="3"/>
      <x:c r="AD272" s="8" t="s">
        <x:v>93</x:v>
      </x:c>
      <x:c r="AE272" s="1" t="s">
        <x:v>3386</x:v>
      </x:c>
      <x:c r="AF272" s="8" t="s">
        <x:v>118</x:v>
      </x:c>
      <x:c r="AG272" s="1" t="s">
        <x:v>3387</x:v>
      </x:c>
      <x:c r="AH272" s="8" t="str">
        <x:v>Краткая затекстовая ссылка; повторная документальная сверка выполнена</x:v>
      </x:c>
      <x:c r="AI272" s="1"/>
      <x:c r="AJ272" s="17"/>
      <x:c r="AK272" s="1" t="s">
        <x:v>73</x:v>
      </x:c>
      <x:c r="AL272" s="8" t="s">
        <x:v>74</x:v>
      </x:c>
      <x:c r="AM272" s="1"/>
      <x:c r="AN272" s="8" t="s">
        <x:v>95</x:v>
      </x:c>
      <x:c r="AO272" s="1" t="s">
        <x:v>76</x:v>
      </x:c>
      <x:c r="AP272" s="8"/>
      <x:c r="AQ272" s="1" t="s">
        <x:v>77</x:v>
      </x:c>
      <x:c r="AR272" s="8" t="str">
        <x:v>Проверка автором исследования</x:v>
      </x:c>
      <x:c r="AS272" s="1"/>
      <x:c r="AT272" s="8" t="s">
        <x:v>96</x:v>
      </x:c>
      <x:c r="AU272" s="1" t="s">
        <x:v>97</x:v>
      </x:c>
      <x:c r="AV272" s="17"/>
      <x:c r="AW272" s="1" t="s">
        <x:v>98</x:v>
      </x:c>
      <x:c r="AX272" s="8" t="s">
        <x:v>82</x:v>
      </x:c>
      <x:c r="AY272" s="8"/>
    </x:row>
    <x:row r="273" ht="84" customHeight="1">
      <x:c r="A273" s="1" t="s">
        <x:v>3388</x:v>
      </x:c>
      <x:c r="B273" s="8" t="s">
        <x:v>3389</x:v>
      </x:c>
      <x:c r="C273" s="1" t="s">
        <x:v>3390</x:v>
      </x:c>
      <x:c r="D273" s="8" t="s">
        <x:v>53</x:v>
      </x:c>
      <x:c r="E273" s="1" t="s">
        <x:v>54</x:v>
      </x:c>
      <x:c r="F273" s="8" t="s">
        <x:v>3391</x:v>
      </x:c>
      <x:c r="G273" s="1" t="s">
        <x:v>3392</x:v>
      </x:c>
      <x:c r="H273" s="8" t="s">
        <x:v>3393</x:v>
      </x:c>
      <x:c r="I273" s="4">
        <x:v>2023</x:v>
      </x:c>
      <x:c r="J273" s="8" t="s">
        <x:v>3101</x:v>
      </x:c>
      <x:c r="K273" s="1" t="s">
        <x:v>416</x:v>
      </x:c>
      <x:c r="L273" s="8" t="s">
        <x:v>3394</x:v>
      </x:c>
      <x:c r="M273" s="1" t="s">
        <x:v>61</x:v>
      </x:c>
      <x:c r="N273" s="8"/>
      <x:c r="O273" s="1"/>
      <x:c r="P273" s="8"/>
      <x:c r="Q273" s="1"/>
      <x:c r="R273" s="8" t="s">
        <x:v>3395</x:v>
      </x:c>
      <x:c r="S273" s="3"/>
      <x:c r="T273" s="8" t="s">
        <x:v>63</x:v>
      </x:c>
      <x:c r="U273" s="1" t="s">
        <x:v>3384</x:v>
      </x:c>
      <x:c r="V273" s="13">
        <x:v>6</x:v>
      </x:c>
      <x:c r="W273" s="1" t="s">
        <x:v>65</x:v>
      </x:c>
      <x:c r="X273" s="8" t="s">
        <x:v>66</x:v>
      </x:c>
      <x:c r="Y273" s="1" t="str">
        <x:v>Проверено автором исследования</x:v>
      </x:c>
      <x:c r="Z273" s="8" t="s">
        <x:v>3396</x:v>
      </x:c>
      <x:c r="AA273" s="1" t="s">
        <x:v>3385</x:v>
      </x:c>
      <x:c r="AB273" s="13">
        <x:v>2025</x:v>
      </x:c>
      <x:c r="AC273" s="3">
        <x:v>46322</x:v>
      </x:c>
      <x:c r="AD273" s="8" t="s">
        <x:v>69</x:v>
      </x:c>
      <x:c r="AE273" s="1" t="s">
        <x:v>3397</x:v>
      </x:c>
      <x:c r="AF273" s="8" t="s">
        <x:v>118</x:v>
      </x:c>
      <x:c r="AG273" s="1" t="s">
        <x:v>3387</x:v>
      </x:c>
      <x:c r="AH273" s="8" t="str">
        <x:v>Краткая затекстовая ссылка; повторная документальная сверка выполнена</x:v>
      </x:c>
      <x:c r="AI273" s="1"/>
      <x:c r="AJ273" s="17"/>
      <x:c r="AK273" s="1" t="s">
        <x:v>73</x:v>
      </x:c>
      <x:c r="AL273" s="8" t="s">
        <x:v>74</x:v>
      </x:c>
      <x:c r="AM273" s="1"/>
      <x:c r="AN273" s="8" t="s">
        <x:v>75</x:v>
      </x:c>
      <x:c r="AO273" s="1" t="s">
        <x:v>76</x:v>
      </x:c>
      <x:c r="AP273" s="8"/>
      <x:c r="AQ273" s="1" t="s">
        <x:v>77</x:v>
      </x:c>
      <x:c r="AR273" s="8" t="str">
        <x:v>Проверка автором исследования</x:v>
      </x:c>
      <x:c r="AS273" s="1" t="s">
        <x:v>3398</x:v>
      </x:c>
      <x:c r="AT273" s="8" t="s">
        <x:v>3399</x:v>
      </x:c>
      <x:c r="AU273" s="1" t="s">
        <x:v>3400</x:v>
      </x:c>
      <x:c r="AV273" s="17">
        <x:v>46321</x:v>
      </x:c>
      <x:c r="AW273" s="1" t="s">
        <x:v>81</x:v>
      </x:c>
      <x:c r="AX273" s="8" t="s">
        <x:v>82</x:v>
      </x:c>
      <x:c r="AY273" s="8"/>
    </x:row>
    <x:row r="274" ht="84" customHeight="1">
      <x:c r="A274" s="1" t="s">
        <x:v>3401</x:v>
      </x:c>
      <x:c r="B274" s="8" t="s">
        <x:v>3402</x:v>
      </x:c>
      <x:c r="C274" s="1" t="s">
        <x:v>3403</x:v>
      </x:c>
      <x:c r="D274" s="8" t="s">
        <x:v>53</x:v>
      </x:c>
      <x:c r="E274" s="1" t="s">
        <x:v>54</x:v>
      </x:c>
      <x:c r="F274" s="8" t="s">
        <x:v>3404</x:v>
      </x:c>
      <x:c r="G274" s="1" t="s">
        <x:v>3405</x:v>
      </x:c>
      <x:c r="H274" s="8" t="s">
        <x:v>3393</x:v>
      </x:c>
      <x:c r="I274" s="4">
        <x:v>2020</x:v>
      </x:c>
      <x:c r="J274" s="8" t="s">
        <x:v>1044</x:v>
      </x:c>
      <x:c r="K274" s="1" t="s">
        <x:v>416</x:v>
      </x:c>
      <x:c r="L274" s="8" t="s">
        <x:v>3406</x:v>
      </x:c>
      <x:c r="M274" s="1" t="s">
        <x:v>61</x:v>
      </x:c>
      <x:c r="N274" s="8"/>
      <x:c r="O274" s="1"/>
      <x:c r="P274" s="8"/>
      <x:c r="Q274" s="1"/>
      <x:c r="R274" s="8" t="s">
        <x:v>3407</x:v>
      </x:c>
      <x:c r="S274" s="3"/>
      <x:c r="T274" s="8" t="s">
        <x:v>63</x:v>
      </x:c>
      <x:c r="U274" s="1" t="s">
        <x:v>3384</x:v>
      </x:c>
      <x:c r="V274" s="13">
        <x:v>7</x:v>
      </x:c>
      <x:c r="W274" s="1" t="s">
        <x:v>65</x:v>
      </x:c>
      <x:c r="X274" s="8" t="s">
        <x:v>66</x:v>
      </x:c>
      <x:c r="Y274" s="1" t="str">
        <x:v>Проверено автором исследования</x:v>
      </x:c>
      <x:c r="Z274" s="8" t="s">
        <x:v>3408</x:v>
      </x:c>
      <x:c r="AA274" s="1" t="s">
        <x:v>3385</x:v>
      </x:c>
      <x:c r="AB274" s="13">
        <x:v>2025</x:v>
      </x:c>
      <x:c r="AC274" s="3">
        <x:v>46322</x:v>
      </x:c>
      <x:c r="AD274" s="8" t="s">
        <x:v>69</x:v>
      </x:c>
      <x:c r="AE274" s="1" t="s">
        <x:v>3409</x:v>
      </x:c>
      <x:c r="AF274" s="8" t="s">
        <x:v>118</x:v>
      </x:c>
      <x:c r="AG274" s="1" t="s">
        <x:v>3387</x:v>
      </x:c>
      <x:c r="AH274" s="8" t="str">
        <x:v>Краткая затекстовая ссылка; повторная документальная сверка выполнена</x:v>
      </x:c>
      <x:c r="AI274" s="1"/>
      <x:c r="AJ274" s="17"/>
      <x:c r="AK274" s="1" t="s">
        <x:v>73</x:v>
      </x:c>
      <x:c r="AL274" s="8" t="s">
        <x:v>74</x:v>
      </x:c>
      <x:c r="AM274" s="1"/>
      <x:c r="AN274" s="8" t="s">
        <x:v>75</x:v>
      </x:c>
      <x:c r="AO274" s="1" t="s">
        <x:v>76</x:v>
      </x:c>
      <x:c r="AP274" s="8"/>
      <x:c r="AQ274" s="1" t="s">
        <x:v>77</x:v>
      </x:c>
      <x:c r="AR274" s="8" t="str">
        <x:v>Проверка автором исследования</x:v>
      </x:c>
      <x:c r="AS274" s="1" t="s">
        <x:v>3410</x:v>
      </x:c>
      <x:c r="AT274" s="8" t="s">
        <x:v>3411</x:v>
      </x:c>
      <x:c r="AU274" s="1" t="s">
        <x:v>3412</x:v>
      </x:c>
      <x:c r="AV274" s="17">
        <x:v>46321</x:v>
      </x:c>
      <x:c r="AW274" s="1" t="s">
        <x:v>81</x:v>
      </x:c>
      <x:c r="AX274" s="8" t="s">
        <x:v>82</x:v>
      </x:c>
      <x:c r="AY274" s="8"/>
    </x:row>
    <x:row r="275" ht="69.94999694824219" customHeight="1">
      <x:c r="A275" s="1" t="s">
        <x:v>3413</x:v>
      </x:c>
      <x:c r="B275" s="8" t="s">
        <x:v>3414</x:v>
      </x:c>
      <x:c r="C275" s="1" t="s">
        <x:v>3415</x:v>
      </x:c>
      <x:c r="D275" s="8" t="s">
        <x:v>53</x:v>
      </x:c>
      <x:c r="E275" s="1" t="s">
        <x:v>54</x:v>
      </x:c>
      <x:c r="F275" s="8" t="s">
        <x:v>3416</x:v>
      </x:c>
      <x:c r="G275" s="1" t="s">
        <x:v>3417</x:v>
      </x:c>
      <x:c r="H275" s="8" t="s">
        <x:v>3418</x:v>
      </x:c>
      <x:c r="I275" s="4">
        <x:v>2017</x:v>
      </x:c>
      <x:c r="J275" s="8" t="s">
        <x:v>59</x:v>
      </x:c>
      <x:c r="K275" s="1" t="s">
        <x:v>3419</x:v>
      </x:c>
      <x:c r="L275" s="8" t="s">
        <x:v>106</x:v>
      </x:c>
      <x:c r="M275" s="1" t="s">
        <x:v>61</x:v>
      </x:c>
      <x:c r="N275" s="8"/>
      <x:c r="O275" s="1"/>
      <x:c r="P275" s="8"/>
      <x:c r="Q275" s="1"/>
      <x:c r="R275" s="8" t="s">
        <x:v>3420</x:v>
      </x:c>
      <x:c r="S275" s="3"/>
      <x:c r="T275" s="8" t="s">
        <x:v>63</x:v>
      </x:c>
      <x:c r="U275" s="1" t="s">
        <x:v>3384</x:v>
      </x:c>
      <x:c r="V275" s="13">
        <x:v>8</x:v>
      </x:c>
      <x:c r="W275" s="1" t="s">
        <x:v>65</x:v>
      </x:c>
      <x:c r="X275" s="8" t="s">
        <x:v>66</x:v>
      </x:c>
      <x:c r="Y275" s="1" t="str">
        <x:v>Проверено автором исследования</x:v>
      </x:c>
      <x:c r="Z275" s="8" t="s">
        <x:v>3421</x:v>
      </x:c>
      <x:c r="AA275" s="1" t="s">
        <x:v>3385</x:v>
      </x:c>
      <x:c r="AB275" s="13">
        <x:v>2025</x:v>
      </x:c>
      <x:c r="AC275" s="3">
        <x:v>46322</x:v>
      </x:c>
      <x:c r="AD275" s="8" t="s">
        <x:v>69</x:v>
      </x:c>
      <x:c r="AE275" s="1" t="s">
        <x:v>3422</x:v>
      </x:c>
      <x:c r="AF275" s="8" t="s">
        <x:v>118</x:v>
      </x:c>
      <x:c r="AG275" s="1" t="s">
        <x:v>3387</x:v>
      </x:c>
      <x:c r="AH275" s="8" t="str">
        <x:v>Краткая затекстовая ссылка; повторная документальная сверка выполнена</x:v>
      </x:c>
      <x:c r="AI275" s="1"/>
      <x:c r="AJ275" s="17"/>
      <x:c r="AK275" s="1" t="s">
        <x:v>73</x:v>
      </x:c>
      <x:c r="AL275" s="8" t="s">
        <x:v>74</x:v>
      </x:c>
      <x:c r="AM275" s="1"/>
      <x:c r="AN275" s="8" t="s">
        <x:v>75</x:v>
      </x:c>
      <x:c r="AO275" s="1" t="s">
        <x:v>76</x:v>
      </x:c>
      <x:c r="AP275" s="8"/>
      <x:c r="AQ275" s="1" t="s">
        <x:v>77</x:v>
      </x:c>
      <x:c r="AR275" s="8" t="str">
        <x:v>Проверка автором исследования</x:v>
      </x:c>
      <x:c r="AS275" s="1" t="s">
        <x:v>3423</x:v>
      </x:c>
      <x:c r="AT275" s="8" t="s">
        <x:v>3424</x:v>
      </x:c>
      <x:c r="AU275" s="1" t="s">
        <x:v>3425</x:v>
      </x:c>
      <x:c r="AV275" s="17">
        <x:v>46321</x:v>
      </x:c>
      <x:c r="AW275" s="1" t="s">
        <x:v>81</x:v>
      </x:c>
      <x:c r="AX275" s="8" t="s">
        <x:v>82</x:v>
      </x:c>
      <x:c r="AY275" s="8"/>
    </x:row>
    <x:row r="276" ht="140.10000610351562" customHeight="1">
      <x:c r="A276" s="1" t="s">
        <x:v>3426</x:v>
      </x:c>
      <x:c r="B276" s="8" t="s">
        <x:v>3427</x:v>
      </x:c>
      <x:c r="C276" s="1" t="s">
        <x:v>3428</x:v>
      </x:c>
      <x:c r="D276" s="8" t="s">
        <x:v>53</x:v>
      </x:c>
      <x:c r="E276" s="1" t="s">
        <x:v>54</x:v>
      </x:c>
      <x:c r="F276" s="8" t="s">
        <x:v>3429</x:v>
      </x:c>
      <x:c r="G276" s="1" t="s">
        <x:v>3430</x:v>
      </x:c>
      <x:c r="H276" s="8" t="s">
        <x:v>3042</x:v>
      </x:c>
      <x:c r="I276" s="4">
        <x:v>2023</x:v>
      </x:c>
      <x:c r="J276" s="8" t="s">
        <x:v>3101</x:v>
      </x:c>
      <x:c r="K276" s="1" t="s">
        <x:v>182</x:v>
      </x:c>
      <x:c r="L276" s="8" t="s">
        <x:v>3431</x:v>
      </x:c>
      <x:c r="M276" s="1" t="s">
        <x:v>61</x:v>
      </x:c>
      <x:c r="N276" s="8"/>
      <x:c r="O276" s="1"/>
      <x:c r="P276" s="8"/>
      <x:c r="Q276" s="1"/>
      <x:c r="R276" s="8" t="s">
        <x:v>3432</x:v>
      </x:c>
      <x:c r="S276" s="3"/>
      <x:c r="T276" s="8" t="s">
        <x:v>63</x:v>
      </x:c>
      <x:c r="U276" s="1" t="s">
        <x:v>3433</x:v>
      </x:c>
      <x:c r="V276" s="13">
        <x:v>1</x:v>
      </x:c>
      <x:c r="W276" s="1" t="s">
        <x:v>65</x:v>
      </x:c>
      <x:c r="X276" s="8" t="s">
        <x:v>66</x:v>
      </x:c>
      <x:c r="Y276" s="1" t="str">
        <x:v>Проверено автором исследования</x:v>
      </x:c>
      <x:c r="Z276" s="8" t="s">
        <x:v>3434</x:v>
      </x:c>
      <x:c r="AA276" s="1" t="s">
        <x:v>3435</x:v>
      </x:c>
      <x:c r="AB276" s="13">
        <x:v>2025</x:v>
      </x:c>
      <x:c r="AC276" s="3">
        <x:v>46322</x:v>
      </x:c>
      <x:c r="AD276" s="8" t="s">
        <x:v>69</x:v>
      </x:c>
      <x:c r="AE276" s="1" t="s">
        <x:v>3436</x:v>
      </x:c>
      <x:c r="AF276" s="8" t="s">
        <x:v>71</x:v>
      </x:c>
      <x:c r="AG276" s="1" t="s">
        <x:v>3437</x:v>
      </x:c>
      <x:c r="AH276" s="8" t="str">
        <x:v>Краткая затекстовая ссылка; повторная документальная сверка выполнена</x:v>
      </x:c>
      <x:c r="AI276" s="1"/>
      <x:c r="AJ276" s="17"/>
      <x:c r="AK276" s="1" t="s">
        <x:v>73</x:v>
      </x:c>
      <x:c r="AL276" s="8" t="s">
        <x:v>74</x:v>
      </x:c>
      <x:c r="AM276" s="1"/>
      <x:c r="AN276" s="8" t="s">
        <x:v>75</x:v>
      </x:c>
      <x:c r="AO276" s="1" t="s">
        <x:v>76</x:v>
      </x:c>
      <x:c r="AP276" s="8"/>
      <x:c r="AQ276" s="1" t="s">
        <x:v>77</x:v>
      </x:c>
      <x:c r="AR276" s="8" t="str">
        <x:v>Проверка автором исследования</x:v>
      </x:c>
      <x:c r="AS276" s="1" t="s">
        <x:v>3438</x:v>
      </x:c>
      <x:c r="AT276" s="8" t="s">
        <x:v>3439</x:v>
      </x:c>
      <x:c r="AU276" s="1" t="s">
        <x:v>3440</x:v>
      </x:c>
      <x:c r="AV276" s="17">
        <x:v>46321</x:v>
      </x:c>
      <x:c r="AW276" s="1" t="s">
        <x:v>81</x:v>
      </x:c>
      <x:c r="AX276" s="8" t="s">
        <x:v>82</x:v>
      </x:c>
      <x:c r="AY276" s="8"/>
    </x:row>
    <x:row r="277" ht="140.10000610351562" customHeight="1">
      <x:c r="A277" s="1" t="s">
        <x:v>3441</x:v>
      </x:c>
      <x:c r="B277" s="8" t="s">
        <x:v>3442</x:v>
      </x:c>
      <x:c r="C277" s="1" t="s">
        <x:v>3443</x:v>
      </x:c>
      <x:c r="D277" s="8" t="s">
        <x:v>53</x:v>
      </x:c>
      <x:c r="E277" s="1" t="s">
        <x:v>54</x:v>
      </x:c>
      <x:c r="F277" s="8" t="s">
        <x:v>3444</x:v>
      </x:c>
      <x:c r="G277" s="1" t="s">
        <x:v>3445</x:v>
      </x:c>
      <x:c r="H277" s="8" t="s">
        <x:v>3042</x:v>
      </x:c>
      <x:c r="I277" s="4">
        <x:v>2024</x:v>
      </x:c>
      <x:c r="J277" s="8" t="s">
        <x:v>58</x:v>
      </x:c>
      <x:c r="K277" s="1" t="s">
        <x:v>416</x:v>
      </x:c>
      <x:c r="L277" s="8" t="s">
        <x:v>3446</x:v>
      </x:c>
      <x:c r="M277" s="1" t="s">
        <x:v>61</x:v>
      </x:c>
      <x:c r="N277" s="8"/>
      <x:c r="O277" s="1"/>
      <x:c r="P277" s="8"/>
      <x:c r="Q277" s="1"/>
      <x:c r="R277" s="8" t="s">
        <x:v>3447</x:v>
      </x:c>
      <x:c r="S277" s="3"/>
      <x:c r="T277" s="8" t="s">
        <x:v>63</x:v>
      </x:c>
      <x:c r="U277" s="1" t="s">
        <x:v>3448</x:v>
      </x:c>
      <x:c r="V277" s="13">
        <x:v>7</x:v>
      </x:c>
      <x:c r="W277" s="1" t="s">
        <x:v>65</x:v>
      </x:c>
      <x:c r="X277" s="8" t="s">
        <x:v>66</x:v>
      </x:c>
      <x:c r="Y277" s="1" t="str">
        <x:v>Проверено автором исследования</x:v>
      </x:c>
      <x:c r="Z277" s="8" t="s">
        <x:v>3449</x:v>
      </x:c>
      <x:c r="AA277" s="1" t="s">
        <x:v>3450</x:v>
      </x:c>
      <x:c r="AB277" s="13">
        <x:v>2025</x:v>
      </x:c>
      <x:c r="AC277" s="3">
        <x:v>46322</x:v>
      </x:c>
      <x:c r="AD277" s="8" t="s">
        <x:v>69</x:v>
      </x:c>
      <x:c r="AE277" s="1" t="s">
        <x:v>3451</x:v>
      </x:c>
      <x:c r="AF277" s="8" t="s">
        <x:v>118</x:v>
      </x:c>
      <x:c r="AG277" s="1" t="s">
        <x:v>3452</x:v>
      </x:c>
      <x:c r="AH277" s="8" t="str">
        <x:v>Краткая затекстовая ссылка; повторная документальная сверка выполнена</x:v>
      </x:c>
      <x:c r="AI277" s="1"/>
      <x:c r="AJ277" s="17"/>
      <x:c r="AK277" s="1" t="s">
        <x:v>73</x:v>
      </x:c>
      <x:c r="AL277" s="8" t="s">
        <x:v>74</x:v>
      </x:c>
      <x:c r="AM277" s="1"/>
      <x:c r="AN277" s="8" t="s">
        <x:v>75</x:v>
      </x:c>
      <x:c r="AO277" s="1" t="s">
        <x:v>76</x:v>
      </x:c>
      <x:c r="AP277" s="8"/>
      <x:c r="AQ277" s="1" t="s">
        <x:v>77</x:v>
      </x:c>
      <x:c r="AR277" s="8" t="str">
        <x:v>Проверка автором исследования</x:v>
      </x:c>
      <x:c r="AS277" s="1" t="s">
        <x:v>3453</x:v>
      </x:c>
      <x:c r="AT277" s="8" t="s">
        <x:v>3454</x:v>
      </x:c>
      <x:c r="AU277" s="1" t="s">
        <x:v>3455</x:v>
      </x:c>
      <x:c r="AV277" s="17">
        <x:v>46321</x:v>
      </x:c>
      <x:c r="AW277" s="1" t="s">
        <x:v>81</x:v>
      </x:c>
      <x:c r="AX277" s="8" t="s">
        <x:v>82</x:v>
      </x:c>
      <x:c r="AY277" s="8"/>
    </x:row>
    <x:row r="278" ht="111.94999694824219" customHeight="1">
      <x:c r="A278" s="1" t="s">
        <x:v>3456</x:v>
      </x:c>
      <x:c r="B278" s="8" t="s">
        <x:v>3457</x:v>
      </x:c>
      <x:c r="C278" s="1" t="s">
        <x:v>3458</x:v>
      </x:c>
      <x:c r="D278" s="8" t="s">
        <x:v>53</x:v>
      </x:c>
      <x:c r="E278" s="1" t="s">
        <x:v>54</x:v>
      </x:c>
      <x:c r="F278" s="8" t="s">
        <x:v>3459</x:v>
      </x:c>
      <x:c r="G278" s="1" t="s">
        <x:v>3460</x:v>
      </x:c>
      <x:c r="H278" s="8" t="s">
        <x:v>3461</x:v>
      </x:c>
      <x:c r="I278" s="4">
        <x:v>2025</x:v>
      </x:c>
      <x:c r="J278" s="8" t="s">
        <x:v>1649</x:v>
      </x:c>
      <x:c r="K278" s="1" t="s">
        <x:v>485</x:v>
      </x:c>
      <x:c r="L278" s="8" t="s">
        <x:v>3462</x:v>
      </x:c>
      <x:c r="M278" s="1" t="s">
        <x:v>61</x:v>
      </x:c>
      <x:c r="N278" s="8"/>
      <x:c r="O278" s="1"/>
      <x:c r="P278" s="8"/>
      <x:c r="Q278" s="1"/>
      <x:c r="R278" s="8" t="s">
        <x:v>3463</x:v>
      </x:c>
      <x:c r="S278" s="3"/>
      <x:c r="T278" s="8" t="s">
        <x:v>63</x:v>
      </x:c>
      <x:c r="U278" s="1" t="s">
        <x:v>3464</x:v>
      </x:c>
      <x:c r="V278" s="13">
        <x:v>5</x:v>
      </x:c>
      <x:c r="W278" s="1" t="s">
        <x:v>65</x:v>
      </x:c>
      <x:c r="X278" s="8" t="s">
        <x:v>66</x:v>
      </x:c>
      <x:c r="Y278" s="1" t="str">
        <x:v>Проверено автором исследования</x:v>
      </x:c>
      <x:c r="Z278" s="8" t="s">
        <x:v>3465</x:v>
      </x:c>
      <x:c r="AA278" s="1" t="s">
        <x:v>3466</x:v>
      </x:c>
      <x:c r="AB278" s="13">
        <x:v>2026</x:v>
      </x:c>
      <x:c r="AC278" s="3">
        <x:v>46322</x:v>
      </x:c>
      <x:c r="AD278" s="8" t="s">
        <x:v>69</x:v>
      </x:c>
      <x:c r="AE278" s="1" t="s">
        <x:v>3467</x:v>
      </x:c>
      <x:c r="AF278" s="8" t="s">
        <x:v>118</x:v>
      </x:c>
      <x:c r="AG278" s="1" t="s">
        <x:v>3468</x:v>
      </x:c>
      <x:c r="AH278" s="8" t="str">
        <x:v>Краткая затекстовая ссылка; повторная документальная сверка выполнена</x:v>
      </x:c>
      <x:c r="AI278" s="1"/>
      <x:c r="AJ278" s="17"/>
      <x:c r="AK278" s="1" t="s">
        <x:v>73</x:v>
      </x:c>
      <x:c r="AL278" s="8" t="s">
        <x:v>74</x:v>
      </x:c>
      <x:c r="AM278" s="1"/>
      <x:c r="AN278" s="8" t="s">
        <x:v>75</x:v>
      </x:c>
      <x:c r="AO278" s="1" t="s">
        <x:v>76</x:v>
      </x:c>
      <x:c r="AP278" s="8"/>
      <x:c r="AQ278" s="1" t="s">
        <x:v>77</x:v>
      </x:c>
      <x:c r="AR278" s="8" t="str">
        <x:v>Проверка автором исследования</x:v>
      </x:c>
      <x:c r="AS278" s="1" t="s">
        <x:v>3469</x:v>
      </x:c>
      <x:c r="AT278" s="8" t="s">
        <x:v>3470</x:v>
      </x:c>
      <x:c r="AU278" s="1" t="s">
        <x:v>3471</x:v>
      </x:c>
      <x:c r="AV278" s="17">
        <x:v>46321</x:v>
      </x:c>
      <x:c r="AW278" s="1" t="s">
        <x:v>81</x:v>
      </x:c>
      <x:c r="AX278" s="8" t="s">
        <x:v>82</x:v>
      </x:c>
      <x:c r="AY278" s="8"/>
    </x:row>
    <x:row r="279" ht="140.10000610351562" customHeight="1">
      <x:c r="A279" s="1" t="s">
        <x:v>3472</x:v>
      </x:c>
      <x:c r="B279" s="8" t="s">
        <x:v>3473</x:v>
      </x:c>
      <x:c r="C279" s="1" t="s">
        <x:v>3474</x:v>
      </x:c>
      <x:c r="D279" s="8" t="s">
        <x:v>53</x:v>
      </x:c>
      <x:c r="E279" s="1" t="s">
        <x:v>54</x:v>
      </x:c>
      <x:c r="F279" s="8" t="s">
        <x:v>3475</x:v>
      </x:c>
      <x:c r="G279" s="1" t="s">
        <x:v>3476</x:v>
      </x:c>
      <x:c r="H279" s="8" t="s">
        <x:v>2352</x:v>
      </x:c>
      <x:c r="I279" s="4">
        <x:v>2025</x:v>
      </x:c>
      <x:c r="J279" s="8" t="s">
        <x:v>1798</x:v>
      </x:c>
      <x:c r="K279" s="1" t="s">
        <x:v>931</x:v>
      </x:c>
      <x:c r="L279" s="8" t="s">
        <x:v>3477</x:v>
      </x:c>
      <x:c r="M279" s="1" t="s">
        <x:v>61</x:v>
      </x:c>
      <x:c r="N279" s="8"/>
      <x:c r="O279" s="1"/>
      <x:c r="P279" s="8"/>
      <x:c r="Q279" s="1"/>
      <x:c r="R279" s="8" t="s">
        <x:v>3478</x:v>
      </x:c>
      <x:c r="S279" s="3"/>
      <x:c r="T279" s="8" t="s">
        <x:v>63</x:v>
      </x:c>
      <x:c r="U279" s="1" t="s">
        <x:v>3464</x:v>
      </x:c>
      <x:c r="V279" s="13">
        <x:v>7</x:v>
      </x:c>
      <x:c r="W279" s="1" t="s">
        <x:v>242</x:v>
      </x:c>
      <x:c r="X279" s="8" t="s">
        <x:v>66</x:v>
      </x:c>
      <x:c r="Y279" s="1" t="str">
        <x:v>Проверено автором; дополнительно проверено Михаилом Саяпиным</x:v>
      </x:c>
      <x:c r="Z279" s="8" t="s">
        <x:v>3479</x:v>
      </x:c>
      <x:c r="AA279" s="1" t="s">
        <x:v>3466</x:v>
      </x:c>
      <x:c r="AB279" s="13">
        <x:v>2026</x:v>
      </x:c>
      <x:c r="AC279" s="3">
        <x:v>46322</x:v>
      </x:c>
      <x:c r="AD279" s="8" t="s">
        <x:v>69</x:v>
      </x:c>
      <x:c r="AE279" s="1" t="s">
        <x:v>3480</x:v>
      </x:c>
      <x:c r="AF279" s="8" t="s">
        <x:v>118</x:v>
      </x:c>
      <x:c r="AG279" s="1" t="s">
        <x:v>3468</x:v>
      </x:c>
      <x:c r="AH279" s="8" t="s">
        <x:v>144</x:v>
      </x:c>
      <x:c r="AI279" s="1" t="s">
        <x:v>145</x:v>
      </x:c>
      <x:c r="AJ279" s="17">
        <x:v>46323</x:v>
      </x:c>
      <x:c r="AK279" s="1" t="s">
        <x:v>73</x:v>
      </x:c>
      <x:c r="AL279" s="8" t="s">
        <x:v>74</x:v>
      </x:c>
      <x:c r="AM279" s="1"/>
      <x:c r="AN279" s="8" t="s">
        <x:v>75</x:v>
      </x:c>
      <x:c r="AO279" s="1" t="s">
        <x:v>76</x:v>
      </x:c>
      <x:c r="AP279" s="8"/>
      <x:c r="AQ279" s="1" t="s">
        <x:v>77</x:v>
      </x:c>
      <x:c r="AR279" s="8" t="str">
        <x:v>Проверка автором исследования; дополнительная проверка Михаилом Саяпиным; согласование 28.10.2026</x:v>
      </x:c>
      <x:c r="AS279" s="1" t="s">
        <x:v>3481</x:v>
      </x:c>
      <x:c r="AT279" s="8" t="s">
        <x:v>3482</x:v>
      </x:c>
      <x:c r="AU279" s="1" t="s">
        <x:v>3483</x:v>
      </x:c>
      <x:c r="AV279" s="17">
        <x:v>46321</x:v>
      </x:c>
      <x:c r="AW279" s="1" t="s">
        <x:v>81</x:v>
      </x:c>
      <x:c r="AX279" s="8" t="s">
        <x:v>146</x:v>
      </x:c>
      <x:c r="AY279" s="8" t="s">
        <x:v>3484</x:v>
      </x:c>
    </x:row>
    <x:row r="280" ht="69.94999694824219" customHeight="1">
      <x:c r="A280" s="1" t="s">
        <x:v>3485</x:v>
      </x:c>
      <x:c r="B280" s="8" t="s">
        <x:v>3486</x:v>
      </x:c>
      <x:c r="C280" s="1" t="s">
        <x:v>3487</x:v>
      </x:c>
      <x:c r="D280" s="8" t="s">
        <x:v>73</x:v>
      </x:c>
      <x:c r="E280" s="1" t="s">
        <x:v>76</x:v>
      </x:c>
      <x:c r="F280" s="8" t="s">
        <x:v>3488</x:v>
      </x:c>
      <x:c r="G280" s="1" t="s">
        <x:v>3489</x:v>
      </x:c>
      <x:c r="H280" s="8" t="s">
        <x:v>3490</x:v>
      </x:c>
      <x:c r="I280" s="4">
        <x:v>2003</x:v>
      </x:c>
      <x:c r="J280" s="8"/>
      <x:c r="K280" s="1" t="s">
        <x:v>3491</x:v>
      </x:c>
      <x:c r="L280" s="8" t="s">
        <x:v>3492</x:v>
      </x:c>
      <x:c r="M280" s="1" t="s">
        <x:v>61</x:v>
      </x:c>
      <x:c r="N280" s="8"/>
      <x:c r="O280" s="1"/>
      <x:c r="P280" s="8"/>
      <x:c r="Q280" s="1"/>
      <x:c r="R280" s="8"/>
      <x:c r="S280" s="3"/>
      <x:c r="T280" s="8" t="s">
        <x:v>63</x:v>
      </x:c>
      <x:c r="U280" s="1" t="s">
        <x:v>3493</x:v>
      </x:c>
      <x:c r="V280" s="13">
        <x:v>13</x:v>
      </x:c>
      <x:c r="W280" s="1" t="s">
        <x:v>65</x:v>
      </x:c>
      <x:c r="X280" s="8" t="s">
        <x:v>66</x:v>
      </x:c>
      <x:c r="Y280" s="1" t="str">
        <x:v>Проверено автором исследования</x:v>
      </x:c>
      <x:c r="Z280" s="8"/>
      <x:c r="AA280" s="1" t="s">
        <x:v>3494</x:v>
      </x:c>
      <x:c r="AB280" s="13">
        <x:v>2026</x:v>
      </x:c>
      <x:c r="AC280" s="3"/>
      <x:c r="AD280" s="8" t="s">
        <x:v>93</x:v>
      </x:c>
      <x:c r="AE280" s="1" t="s">
        <x:v>3495</x:v>
      </x:c>
      <x:c r="AF280" s="8" t="s">
        <x:v>71</x:v>
      </x:c>
      <x:c r="AG280" s="1" t="s">
        <x:v>3496</x:v>
      </x:c>
      <x:c r="AH280" s="8" t="str">
        <x:v>Краткая затекстовая ссылка; повторная документальная сверка выполнена</x:v>
      </x:c>
      <x:c r="AI280" s="1"/>
      <x:c r="AJ280" s="17"/>
      <x:c r="AK280" s="1" t="s">
        <x:v>73</x:v>
      </x:c>
      <x:c r="AL280" s="8" t="s">
        <x:v>74</x:v>
      </x:c>
      <x:c r="AM280" s="1"/>
      <x:c r="AN280" s="8" t="s">
        <x:v>95</x:v>
      </x:c>
      <x:c r="AO280" s="1" t="s">
        <x:v>76</x:v>
      </x:c>
      <x:c r="AP280" s="8"/>
      <x:c r="AQ280" s="1" t="s">
        <x:v>77</x:v>
      </x:c>
      <x:c r="AR280" s="8" t="str">
        <x:v>Проверка автором исследования</x:v>
      </x:c>
      <x:c r="AS280" s="1"/>
      <x:c r="AT280" s="8" t="s">
        <x:v>96</x:v>
      </x:c>
      <x:c r="AU280" s="1" t="s">
        <x:v>97</x:v>
      </x:c>
      <x:c r="AV280" s="17"/>
      <x:c r="AW280" s="1" t="s">
        <x:v>98</x:v>
      </x:c>
      <x:c r="AX280" s="8" t="s">
        <x:v>82</x:v>
      </x:c>
      <x:c r="AY280" s="8"/>
    </x:row>
    <x:row r="281" ht="69.94999694824219" customHeight="1">
      <x:c r="A281" s="1" t="s">
        <x:v>3497</x:v>
      </x:c>
      <x:c r="B281" s="8" t="s">
        <x:v>3498</x:v>
      </x:c>
      <x:c r="C281" s="1" t="s">
        <x:v>3499</x:v>
      </x:c>
      <x:c r="D281" s="8" t="s">
        <x:v>73</x:v>
      </x:c>
      <x:c r="E281" s="1" t="s">
        <x:v>76</x:v>
      </x:c>
      <x:c r="F281" s="8" t="s">
        <x:v>3500</x:v>
      </x:c>
      <x:c r="G281" s="1" t="s">
        <x:v>3501</x:v>
      </x:c>
      <x:c r="H281" s="8" t="s">
        <x:v>3490</x:v>
      </x:c>
      <x:c r="I281" s="4">
        <x:v>2003</x:v>
      </x:c>
      <x:c r="J281" s="8"/>
      <x:c r="K281" s="1" t="s">
        <x:v>3502</x:v>
      </x:c>
      <x:c r="L281" s="8" t="s">
        <x:v>3503</x:v>
      </x:c>
      <x:c r="M281" s="1" t="s">
        <x:v>61</x:v>
      </x:c>
      <x:c r="N281" s="8"/>
      <x:c r="O281" s="1"/>
      <x:c r="P281" s="8"/>
      <x:c r="Q281" s="1"/>
      <x:c r="R281" s="8"/>
      <x:c r="S281" s="3"/>
      <x:c r="T281" s="8" t="s">
        <x:v>63</x:v>
      </x:c>
      <x:c r="U281" s="1" t="s">
        <x:v>3493</x:v>
      </x:c>
      <x:c r="V281" s="13">
        <x:v>17</x:v>
      </x:c>
      <x:c r="W281" s="1" t="s">
        <x:v>65</x:v>
      </x:c>
      <x:c r="X281" s="8" t="s">
        <x:v>66</x:v>
      </x:c>
      <x:c r="Y281" s="1" t="str">
        <x:v>Проверено автором исследования</x:v>
      </x:c>
      <x:c r="Z281" s="8"/>
      <x:c r="AA281" s="1" t="s">
        <x:v>3494</x:v>
      </x:c>
      <x:c r="AB281" s="13">
        <x:v>2026</x:v>
      </x:c>
      <x:c r="AC281" s="3"/>
      <x:c r="AD281" s="8" t="s">
        <x:v>93</x:v>
      </x:c>
      <x:c r="AE281" s="1" t="s">
        <x:v>3504</x:v>
      </x:c>
      <x:c r="AF281" s="8" t="s">
        <x:v>71</x:v>
      </x:c>
      <x:c r="AG281" s="1" t="s">
        <x:v>3496</x:v>
      </x:c>
      <x:c r="AH281" s="8" t="str">
        <x:v>Краткая затекстовая ссылка; повторная документальная сверка выполнена</x:v>
      </x:c>
      <x:c r="AI281" s="1"/>
      <x:c r="AJ281" s="17"/>
      <x:c r="AK281" s="1" t="s">
        <x:v>73</x:v>
      </x:c>
      <x:c r="AL281" s="8" t="s">
        <x:v>74</x:v>
      </x:c>
      <x:c r="AM281" s="1"/>
      <x:c r="AN281" s="8" t="s">
        <x:v>95</x:v>
      </x:c>
      <x:c r="AO281" s="1" t="s">
        <x:v>76</x:v>
      </x:c>
      <x:c r="AP281" s="8"/>
      <x:c r="AQ281" s="1" t="s">
        <x:v>77</x:v>
      </x:c>
      <x:c r="AR281" s="8" t="str">
        <x:v>Проверка автором исследования</x:v>
      </x:c>
      <x:c r="AS281" s="1"/>
      <x:c r="AT281" s="8" t="s">
        <x:v>96</x:v>
      </x:c>
      <x:c r="AU281" s="1" t="s">
        <x:v>97</x:v>
      </x:c>
      <x:c r="AV281" s="17"/>
      <x:c r="AW281" s="1" t="s">
        <x:v>98</x:v>
      </x:c>
      <x:c r="AX281" s="8" t="s">
        <x:v>82</x:v>
      </x:c>
      <x:c r="AY281" s="8"/>
    </x:row>
    <x:row r="282" ht="69.94999694824219" customHeight="1">
      <x:c r="A282" s="1" t="s">
        <x:v>3505</x:v>
      </x:c>
      <x:c r="B282" s="8" t="s">
        <x:v>3506</x:v>
      </x:c>
      <x:c r="C282" s="1" t="s">
        <x:v>3507</x:v>
      </x:c>
      <x:c r="D282" s="8" t="s">
        <x:v>73</x:v>
      </x:c>
      <x:c r="E282" s="1" t="s">
        <x:v>76</x:v>
      </x:c>
      <x:c r="F282" s="8" t="s">
        <x:v>3508</x:v>
      </x:c>
      <x:c r="G282" s="1" t="s">
        <x:v>3509</x:v>
      </x:c>
      <x:c r="H282" s="8" t="s">
        <x:v>3510</x:v>
      </x:c>
      <x:c r="I282" s="4">
        <x:v>2022</x:v>
      </x:c>
      <x:c r="J282" s="8"/>
      <x:c r="K282" s="1" t="s">
        <x:v>190</x:v>
      </x:c>
      <x:c r="L282" s="8" t="s">
        <x:v>3511</x:v>
      </x:c>
      <x:c r="M282" s="1" t="s">
        <x:v>61</x:v>
      </x:c>
      <x:c r="N282" s="8"/>
      <x:c r="O282" s="1"/>
      <x:c r="P282" s="8"/>
      <x:c r="Q282" s="1"/>
      <x:c r="R282" s="8"/>
      <x:c r="S282" s="3"/>
      <x:c r="T282" s="8" t="s">
        <x:v>63</x:v>
      </x:c>
      <x:c r="U282" s="1" t="s">
        <x:v>3493</x:v>
      </x:c>
      <x:c r="V282" s="13">
        <x:v>24</x:v>
      </x:c>
      <x:c r="W282" s="1" t="s">
        <x:v>65</x:v>
      </x:c>
      <x:c r="X282" s="8" t="s">
        <x:v>66</x:v>
      </x:c>
      <x:c r="Y282" s="1" t="str">
        <x:v>Проверено автором исследования</x:v>
      </x:c>
      <x:c r="Z282" s="8"/>
      <x:c r="AA282" s="1" t="s">
        <x:v>3494</x:v>
      </x:c>
      <x:c r="AB282" s="13">
        <x:v>2026</x:v>
      </x:c>
      <x:c r="AC282" s="3"/>
      <x:c r="AD282" s="8" t="s">
        <x:v>93</x:v>
      </x:c>
      <x:c r="AE282" s="1"/>
      <x:c r="AF282" s="8" t="s">
        <x:v>71</x:v>
      </x:c>
      <x:c r="AG282" s="1" t="s">
        <x:v>3496</x:v>
      </x:c>
      <x:c r="AH282" s="8" t="str">
        <x:v>Краткая затекстовая ссылка; повторная документальная сверка выполнена</x:v>
      </x:c>
      <x:c r="AI282" s="1"/>
      <x:c r="AJ282" s="17"/>
      <x:c r="AK282" s="1" t="s">
        <x:v>73</x:v>
      </x:c>
      <x:c r="AL282" s="8" t="s">
        <x:v>74</x:v>
      </x:c>
      <x:c r="AM282" s="1"/>
      <x:c r="AN282" s="8" t="s">
        <x:v>95</x:v>
      </x:c>
      <x:c r="AO282" s="1" t="s">
        <x:v>76</x:v>
      </x:c>
      <x:c r="AP282" s="8"/>
      <x:c r="AQ282" s="1" t="s">
        <x:v>77</x:v>
      </x:c>
      <x:c r="AR282" s="8" t="str">
        <x:v>Проверка автором исследования</x:v>
      </x:c>
      <x:c r="AS282" s="1"/>
      <x:c r="AT282" s="8" t="s">
        <x:v>96</x:v>
      </x:c>
      <x:c r="AU282" s="1" t="s">
        <x:v>97</x:v>
      </x:c>
      <x:c r="AV282" s="17"/>
      <x:c r="AW282" s="1" t="s">
        <x:v>98</x:v>
      </x:c>
      <x:c r="AX282" s="8" t="s">
        <x:v>82</x:v>
      </x:c>
      <x:c r="AY282" s="8"/>
    </x:row>
    <x:row r="283" ht="69.94999694824219" customHeight="1">
      <x:c r="A283" s="1" t="s">
        <x:v>3512</x:v>
      </x:c>
      <x:c r="B283" s="8" t="s">
        <x:v>3513</x:v>
      </x:c>
      <x:c r="C283" s="1" t="s">
        <x:v>3514</x:v>
      </x:c>
      <x:c r="D283" s="8" t="s">
        <x:v>86</x:v>
      </x:c>
      <x:c r="E283" s="1" t="s">
        <x:v>76</x:v>
      </x:c>
      <x:c r="F283" s="8" t="s">
        <x:v>3515</x:v>
      </x:c>
      <x:c r="G283" s="1" t="s">
        <x:v>3516</x:v>
      </x:c>
      <x:c r="H283" s="8"/>
      <x:c r="I283" s="4">
        <x:v>2006</x:v>
      </x:c>
      <x:c r="J283" s="8"/>
      <x:c r="K283" s="1"/>
      <x:c r="L283" s="8" t="s">
        <x:v>464</x:v>
      </x:c>
      <x:c r="M283" s="1" t="s">
        <x:v>90</x:v>
      </x:c>
      <x:c r="N283" s="8" t="s">
        <x:v>3517</x:v>
      </x:c>
      <x:c r="O283" s="1" t="s">
        <x:v>92</x:v>
      </x:c>
      <x:c r="P283" s="8"/>
      <x:c r="Q283" s="1"/>
      <x:c r="R283" s="8"/>
      <x:c r="S283" s="3"/>
      <x:c r="T283" s="8" t="s">
        <x:v>63</x:v>
      </x:c>
      <x:c r="U283" s="1" t="s">
        <x:v>3493</x:v>
      </x:c>
      <x:c r="V283" s="13">
        <x:v>27</x:v>
      </x:c>
      <x:c r="W283" s="1" t="s">
        <x:v>65</x:v>
      </x:c>
      <x:c r="X283" s="8" t="s">
        <x:v>66</x:v>
      </x:c>
      <x:c r="Y283" s="1" t="str">
        <x:v>Проверено автором исследования</x:v>
      </x:c>
      <x:c r="Z283" s="8"/>
      <x:c r="AA283" s="1" t="s">
        <x:v>3494</x:v>
      </x:c>
      <x:c r="AB283" s="13">
        <x:v>2026</x:v>
      </x:c>
      <x:c r="AC283" s="3"/>
      <x:c r="AD283" s="8" t="s">
        <x:v>93</x:v>
      </x:c>
      <x:c r="AE283" s="1" t="s">
        <x:v>3518</x:v>
      </x:c>
      <x:c r="AF283" s="8" t="s">
        <x:v>71</x:v>
      </x:c>
      <x:c r="AG283" s="1" t="s">
        <x:v>3496</x:v>
      </x:c>
      <x:c r="AH283" s="8" t="str">
        <x:v>Краткая затекстовая ссылка; повторная документальная сверка выполнена</x:v>
      </x:c>
      <x:c r="AI283" s="1"/>
      <x:c r="AJ283" s="17"/>
      <x:c r="AK283" s="1" t="s">
        <x:v>73</x:v>
      </x:c>
      <x:c r="AL283" s="8" t="s">
        <x:v>74</x:v>
      </x:c>
      <x:c r="AM283" s="1"/>
      <x:c r="AN283" s="8" t="s">
        <x:v>95</x:v>
      </x:c>
      <x:c r="AO283" s="1" t="s">
        <x:v>76</x:v>
      </x:c>
      <x:c r="AP283" s="8"/>
      <x:c r="AQ283" s="1" t="s">
        <x:v>77</x:v>
      </x:c>
      <x:c r="AR283" s="8" t="str">
        <x:v>Проверка автором исследования</x:v>
      </x:c>
      <x:c r="AS283" s="1"/>
      <x:c r="AT283" s="8" t="s">
        <x:v>96</x:v>
      </x:c>
      <x:c r="AU283" s="1" t="s">
        <x:v>97</x:v>
      </x:c>
      <x:c r="AV283" s="17"/>
      <x:c r="AW283" s="1" t="s">
        <x:v>98</x:v>
      </x:c>
      <x:c r="AX283" s="8" t="s">
        <x:v>82</x:v>
      </x:c>
      <x:c r="AY283" s="8"/>
    </x:row>
    <x:row r="284" ht="98.0999984741211" customHeight="1">
      <x:c r="A284" s="1" t="s">
        <x:v>3519</x:v>
      </x:c>
      <x:c r="B284" s="8" t="s">
        <x:v>3520</x:v>
      </x:c>
      <x:c r="C284" s="1" t="s">
        <x:v>3521</x:v>
      </x:c>
      <x:c r="D284" s="8" t="s">
        <x:v>53</x:v>
      </x:c>
      <x:c r="E284" s="1" t="s">
        <x:v>54</x:v>
      </x:c>
      <x:c r="F284" s="8" t="s">
        <x:v>3522</x:v>
      </x:c>
      <x:c r="G284" s="1" t="s">
        <x:v>3523</x:v>
      </x:c>
      <x:c r="H284" s="8" t="s">
        <x:v>3273</x:v>
      </x:c>
      <x:c r="I284" s="4">
        <x:v>2023</x:v>
      </x:c>
      <x:c r="J284" s="8" t="s">
        <x:v>2617</x:v>
      </x:c>
      <x:c r="K284" s="1" t="s">
        <x:v>182</x:v>
      </x:c>
      <x:c r="L284" s="8" t="s">
        <x:v>3524</x:v>
      </x:c>
      <x:c r="M284" s="1" t="s">
        <x:v>61</x:v>
      </x:c>
      <x:c r="N284" s="8"/>
      <x:c r="O284" s="1"/>
      <x:c r="P284" s="8"/>
      <x:c r="Q284" s="1"/>
      <x:c r="R284" s="8" t="s">
        <x:v>3525</x:v>
      </x:c>
      <x:c r="S284" s="3"/>
      <x:c r="T284" s="8" t="s">
        <x:v>63</x:v>
      </x:c>
      <x:c r="U284" s="1" t="s">
        <x:v>3526</x:v>
      </x:c>
      <x:c r="V284" s="13">
        <x:v>5</x:v>
      </x:c>
      <x:c r="W284" s="1" t="s">
        <x:v>65</x:v>
      </x:c>
      <x:c r="X284" s="8" t="s">
        <x:v>66</x:v>
      </x:c>
      <x:c r="Y284" s="1" t="str">
        <x:v>Проверено автором исследования</x:v>
      </x:c>
      <x:c r="Z284" s="8" t="s">
        <x:v>3527</x:v>
      </x:c>
      <x:c r="AA284" s="1" t="s">
        <x:v>3528</x:v>
      </x:c>
      <x:c r="AB284" s="13">
        <x:v>2026</x:v>
      </x:c>
      <x:c r="AC284" s="3">
        <x:v>46322</x:v>
      </x:c>
      <x:c r="AD284" s="8" t="s">
        <x:v>69</x:v>
      </x:c>
      <x:c r="AE284" s="1" t="s">
        <x:v>3529</x:v>
      </x:c>
      <x:c r="AF284" s="8" t="s">
        <x:v>118</x:v>
      </x:c>
      <x:c r="AG284" s="1" t="s">
        <x:v>3530</x:v>
      </x:c>
      <x:c r="AH284" s="8" t="str">
        <x:v>Краткая затекстовая ссылка; повторная документальная сверка выполнена</x:v>
      </x:c>
      <x:c r="AI284" s="1"/>
      <x:c r="AJ284" s="17"/>
      <x:c r="AK284" s="1" t="s">
        <x:v>73</x:v>
      </x:c>
      <x:c r="AL284" s="8" t="s">
        <x:v>74</x:v>
      </x:c>
      <x:c r="AM284" s="1"/>
      <x:c r="AN284" s="8" t="s">
        <x:v>75</x:v>
      </x:c>
      <x:c r="AO284" s="1" t="s">
        <x:v>76</x:v>
      </x:c>
      <x:c r="AP284" s="8"/>
      <x:c r="AQ284" s="1" t="s">
        <x:v>77</x:v>
      </x:c>
      <x:c r="AR284" s="8" t="str">
        <x:v>Проверка автором исследования</x:v>
      </x:c>
      <x:c r="AS284" s="1" t="s">
        <x:v>3531</x:v>
      </x:c>
      <x:c r="AT284" s="8" t="s">
        <x:v>3532</x:v>
      </x:c>
      <x:c r="AU284" s="1" t="s">
        <x:v>3533</x:v>
      </x:c>
      <x:c r="AV284" s="17">
        <x:v>46321</x:v>
      </x:c>
      <x:c r="AW284" s="1" t="s">
        <x:v>81</x:v>
      </x:c>
      <x:c r="AX284" s="8" t="s">
        <x:v>82</x:v>
      </x:c>
      <x:c r="AY284" s="8"/>
    </x:row>
    <x:row r="285" ht="69.94999694824219" customHeight="1">
      <x:c r="A285" s="1" t="s">
        <x:v>3534</x:v>
      </x:c>
      <x:c r="B285" s="8" t="s">
        <x:v>3535</x:v>
      </x:c>
      <x:c r="C285" s="1" t="s">
        <x:v>3536</x:v>
      </x:c>
      <x:c r="D285" s="8" t="s">
        <x:v>73</x:v>
      </x:c>
      <x:c r="E285" s="1" t="s">
        <x:v>76</x:v>
      </x:c>
      <x:c r="F285" s="8" t="s">
        <x:v>3537</x:v>
      </x:c>
      <x:c r="G285" s="1" t="s">
        <x:v>3538</x:v>
      </x:c>
      <x:c r="H285" s="8" t="s">
        <x:v>3393</x:v>
      </x:c>
      <x:c r="I285" s="4">
        <x:v>2012</x:v>
      </x:c>
      <x:c r="J285" s="8" t="s">
        <x:v>485</x:v>
      </x:c>
      <x:c r="K285" s="1" t="s">
        <x:v>190</x:v>
      </x:c>
      <x:c r="L285" s="8" t="s">
        <x:v>3539</x:v>
      </x:c>
      <x:c r="M285" s="1" t="s">
        <x:v>61</x:v>
      </x:c>
      <x:c r="N285" s="8"/>
      <x:c r="O285" s="1"/>
      <x:c r="P285" s="8"/>
      <x:c r="Q285" s="1"/>
      <x:c r="R285" s="8"/>
      <x:c r="S285" s="3"/>
      <x:c r="T285" s="8" t="s">
        <x:v>63</x:v>
      </x:c>
      <x:c r="U285" s="1" t="s">
        <x:v>3540</x:v>
      </x:c>
      <x:c r="V285" s="13">
        <x:v>33</x:v>
      </x:c>
      <x:c r="W285" s="1" t="s">
        <x:v>140</x:v>
      </x:c>
      <x:c r="X285" s="8" t="s">
        <x:v>66</x:v>
      </x:c>
      <x:c r="Y285" s="1" t="str">
        <x:v>Проверено автором; дополнительно проверено Михаилом Саяпиным</x:v>
      </x:c>
      <x:c r="Z285" s="8"/>
      <x:c r="AA285" s="1" t="s">
        <x:v>3541</x:v>
      </x:c>
      <x:c r="AB285" s="13">
        <x:v>2026</x:v>
      </x:c>
      <x:c r="AC285" s="3"/>
      <x:c r="AD285" s="8" t="s">
        <x:v>93</x:v>
      </x:c>
      <x:c r="AE285" s="1" t="s">
        <x:v>3542</x:v>
      </x:c>
      <x:c r="AF285" s="8" t="s">
        <x:v>118</x:v>
      </x:c>
      <x:c r="AG285" s="1" t="s">
        <x:v>3543</x:v>
      </x:c>
      <x:c r="AH285" s="8" t="s">
        <x:v>144</x:v>
      </x:c>
      <x:c r="AI285" s="1" t="s">
        <x:v>145</x:v>
      </x:c>
      <x:c r="AJ285" s="17">
        <x:v>46323</x:v>
      </x:c>
      <x:c r="AK285" s="1" t="s">
        <x:v>73</x:v>
      </x:c>
      <x:c r="AL285" s="8" t="s">
        <x:v>74</x:v>
      </x:c>
      <x:c r="AM285" s="1"/>
      <x:c r="AN285" s="8" t="s">
        <x:v>95</x:v>
      </x:c>
      <x:c r="AO285" s="1" t="s">
        <x:v>76</x:v>
      </x:c>
      <x:c r="AP285" s="8"/>
      <x:c r="AQ285" s="1" t="s">
        <x:v>77</x:v>
      </x:c>
      <x:c r="AR285" s="8" t="str">
        <x:v>Проверка автором исследования; дополнительная проверка Михаилом Саяпиным; согласование 28.10.2026</x:v>
      </x:c>
      <x:c r="AS285" s="1"/>
      <x:c r="AT285" s="8" t="s">
        <x:v>96</x:v>
      </x:c>
      <x:c r="AU285" s="1" t="s">
        <x:v>97</x:v>
      </x:c>
      <x:c r="AV285" s="17"/>
      <x:c r="AW285" s="1" t="s">
        <x:v>98</x:v>
      </x:c>
      <x:c r="AX285" s="8" t="s">
        <x:v>146</x:v>
      </x:c>
      <x:c r="AY285" s="8" t="s">
        <x:v>3544</x:v>
      </x:c>
    </x:row>
    <x:row r="286" ht="111.94999694824219" customHeight="1">
      <x:c r="A286" s="1" t="s">
        <x:v>3545</x:v>
      </x:c>
      <x:c r="B286" s="8" t="s">
        <x:v>3546</x:v>
      </x:c>
      <x:c r="C286" s="1" t="s">
        <x:v>3547</x:v>
      </x:c>
      <x:c r="D286" s="8" t="s">
        <x:v>53</x:v>
      </x:c>
      <x:c r="E286" s="1" t="s">
        <x:v>54</x:v>
      </x:c>
      <x:c r="F286" s="8" t="s">
        <x:v>3548</x:v>
      </x:c>
      <x:c r="G286" s="1" t="s">
        <x:v>3549</x:v>
      </x:c>
      <x:c r="H286" s="8" t="s">
        <x:v>3550</x:v>
      </x:c>
      <x:c r="I286" s="4">
        <x:v>2022</x:v>
      </x:c>
      <x:c r="J286" s="8" t="s">
        <x:v>3551</x:v>
      </x:c>
      <x:c r="K286" s="1" t="s">
        <x:v>239</x:v>
      </x:c>
      <x:c r="L286" s="8" t="s">
        <x:v>3552</x:v>
      </x:c>
      <x:c r="M286" s="1" t="s">
        <x:v>61</x:v>
      </x:c>
      <x:c r="N286" s="8"/>
      <x:c r="O286" s="1"/>
      <x:c r="P286" s="8"/>
      <x:c r="Q286" s="1"/>
      <x:c r="R286" s="8" t="s">
        <x:v>3553</x:v>
      </x:c>
      <x:c r="S286" s="3"/>
      <x:c r="T286" s="8" t="s">
        <x:v>63</x:v>
      </x:c>
      <x:c r="U286" s="1" t="s">
        <x:v>3554</x:v>
      </x:c>
      <x:c r="V286" s="13">
        <x:v>2</x:v>
      </x:c>
      <x:c r="W286" s="1" t="s">
        <x:v>65</x:v>
      </x:c>
      <x:c r="X286" s="8" t="s">
        <x:v>66</x:v>
      </x:c>
      <x:c r="Y286" s="1" t="str">
        <x:v>Проверено автором исследования</x:v>
      </x:c>
      <x:c r="Z286" s="8" t="s">
        <x:v>3555</x:v>
      </x:c>
      <x:c r="AA286" s="1" t="s">
        <x:v>3556</x:v>
      </x:c>
      <x:c r="AB286" s="13">
        <x:v>2026</x:v>
      </x:c>
      <x:c r="AC286" s="3">
        <x:v>46322</x:v>
      </x:c>
      <x:c r="AD286" s="8" t="s">
        <x:v>69</x:v>
      </x:c>
      <x:c r="AE286" s="1" t="s">
        <x:v>3557</x:v>
      </x:c>
      <x:c r="AF286" s="8" t="s">
        <x:v>118</x:v>
      </x:c>
      <x:c r="AG286" s="1" t="s">
        <x:v>3558</x:v>
      </x:c>
      <x:c r="AH286" s="8" t="str">
        <x:v>Краткая затекстовая ссылка; повторная документальная сверка выполнена</x:v>
      </x:c>
      <x:c r="AI286" s="1"/>
      <x:c r="AJ286" s="17"/>
      <x:c r="AK286" s="1" t="s">
        <x:v>73</x:v>
      </x:c>
      <x:c r="AL286" s="8" t="s">
        <x:v>74</x:v>
      </x:c>
      <x:c r="AM286" s="1"/>
      <x:c r="AN286" s="8" t="s">
        <x:v>75</x:v>
      </x:c>
      <x:c r="AO286" s="1" t="s">
        <x:v>76</x:v>
      </x:c>
      <x:c r="AP286" s="8"/>
      <x:c r="AQ286" s="1" t="s">
        <x:v>77</x:v>
      </x:c>
      <x:c r="AR286" s="8" t="str">
        <x:v>Проверка автором исследования</x:v>
      </x:c>
      <x:c r="AS286" s="1" t="s">
        <x:v>3559</x:v>
      </x:c>
      <x:c r="AT286" s="8" t="s">
        <x:v>3560</x:v>
      </x:c>
      <x:c r="AU286" s="1" t="s">
        <x:v>3561</x:v>
      </x:c>
      <x:c r="AV286" s="17">
        <x:v>46321</x:v>
      </x:c>
      <x:c r="AW286" s="1" t="s">
        <x:v>81</x:v>
      </x:c>
      <x:c r="AX286" s="8" t="s">
        <x:v>82</x:v>
      </x:c>
      <x:c r="AY286" s="8"/>
    </x:row>
    <x:row r="287" ht="69.94999694824219" customHeight="1">
      <x:c r="A287" s="1" t="s">
        <x:v>3562</x:v>
      </x:c>
      <x:c r="B287" s="8" t="s">
        <x:v>3563</x:v>
      </x:c>
      <x:c r="C287" s="1" t="s">
        <x:v>3564</x:v>
      </x:c>
      <x:c r="D287" s="8" t="s">
        <x:v>73</x:v>
      </x:c>
      <x:c r="E287" s="1" t="s">
        <x:v>76</x:v>
      </x:c>
      <x:c r="F287" s="8" t="s">
        <x:v>3565</x:v>
      </x:c>
      <x:c r="G287" s="1" t="s">
        <x:v>3566</x:v>
      </x:c>
      <x:c r="H287" s="8" t="s">
        <x:v>3567</x:v>
      </x:c>
      <x:c r="I287" s="4">
        <x:v>2023</x:v>
      </x:c>
      <x:c r="J287" s="8" t="s">
        <x:v>801</x:v>
      </x:c>
      <x:c r="K287" s="1" t="s">
        <x:v>416</x:v>
      </x:c>
      <x:c r="L287" s="8" t="s">
        <x:v>3568</x:v>
      </x:c>
      <x:c r="M287" s="1" t="s">
        <x:v>61</x:v>
      </x:c>
      <x:c r="N287" s="8"/>
      <x:c r="O287" s="1"/>
      <x:c r="P287" s="8"/>
      <x:c r="Q287" s="1"/>
      <x:c r="R287" s="8" t="s">
        <x:v>3569</x:v>
      </x:c>
      <x:c r="S287" s="3"/>
      <x:c r="T287" s="8" t="s">
        <x:v>63</x:v>
      </x:c>
      <x:c r="U287" s="1" t="s">
        <x:v>3554</x:v>
      </x:c>
      <x:c r="V287" s="13">
        <x:v>3</x:v>
      </x:c>
      <x:c r="W287" s="1" t="s">
        <x:v>65</x:v>
      </x:c>
      <x:c r="X287" s="8" t="s">
        <x:v>66</x:v>
      </x:c>
      <x:c r="Y287" s="1" t="str">
        <x:v>Проверено автором исследования</x:v>
      </x:c>
      <x:c r="Z287" s="8" t="s">
        <x:v>3570</x:v>
      </x:c>
      <x:c r="AA287" s="1" t="s">
        <x:v>3556</x:v>
      </x:c>
      <x:c r="AB287" s="13">
        <x:v>2026</x:v>
      </x:c>
      <x:c r="AC287" s="3"/>
      <x:c r="AD287" s="8" t="s">
        <x:v>93</x:v>
      </x:c>
      <x:c r="AE287" s="1" t="s">
        <x:v>3571</x:v>
      </x:c>
      <x:c r="AF287" s="8" t="s">
        <x:v>118</x:v>
      </x:c>
      <x:c r="AG287" s="1" t="s">
        <x:v>3558</x:v>
      </x:c>
      <x:c r="AH287" s="8" t="str">
        <x:v>Краткая затекстовая ссылка; повторная документальная сверка выполнена</x:v>
      </x:c>
      <x:c r="AI287" s="1"/>
      <x:c r="AJ287" s="17"/>
      <x:c r="AK287" s="1" t="s">
        <x:v>73</x:v>
      </x:c>
      <x:c r="AL287" s="8" t="s">
        <x:v>74</x:v>
      </x:c>
      <x:c r="AM287" s="1"/>
      <x:c r="AN287" s="8" t="s">
        <x:v>95</x:v>
      </x:c>
      <x:c r="AO287" s="1" t="s">
        <x:v>76</x:v>
      </x:c>
      <x:c r="AP287" s="8"/>
      <x:c r="AQ287" s="1" t="s">
        <x:v>77</x:v>
      </x:c>
      <x:c r="AR287" s="8" t="str">
        <x:v>Проверка автором исследования</x:v>
      </x:c>
      <x:c r="AS287" s="1"/>
      <x:c r="AT287" s="8" t="s">
        <x:v>96</x:v>
      </x:c>
      <x:c r="AU287" s="1" t="s">
        <x:v>447</x:v>
      </x:c>
      <x:c r="AV287" s="17">
        <x:v>46321</x:v>
      </x:c>
      <x:c r="AW287" s="1" t="s">
        <x:v>81</x:v>
      </x:c>
      <x:c r="AX287" s="8" t="s">
        <x:v>82</x:v>
      </x:c>
      <x:c r="AY287" s="8"/>
    </x:row>
    <x:row r="288" ht="69.94999694824219" customHeight="1">
      <x:c r="A288" s="1" t="s">
        <x:v>3572</x:v>
      </x:c>
      <x:c r="B288" s="8" t="s">
        <x:v>3573</x:v>
      </x:c>
      <x:c r="C288" s="1" t="s">
        <x:v>3574</x:v>
      </x:c>
      <x:c r="D288" s="8" t="s">
        <x:v>73</x:v>
      </x:c>
      <x:c r="E288" s="1" t="s">
        <x:v>76</x:v>
      </x:c>
      <x:c r="F288" s="8" t="s">
        <x:v>3575</x:v>
      </x:c>
      <x:c r="G288" s="1" t="s">
        <x:v>3576</x:v>
      </x:c>
      <x:c r="H288" s="8" t="s">
        <x:v>3577</x:v>
      </x:c>
      <x:c r="I288" s="4">
        <x:v>2013</x:v>
      </x:c>
      <x:c r="J288" s="8"/>
      <x:c r="K288" s="1" t="s">
        <x:v>182</x:v>
      </x:c>
      <x:c r="L288" s="8" t="s">
        <x:v>3578</x:v>
      </x:c>
      <x:c r="M288" s="1" t="s">
        <x:v>61</x:v>
      </x:c>
      <x:c r="N288" s="8"/>
      <x:c r="O288" s="1"/>
      <x:c r="P288" s="8"/>
      <x:c r="Q288" s="1"/>
      <x:c r="R288" s="8"/>
      <x:c r="S288" s="3"/>
      <x:c r="T288" s="8" t="s">
        <x:v>63</x:v>
      </x:c>
      <x:c r="U288" s="1" t="s">
        <x:v>3554</x:v>
      </x:c>
      <x:c r="V288" s="13">
        <x:v>4</x:v>
      </x:c>
      <x:c r="W288" s="1" t="s">
        <x:v>65</x:v>
      </x:c>
      <x:c r="X288" s="8" t="s">
        <x:v>66</x:v>
      </x:c>
      <x:c r="Y288" s="1" t="str">
        <x:v>Проверено автором исследования</x:v>
      </x:c>
      <x:c r="Z288" s="8"/>
      <x:c r="AA288" s="1" t="s">
        <x:v>3556</x:v>
      </x:c>
      <x:c r="AB288" s="13">
        <x:v>2026</x:v>
      </x:c>
      <x:c r="AC288" s="3"/>
      <x:c r="AD288" s="8" t="s">
        <x:v>93</x:v>
      </x:c>
      <x:c r="AE288" s="1" t="s">
        <x:v>3579</x:v>
      </x:c>
      <x:c r="AF288" s="8" t="s">
        <x:v>118</x:v>
      </x:c>
      <x:c r="AG288" s="1" t="s">
        <x:v>3558</x:v>
      </x:c>
      <x:c r="AH288" s="8" t="str">
        <x:v>Краткая затекстовая ссылка; повторная документальная сверка выполнена</x:v>
      </x:c>
      <x:c r="AI288" s="1"/>
      <x:c r="AJ288" s="17"/>
      <x:c r="AK288" s="1" t="s">
        <x:v>73</x:v>
      </x:c>
      <x:c r="AL288" s="8" t="s">
        <x:v>74</x:v>
      </x:c>
      <x:c r="AM288" s="1"/>
      <x:c r="AN288" s="8" t="s">
        <x:v>95</x:v>
      </x:c>
      <x:c r="AO288" s="1" t="s">
        <x:v>76</x:v>
      </x:c>
      <x:c r="AP288" s="8"/>
      <x:c r="AQ288" s="1" t="s">
        <x:v>77</x:v>
      </x:c>
      <x:c r="AR288" s="8" t="str">
        <x:v>Проверка автором исследования</x:v>
      </x:c>
      <x:c r="AS288" s="1"/>
      <x:c r="AT288" s="8" t="s">
        <x:v>96</x:v>
      </x:c>
      <x:c r="AU288" s="1" t="s">
        <x:v>97</x:v>
      </x:c>
      <x:c r="AV288" s="17"/>
      <x:c r="AW288" s="1" t="s">
        <x:v>98</x:v>
      </x:c>
      <x:c r="AX288" s="8" t="s">
        <x:v>82</x:v>
      </x:c>
      <x:c r="AY288" s="8"/>
    </x:row>
    <x:row r="289" ht="69.94999694824219" customHeight="1">
      <x:c r="A289" s="1" t="s">
        <x:v>3580</x:v>
      </x:c>
      <x:c r="B289" s="8" t="s">
        <x:v>3581</x:v>
      </x:c>
      <x:c r="C289" s="1" t="s">
        <x:v>3582</x:v>
      </x:c>
      <x:c r="D289" s="8" t="s">
        <x:v>86</x:v>
      </x:c>
      <x:c r="E289" s="1" t="s">
        <x:v>76</x:v>
      </x:c>
      <x:c r="F289" s="8" t="s">
        <x:v>3583</x:v>
      </x:c>
      <x:c r="G289" s="1" t="s">
        <x:v>3584</x:v>
      </x:c>
      <x:c r="H289" s="8"/>
      <x:c r="I289" s="4">
        <x:v>2024</x:v>
      </x:c>
      <x:c r="J289" s="8"/>
      <x:c r="K289" s="1"/>
      <x:c r="L289" s="8" t="s">
        <x:v>3585</x:v>
      </x:c>
      <x:c r="M289" s="1" t="s">
        <x:v>90</x:v>
      </x:c>
      <x:c r="N289" s="8" t="s">
        <x:v>3586</x:v>
      </x:c>
      <x:c r="O289" s="1" t="s">
        <x:v>1122</x:v>
      </x:c>
      <x:c r="P289" s="8"/>
      <x:c r="Q289" s="1"/>
      <x:c r="R289" s="8" t="s">
        <x:v>3587</x:v>
      </x:c>
      <x:c r="S289" s="3"/>
      <x:c r="T289" s="8" t="s">
        <x:v>63</x:v>
      </x:c>
      <x:c r="U289" s="1" t="s">
        <x:v>3588</x:v>
      </x:c>
      <x:c r="V289" s="13">
        <x:v>6</x:v>
      </x:c>
      <x:c r="W289" s="1" t="s">
        <x:v>65</x:v>
      </x:c>
      <x:c r="X289" s="8" t="s">
        <x:v>66</x:v>
      </x:c>
      <x:c r="Y289" s="1" t="str">
        <x:v>Проверено автором исследования</x:v>
      </x:c>
      <x:c r="Z289" s="8" t="s">
        <x:v>3589</x:v>
      </x:c>
      <x:c r="AA289" s="1" t="s">
        <x:v>3590</x:v>
      </x:c>
      <x:c r="AB289" s="13">
        <x:v>2025</x:v>
      </x:c>
      <x:c r="AC289" s="3"/>
      <x:c r="AD289" s="8" t="s">
        <x:v>93</x:v>
      </x:c>
      <x:c r="AE289" s="1" t="s">
        <x:v>3591</x:v>
      </x:c>
      <x:c r="AF289" s="8" t="s">
        <x:v>71</x:v>
      </x:c>
      <x:c r="AG289" s="1" t="s">
        <x:v>3592</x:v>
      </x:c>
      <x:c r="AH289" s="8" t="str">
        <x:v>Краткая затекстовая ссылка; повторная документальная сверка выполнена</x:v>
      </x:c>
      <x:c r="AI289" s="1"/>
      <x:c r="AJ289" s="17"/>
      <x:c r="AK289" s="1" t="s">
        <x:v>73</x:v>
      </x:c>
      <x:c r="AL289" s="8" t="s">
        <x:v>74</x:v>
      </x:c>
      <x:c r="AM289" s="1"/>
      <x:c r="AN289" s="8" t="s">
        <x:v>95</x:v>
      </x:c>
      <x:c r="AO289" s="1" t="s">
        <x:v>76</x:v>
      </x:c>
      <x:c r="AP289" s="8"/>
      <x:c r="AQ289" s="1" t="s">
        <x:v>77</x:v>
      </x:c>
      <x:c r="AR289" s="8" t="str">
        <x:v>Проверка автором исследования</x:v>
      </x:c>
      <x:c r="AS289" s="1"/>
      <x:c r="AT289" s="8" t="s">
        <x:v>96</x:v>
      </x:c>
      <x:c r="AU289" s="1" t="s">
        <x:v>447</x:v>
      </x:c>
      <x:c r="AV289" s="17">
        <x:v>46321</x:v>
      </x:c>
      <x:c r="AW289" s="1" t="s">
        <x:v>81</x:v>
      </x:c>
      <x:c r="AX289" s="8" t="s">
        <x:v>82</x:v>
      </x:c>
      <x:c r="AY289" s="8"/>
    </x:row>
    <x:row r="290" ht="69.94999694824219" customHeight="1">
      <x:c r="A290" s="1" t="s">
        <x:v>3593</x:v>
      </x:c>
      <x:c r="B290" s="8" t="s">
        <x:v>3594</x:v>
      </x:c>
      <x:c r="C290" s="1" t="s">
        <x:v>3595</x:v>
      </x:c>
      <x:c r="D290" s="8" t="s">
        <x:v>73</x:v>
      </x:c>
      <x:c r="E290" s="1" t="s">
        <x:v>76</x:v>
      </x:c>
      <x:c r="F290" s="8" t="s">
        <x:v>3596</x:v>
      </x:c>
      <x:c r="G290" s="1" t="s">
        <x:v>3597</x:v>
      </x:c>
      <x:c r="H290" s="8" t="s">
        <x:v>3598</x:v>
      </x:c>
      <x:c r="I290" s="4">
        <x:v>2013</x:v>
      </x:c>
      <x:c r="J290" s="8"/>
      <x:c r="K290" s="1" t="s">
        <x:v>3599</x:v>
      </x:c>
      <x:c r="L290" s="8" t="s">
        <x:v>3600</x:v>
      </x:c>
      <x:c r="M290" s="1" t="s">
        <x:v>61</x:v>
      </x:c>
      <x:c r="N290" s="8"/>
      <x:c r="O290" s="1"/>
      <x:c r="P290" s="8"/>
      <x:c r="Q290" s="1"/>
      <x:c r="R290" s="8"/>
      <x:c r="S290" s="3"/>
      <x:c r="T290" s="8" t="s">
        <x:v>63</x:v>
      </x:c>
      <x:c r="U290" s="1" t="s">
        <x:v>3588</x:v>
      </x:c>
      <x:c r="V290" s="13">
        <x:v>7</x:v>
      </x:c>
      <x:c r="W290" s="1" t="s">
        <x:v>140</x:v>
      </x:c>
      <x:c r="X290" s="8" t="s">
        <x:v>66</x:v>
      </x:c>
      <x:c r="Y290" s="1" t="str">
        <x:v>Проверено автором; дополнительно проверено Михаилом Саяпиным</x:v>
      </x:c>
      <x:c r="Z290" s="8"/>
      <x:c r="AA290" s="1" t="s">
        <x:v>3590</x:v>
      </x:c>
      <x:c r="AB290" s="13">
        <x:v>2025</x:v>
      </x:c>
      <x:c r="AC290" s="3"/>
      <x:c r="AD290" s="8" t="s">
        <x:v>93</x:v>
      </x:c>
      <x:c r="AE290" s="1" t="s">
        <x:v>3601</x:v>
      </x:c>
      <x:c r="AF290" s="8" t="s">
        <x:v>71</x:v>
      </x:c>
      <x:c r="AG290" s="1" t="s">
        <x:v>3592</x:v>
      </x:c>
      <x:c r="AH290" s="8" t="s">
        <x:v>144</x:v>
      </x:c>
      <x:c r="AI290" s="1" t="s">
        <x:v>145</x:v>
      </x:c>
      <x:c r="AJ290" s="17">
        <x:v>46323</x:v>
      </x:c>
      <x:c r="AK290" s="1" t="s">
        <x:v>73</x:v>
      </x:c>
      <x:c r="AL290" s="8" t="s">
        <x:v>74</x:v>
      </x:c>
      <x:c r="AM290" s="1"/>
      <x:c r="AN290" s="8" t="s">
        <x:v>95</x:v>
      </x:c>
      <x:c r="AO290" s="1" t="s">
        <x:v>76</x:v>
      </x:c>
      <x:c r="AP290" s="8"/>
      <x:c r="AQ290" s="1" t="s">
        <x:v>77</x:v>
      </x:c>
      <x:c r="AR290" s="8" t="str">
        <x:v>Проверка автором исследования; дополнительная проверка Михаилом Саяпиным; согласование 28.10.2026</x:v>
      </x:c>
      <x:c r="AS290" s="1"/>
      <x:c r="AT290" s="8" t="s">
        <x:v>96</x:v>
      </x:c>
      <x:c r="AU290" s="1" t="s">
        <x:v>97</x:v>
      </x:c>
      <x:c r="AV290" s="17"/>
      <x:c r="AW290" s="1" t="s">
        <x:v>98</x:v>
      </x:c>
      <x:c r="AX290" s="8" t="s">
        <x:v>146</x:v>
      </x:c>
      <x:c r="AY290" s="8" t="s">
        <x:v>3602</x:v>
      </x:c>
    </x:row>
    <x:row r="291" ht="69.94999694824219" customHeight="1">
      <x:c r="A291" s="1" t="s">
        <x:v>3603</x:v>
      </x:c>
      <x:c r="B291" s="8" t="s">
        <x:v>3604</x:v>
      </x:c>
      <x:c r="C291" s="1" t="s">
        <x:v>3605</x:v>
      </x:c>
      <x:c r="D291" s="8" t="s">
        <x:v>73</x:v>
      </x:c>
      <x:c r="E291" s="1" t="s">
        <x:v>76</x:v>
      </x:c>
      <x:c r="F291" s="8" t="s">
        <x:v>3606</x:v>
      </x:c>
      <x:c r="G291" s="1" t="s">
        <x:v>3607</x:v>
      </x:c>
      <x:c r="H291" s="8" t="s">
        <x:v>3608</x:v>
      </x:c>
      <x:c r="I291" s="4">
        <x:v>2015</x:v>
      </x:c>
      <x:c r="J291" s="8"/>
      <x:c r="K291" s="1" t="s">
        <x:v>3609</x:v>
      </x:c>
      <x:c r="L291" s="8" t="s">
        <x:v>3610</x:v>
      </x:c>
      <x:c r="M291" s="1" t="s">
        <x:v>61</x:v>
      </x:c>
      <x:c r="N291" s="8"/>
      <x:c r="O291" s="1"/>
      <x:c r="P291" s="8"/>
      <x:c r="Q291" s="1"/>
      <x:c r="R291" s="8" t="s">
        <x:v>3611</x:v>
      </x:c>
      <x:c r="S291" s="3"/>
      <x:c r="T291" s="8" t="s">
        <x:v>63</x:v>
      </x:c>
      <x:c r="U291" s="1" t="s">
        <x:v>3588</x:v>
      </x:c>
      <x:c r="V291" s="13">
        <x:v>8</x:v>
      </x:c>
      <x:c r="W291" s="1" t="s">
        <x:v>65</x:v>
      </x:c>
      <x:c r="X291" s="8" t="s">
        <x:v>66</x:v>
      </x:c>
      <x:c r="Y291" s="1" t="str">
        <x:v>Проверено автором исследования</x:v>
      </x:c>
      <x:c r="Z291" s="8" t="s">
        <x:v>3612</x:v>
      </x:c>
      <x:c r="AA291" s="1" t="s">
        <x:v>3590</x:v>
      </x:c>
      <x:c r="AB291" s="13">
        <x:v>2025</x:v>
      </x:c>
      <x:c r="AC291" s="3"/>
      <x:c r="AD291" s="8" t="s">
        <x:v>93</x:v>
      </x:c>
      <x:c r="AE291" s="1" t="s">
        <x:v>3613</x:v>
      </x:c>
      <x:c r="AF291" s="8" t="s">
        <x:v>71</x:v>
      </x:c>
      <x:c r="AG291" s="1" t="s">
        <x:v>3592</x:v>
      </x:c>
      <x:c r="AH291" s="8" t="str">
        <x:v>Краткая затекстовая ссылка; повторная документальная сверка выполнена</x:v>
      </x:c>
      <x:c r="AI291" s="1"/>
      <x:c r="AJ291" s="17"/>
      <x:c r="AK291" s="1" t="s">
        <x:v>73</x:v>
      </x:c>
      <x:c r="AL291" s="8" t="s">
        <x:v>74</x:v>
      </x:c>
      <x:c r="AM291" s="1"/>
      <x:c r="AN291" s="8" t="s">
        <x:v>95</x:v>
      </x:c>
      <x:c r="AO291" s="1" t="s">
        <x:v>76</x:v>
      </x:c>
      <x:c r="AP291" s="8"/>
      <x:c r="AQ291" s="1" t="s">
        <x:v>77</x:v>
      </x:c>
      <x:c r="AR291" s="8" t="str">
        <x:v>Проверка автором исследования</x:v>
      </x:c>
      <x:c r="AS291" s="1"/>
      <x:c r="AT291" s="8" t="s">
        <x:v>96</x:v>
      </x:c>
      <x:c r="AU291" s="1" t="s">
        <x:v>447</x:v>
      </x:c>
      <x:c r="AV291" s="17">
        <x:v>46321</x:v>
      </x:c>
      <x:c r="AW291" s="1" t="s">
        <x:v>81</x:v>
      </x:c>
      <x:c r="AX291" s="8" t="s">
        <x:v>82</x:v>
      </x:c>
      <x:c r="AY291" s="8"/>
    </x:row>
    <x:row r="292" ht="69.94999694824219" customHeight="1">
      <x:c r="A292" s="1" t="s">
        <x:v>3614</x:v>
      </x:c>
      <x:c r="B292" s="8" t="s">
        <x:v>3615</x:v>
      </x:c>
      <x:c r="C292" s="1" t="s">
        <x:v>3616</x:v>
      </x:c>
      <x:c r="D292" s="8" t="s">
        <x:v>86</x:v>
      </x:c>
      <x:c r="E292" s="1" t="s">
        <x:v>76</x:v>
      </x:c>
      <x:c r="F292" s="8" t="s">
        <x:v>3617</x:v>
      </x:c>
      <x:c r="G292" s="1" t="s">
        <x:v>3618</x:v>
      </x:c>
      <x:c r="H292" s="8"/>
      <x:c r="I292" s="4">
        <x:v>1990</x:v>
      </x:c>
      <x:c r="J292" s="8"/>
      <x:c r="K292" s="1"/>
      <x:c r="L292" s="8" t="s">
        <x:v>199</x:v>
      </x:c>
      <x:c r="M292" s="1" t="s">
        <x:v>90</x:v>
      </x:c>
      <x:c r="N292" s="8" t="s">
        <x:v>2130</x:v>
      </x:c>
      <x:c r="O292" s="1" t="s">
        <x:v>1122</x:v>
      </x:c>
      <x:c r="P292" s="8"/>
      <x:c r="Q292" s="1"/>
      <x:c r="R292" s="8"/>
      <x:c r="S292" s="3"/>
      <x:c r="T292" s="8" t="s">
        <x:v>63</x:v>
      </x:c>
      <x:c r="U292" s="1" t="s">
        <x:v>3619</x:v>
      </x:c>
      <x:c r="V292" s="13">
        <x:v>1</x:v>
      </x:c>
      <x:c r="W292" s="1" t="s">
        <x:v>65</x:v>
      </x:c>
      <x:c r="X292" s="8" t="s">
        <x:v>66</x:v>
      </x:c>
      <x:c r="Y292" s="1" t="str">
        <x:v>Проверено автором исследования</x:v>
      </x:c>
      <x:c r="Z292" s="8"/>
      <x:c r="AA292" s="1" t="s">
        <x:v>3620</x:v>
      </x:c>
      <x:c r="AB292" s="13">
        <x:v>2025</x:v>
      </x:c>
      <x:c r="AC292" s="3"/>
      <x:c r="AD292" s="8" t="s">
        <x:v>93</x:v>
      </x:c>
      <x:c r="AE292" s="1"/>
      <x:c r="AF292" s="8" t="s">
        <x:v>118</x:v>
      </x:c>
      <x:c r="AG292" s="1" t="s">
        <x:v>3621</x:v>
      </x:c>
      <x:c r="AH292" s="8" t="str">
        <x:v>Краткая затекстовая ссылка; повторная документальная сверка выполнена</x:v>
      </x:c>
      <x:c r="AI292" s="1"/>
      <x:c r="AJ292" s="17"/>
      <x:c r="AK292" s="1" t="s">
        <x:v>73</x:v>
      </x:c>
      <x:c r="AL292" s="8" t="s">
        <x:v>74</x:v>
      </x:c>
      <x:c r="AM292" s="1"/>
      <x:c r="AN292" s="8" t="s">
        <x:v>95</x:v>
      </x:c>
      <x:c r="AO292" s="1" t="s">
        <x:v>76</x:v>
      </x:c>
      <x:c r="AP292" s="8"/>
      <x:c r="AQ292" s="1" t="s">
        <x:v>77</x:v>
      </x:c>
      <x:c r="AR292" s="8" t="str">
        <x:v>Проверка автором исследования</x:v>
      </x:c>
      <x:c r="AS292" s="1"/>
      <x:c r="AT292" s="8" t="s">
        <x:v>96</x:v>
      </x:c>
      <x:c r="AU292" s="1" t="s">
        <x:v>97</x:v>
      </x:c>
      <x:c r="AV292" s="17"/>
      <x:c r="AW292" s="1" t="s">
        <x:v>98</x:v>
      </x:c>
      <x:c r="AX292" s="8" t="s">
        <x:v>82</x:v>
      </x:c>
      <x:c r="AY292" s="8"/>
    </x:row>
    <x:row r="293" ht="69.94999694824219" customHeight="1">
      <x:c r="A293" s="1" t="s">
        <x:v>3622</x:v>
      </x:c>
      <x:c r="B293" s="8" t="s">
        <x:v>3623</x:v>
      </x:c>
      <x:c r="C293" s="1" t="s">
        <x:v>3624</x:v>
      </x:c>
      <x:c r="D293" s="8" t="s">
        <x:v>73</x:v>
      </x:c>
      <x:c r="E293" s="1" t="s">
        <x:v>76</x:v>
      </x:c>
      <x:c r="F293" s="8" t="s">
        <x:v>3625</x:v>
      </x:c>
      <x:c r="G293" s="1" t="s">
        <x:v>3626</x:v>
      </x:c>
      <x:c r="H293" s="8" t="s">
        <x:v>3627</x:v>
      </x:c>
      <x:c r="I293" s="4">
        <x:v>2013</x:v>
      </x:c>
      <x:c r="J293" s="8"/>
      <x:c r="K293" s="1" t="s">
        <x:v>163</x:v>
      </x:c>
      <x:c r="L293" s="8" t="s">
        <x:v>3628</x:v>
      </x:c>
      <x:c r="M293" s="1" t="s">
        <x:v>61</x:v>
      </x:c>
      <x:c r="N293" s="8"/>
      <x:c r="O293" s="1"/>
      <x:c r="P293" s="8"/>
      <x:c r="Q293" s="1"/>
      <x:c r="R293" s="8"/>
      <x:c r="S293" s="3"/>
      <x:c r="T293" s="8" t="s">
        <x:v>63</x:v>
      </x:c>
      <x:c r="U293" s="1" t="s">
        <x:v>3619</x:v>
      </x:c>
      <x:c r="V293" s="13">
        <x:v>4</x:v>
      </x:c>
      <x:c r="W293" s="1" t="s">
        <x:v>65</x:v>
      </x:c>
      <x:c r="X293" s="8" t="s">
        <x:v>66</x:v>
      </x:c>
      <x:c r="Y293" s="1" t="str">
        <x:v>Проверено автором исследования</x:v>
      </x:c>
      <x:c r="Z293" s="8"/>
      <x:c r="AA293" s="1" t="s">
        <x:v>3620</x:v>
      </x:c>
      <x:c r="AB293" s="13">
        <x:v>2025</x:v>
      </x:c>
      <x:c r="AC293" s="3"/>
      <x:c r="AD293" s="8" t="s">
        <x:v>93</x:v>
      </x:c>
      <x:c r="AE293" s="1" t="s">
        <x:v>3629</x:v>
      </x:c>
      <x:c r="AF293" s="8" t="s">
        <x:v>118</x:v>
      </x:c>
      <x:c r="AG293" s="1" t="s">
        <x:v>3621</x:v>
      </x:c>
      <x:c r="AH293" s="8" t="str">
        <x:v>Краткая затекстовая ссылка; повторная документальная сверка выполнена</x:v>
      </x:c>
      <x:c r="AI293" s="1"/>
      <x:c r="AJ293" s="17"/>
      <x:c r="AK293" s="1" t="s">
        <x:v>73</x:v>
      </x:c>
      <x:c r="AL293" s="8" t="s">
        <x:v>74</x:v>
      </x:c>
      <x:c r="AM293" s="1"/>
      <x:c r="AN293" s="8" t="s">
        <x:v>95</x:v>
      </x:c>
      <x:c r="AO293" s="1" t="s">
        <x:v>76</x:v>
      </x:c>
      <x:c r="AP293" s="8"/>
      <x:c r="AQ293" s="1" t="s">
        <x:v>77</x:v>
      </x:c>
      <x:c r="AR293" s="8" t="str">
        <x:v>Проверка автором исследования</x:v>
      </x:c>
      <x:c r="AS293" s="1"/>
      <x:c r="AT293" s="8" t="s">
        <x:v>96</x:v>
      </x:c>
      <x:c r="AU293" s="1" t="s">
        <x:v>97</x:v>
      </x:c>
      <x:c r="AV293" s="17"/>
      <x:c r="AW293" s="1" t="s">
        <x:v>98</x:v>
      </x:c>
      <x:c r="AX293" s="8" t="s">
        <x:v>82</x:v>
      </x:c>
      <x:c r="AY293" s="8"/>
    </x:row>
    <x:row r="294" ht="69.94999694824219" customHeight="1">
      <x:c r="A294" s="1" t="s">
        <x:v>3630</x:v>
      </x:c>
      <x:c r="B294" s="8" t="s">
        <x:v>3631</x:v>
      </x:c>
      <x:c r="C294" s="1" t="s">
        <x:v>3632</x:v>
      </x:c>
      <x:c r="D294" s="8" t="s">
        <x:v>53</x:v>
      </x:c>
      <x:c r="E294" s="1" t="s">
        <x:v>54</x:v>
      </x:c>
      <x:c r="F294" s="8" t="s">
        <x:v>3633</x:v>
      </x:c>
      <x:c r="G294" s="1" t="s">
        <x:v>3634</x:v>
      </x:c>
      <x:c r="H294" s="8" t="s">
        <x:v>3635</x:v>
      </x:c>
      <x:c r="I294" s="4">
        <x:v>2021</x:v>
      </x:c>
      <x:c r="J294" s="8" t="s">
        <x:v>771</x:v>
      </x:c>
      <x:c r="K294" s="1" t="s">
        <x:v>416</x:v>
      </x:c>
      <x:c r="L294" s="8" t="s">
        <x:v>3636</x:v>
      </x:c>
      <x:c r="M294" s="1" t="s">
        <x:v>61</x:v>
      </x:c>
      <x:c r="N294" s="8"/>
      <x:c r="O294" s="1"/>
      <x:c r="P294" s="8"/>
      <x:c r="Q294" s="1"/>
      <x:c r="R294" s="8" t="s">
        <x:v>3637</x:v>
      </x:c>
      <x:c r="S294" s="3"/>
      <x:c r="T294" s="8" t="s">
        <x:v>63</x:v>
      </x:c>
      <x:c r="U294" s="1" t="s">
        <x:v>3619</x:v>
      </x:c>
      <x:c r="V294" s="13">
        <x:v>7</x:v>
      </x:c>
      <x:c r="W294" s="1" t="s">
        <x:v>65</x:v>
      </x:c>
      <x:c r="X294" s="8" t="s">
        <x:v>66</x:v>
      </x:c>
      <x:c r="Y294" s="1" t="str">
        <x:v>Проверено автором исследования</x:v>
      </x:c>
      <x:c r="Z294" s="8" t="s">
        <x:v>3638</x:v>
      </x:c>
      <x:c r="AA294" s="1" t="s">
        <x:v>3620</x:v>
      </x:c>
      <x:c r="AB294" s="13">
        <x:v>2025</x:v>
      </x:c>
      <x:c r="AC294" s="3">
        <x:v>46322</x:v>
      </x:c>
      <x:c r="AD294" s="8" t="s">
        <x:v>69</x:v>
      </x:c>
      <x:c r="AE294" s="1" t="s">
        <x:v>3639</x:v>
      </x:c>
      <x:c r="AF294" s="8" t="s">
        <x:v>118</x:v>
      </x:c>
      <x:c r="AG294" s="1" t="s">
        <x:v>3621</x:v>
      </x:c>
      <x:c r="AH294" s="8" t="str">
        <x:v>Краткая затекстовая ссылка; повторная документальная сверка выполнена</x:v>
      </x:c>
      <x:c r="AI294" s="1"/>
      <x:c r="AJ294" s="17"/>
      <x:c r="AK294" s="1" t="s">
        <x:v>73</x:v>
      </x:c>
      <x:c r="AL294" s="8" t="s">
        <x:v>74</x:v>
      </x:c>
      <x:c r="AM294" s="1"/>
      <x:c r="AN294" s="8" t="s">
        <x:v>75</x:v>
      </x:c>
      <x:c r="AO294" s="1" t="s">
        <x:v>76</x:v>
      </x:c>
      <x:c r="AP294" s="8"/>
      <x:c r="AQ294" s="1" t="s">
        <x:v>77</x:v>
      </x:c>
      <x:c r="AR294" s="8" t="str">
        <x:v>Проверка автором исследования</x:v>
      </x:c>
      <x:c r="AS294" s="1" t="s">
        <x:v>3640</x:v>
      </x:c>
      <x:c r="AT294" s="8" t="s">
        <x:v>3641</x:v>
      </x:c>
      <x:c r="AU294" s="1" t="s">
        <x:v>3642</x:v>
      </x:c>
      <x:c r="AV294" s="17">
        <x:v>46321</x:v>
      </x:c>
      <x:c r="AW294" s="1" t="s">
        <x:v>81</x:v>
      </x:c>
      <x:c r="AX294" s="8" t="s">
        <x:v>82</x:v>
      </x:c>
      <x:c r="AY294" s="8"/>
    </x:row>
    <x:row r="295" ht="140.10000610351562" customHeight="1">
      <x:c r="A295" s="1" t="s">
        <x:v>3643</x:v>
      </x:c>
      <x:c r="B295" s="8" t="s">
        <x:v>3644</x:v>
      </x:c>
      <x:c r="C295" s="1" t="s">
        <x:v>3645</x:v>
      </x:c>
      <x:c r="D295" s="8" t="s">
        <x:v>53</x:v>
      </x:c>
      <x:c r="E295" s="1" t="s">
        <x:v>54</x:v>
      </x:c>
      <x:c r="F295" s="8" t="s">
        <x:v>3646</x:v>
      </x:c>
      <x:c r="G295" s="1" t="s">
        <x:v>3647</x:v>
      </x:c>
      <x:c r="H295" s="8" t="s">
        <x:v>3648</x:v>
      </x:c>
      <x:c r="I295" s="4">
        <x:v>2024</x:v>
      </x:c>
      <x:c r="J295" s="8" t="s">
        <x:v>537</x:v>
      </x:c>
      <x:c r="K295" s="1" t="s">
        <x:v>239</x:v>
      </x:c>
      <x:c r="L295" s="8" t="s">
        <x:v>3649</x:v>
      </x:c>
      <x:c r="M295" s="1" t="s">
        <x:v>61</x:v>
      </x:c>
      <x:c r="N295" s="8"/>
      <x:c r="O295" s="1"/>
      <x:c r="P295" s="8"/>
      <x:c r="Q295" s="1"/>
      <x:c r="R295" s="8" t="s">
        <x:v>3650</x:v>
      </x:c>
      <x:c r="S295" s="3"/>
      <x:c r="T295" s="8" t="s">
        <x:v>63</x:v>
      </x:c>
      <x:c r="U295" s="1" t="s">
        <x:v>3651</x:v>
      </x:c>
      <x:c r="V295" s="13">
        <x:v>1</x:v>
      </x:c>
      <x:c r="W295" s="1" t="s">
        <x:v>65</x:v>
      </x:c>
      <x:c r="X295" s="8" t="s">
        <x:v>66</x:v>
      </x:c>
      <x:c r="Y295" s="1" t="str">
        <x:v>Проверено автором исследования</x:v>
      </x:c>
      <x:c r="Z295" s="8" t="s">
        <x:v>3652</x:v>
      </x:c>
      <x:c r="AA295" s="1" t="s">
        <x:v>3653</x:v>
      </x:c>
      <x:c r="AB295" s="13">
        <x:v>2025</x:v>
      </x:c>
      <x:c r="AC295" s="3">
        <x:v>46322</x:v>
      </x:c>
      <x:c r="AD295" s="8" t="s">
        <x:v>69</x:v>
      </x:c>
      <x:c r="AE295" s="1" t="s">
        <x:v>3654</x:v>
      </x:c>
      <x:c r="AF295" s="8" t="s">
        <x:v>71</x:v>
      </x:c>
      <x:c r="AG295" s="1" t="s">
        <x:v>3655</x:v>
      </x:c>
      <x:c r="AH295" s="8" t="str">
        <x:v>Краткая затекстовая ссылка; повторная документальная сверка выполнена</x:v>
      </x:c>
      <x:c r="AI295" s="1"/>
      <x:c r="AJ295" s="17"/>
      <x:c r="AK295" s="1" t="s">
        <x:v>73</x:v>
      </x:c>
      <x:c r="AL295" s="8" t="s">
        <x:v>74</x:v>
      </x:c>
      <x:c r="AM295" s="1"/>
      <x:c r="AN295" s="8" t="s">
        <x:v>75</x:v>
      </x:c>
      <x:c r="AO295" s="1" t="s">
        <x:v>76</x:v>
      </x:c>
      <x:c r="AP295" s="8"/>
      <x:c r="AQ295" s="1" t="s">
        <x:v>77</x:v>
      </x:c>
      <x:c r="AR295" s="8" t="str">
        <x:v>Проверка автором исследования</x:v>
      </x:c>
      <x:c r="AS295" s="1" t="s">
        <x:v>3656</x:v>
      </x:c>
      <x:c r="AT295" s="8" t="s">
        <x:v>3657</x:v>
      </x:c>
      <x:c r="AU295" s="1" t="s">
        <x:v>3658</x:v>
      </x:c>
      <x:c r="AV295" s="17">
        <x:v>46321</x:v>
      </x:c>
      <x:c r="AW295" s="1" t="s">
        <x:v>81</x:v>
      </x:c>
      <x:c r="AX295" s="8" t="s">
        <x:v>82</x:v>
      </x:c>
      <x:c r="AY295" s="8"/>
    </x:row>
    <x:row r="296" ht="111.94999694824219" customHeight="1">
      <x:c r="A296" s="1" t="s">
        <x:v>3659</x:v>
      </x:c>
      <x:c r="B296" s="8" t="s">
        <x:v>3660</x:v>
      </x:c>
      <x:c r="C296" s="1" t="s">
        <x:v>3661</x:v>
      </x:c>
      <x:c r="D296" s="8" t="s">
        <x:v>53</x:v>
      </x:c>
      <x:c r="E296" s="1" t="s">
        <x:v>54</x:v>
      </x:c>
      <x:c r="F296" s="8" t="s">
        <x:v>3662</x:v>
      </x:c>
      <x:c r="G296" s="1" t="s">
        <x:v>3663</x:v>
      </x:c>
      <x:c r="H296" s="8" t="s">
        <x:v>3664</x:v>
      </x:c>
      <x:c r="I296" s="4">
        <x:v>2022</x:v>
      </x:c>
      <x:c r="J296" s="8" t="s">
        <x:v>771</x:v>
      </x:c>
      <x:c r="K296" s="1" t="s">
        <x:v>239</x:v>
      </x:c>
      <x:c r="L296" s="8" t="s">
        <x:v>3665</x:v>
      </x:c>
      <x:c r="M296" s="1" t="s">
        <x:v>61</x:v>
      </x:c>
      <x:c r="N296" s="8"/>
      <x:c r="O296" s="1"/>
      <x:c r="P296" s="8"/>
      <x:c r="Q296" s="1"/>
      <x:c r="R296" s="8" t="s">
        <x:v>3666</x:v>
      </x:c>
      <x:c r="S296" s="3"/>
      <x:c r="T296" s="8" t="s">
        <x:v>63</x:v>
      </x:c>
      <x:c r="U296" s="1" t="s">
        <x:v>3651</x:v>
      </x:c>
      <x:c r="V296" s="13">
        <x:v>5</x:v>
      </x:c>
      <x:c r="W296" s="1" t="s">
        <x:v>65</x:v>
      </x:c>
      <x:c r="X296" s="8" t="s">
        <x:v>66</x:v>
      </x:c>
      <x:c r="Y296" s="1" t="str">
        <x:v>Проверено автором исследования</x:v>
      </x:c>
      <x:c r="Z296" s="8" t="s">
        <x:v>3667</x:v>
      </x:c>
      <x:c r="AA296" s="1" t="s">
        <x:v>3653</x:v>
      </x:c>
      <x:c r="AB296" s="13">
        <x:v>2025</x:v>
      </x:c>
      <x:c r="AC296" s="3">
        <x:v>46322</x:v>
      </x:c>
      <x:c r="AD296" s="8" t="s">
        <x:v>69</x:v>
      </x:c>
      <x:c r="AE296" s="1" t="s">
        <x:v>3668</x:v>
      </x:c>
      <x:c r="AF296" s="8" t="s">
        <x:v>71</x:v>
      </x:c>
      <x:c r="AG296" s="1" t="s">
        <x:v>3655</x:v>
      </x:c>
      <x:c r="AH296" s="8" t="str">
        <x:v>Краткая затекстовая ссылка; повторная документальная сверка выполнена</x:v>
      </x:c>
      <x:c r="AI296" s="1"/>
      <x:c r="AJ296" s="17"/>
      <x:c r="AK296" s="1" t="s">
        <x:v>73</x:v>
      </x:c>
      <x:c r="AL296" s="8" t="s">
        <x:v>74</x:v>
      </x:c>
      <x:c r="AM296" s="1"/>
      <x:c r="AN296" s="8" t="s">
        <x:v>75</x:v>
      </x:c>
      <x:c r="AO296" s="1" t="s">
        <x:v>76</x:v>
      </x:c>
      <x:c r="AP296" s="8"/>
      <x:c r="AQ296" s="1" t="s">
        <x:v>77</x:v>
      </x:c>
      <x:c r="AR296" s="8" t="str">
        <x:v>Проверка автором исследования</x:v>
      </x:c>
      <x:c r="AS296" s="1" t="s">
        <x:v>3669</x:v>
      </x:c>
      <x:c r="AT296" s="8" t="s">
        <x:v>3670</x:v>
      </x:c>
      <x:c r="AU296" s="1" t="s">
        <x:v>3671</x:v>
      </x:c>
      <x:c r="AV296" s="17">
        <x:v>46321</x:v>
      </x:c>
      <x:c r="AW296" s="1" t="s">
        <x:v>81</x:v>
      </x:c>
      <x:c r="AX296" s="8" t="s">
        <x:v>82</x:v>
      </x:c>
      <x:c r="AY296" s="8"/>
    </x:row>
    <x:row r="297" ht="69.94999694824219" customHeight="1">
      <x:c r="A297" s="1" t="s">
        <x:v>3672</x:v>
      </x:c>
      <x:c r="B297" s="8" t="s">
        <x:v>3673</x:v>
      </x:c>
      <x:c r="C297" s="1" t="s">
        <x:v>3674</x:v>
      </x:c>
      <x:c r="D297" s="8" t="s">
        <x:v>73</x:v>
      </x:c>
      <x:c r="E297" s="1" t="s">
        <x:v>76</x:v>
      </x:c>
      <x:c r="F297" s="8" t="s">
        <x:v>3675</x:v>
      </x:c>
      <x:c r="G297" s="1" t="s">
        <x:v>3676</x:v>
      </x:c>
      <x:c r="H297" s="8" t="s">
        <x:v>3677</x:v>
      </x:c>
      <x:c r="I297" s="4">
        <x:v>2004</x:v>
      </x:c>
      <x:c r="J297" s="8"/>
      <x:c r="K297" s="1" t="s">
        <x:v>182</x:v>
      </x:c>
      <x:c r="L297" s="8" t="s">
        <x:v>3678</x:v>
      </x:c>
      <x:c r="M297" s="1" t="s">
        <x:v>61</x:v>
      </x:c>
      <x:c r="N297" s="8"/>
      <x:c r="O297" s="1"/>
      <x:c r="P297" s="8"/>
      <x:c r="Q297" s="1"/>
      <x:c r="R297" s="8"/>
      <x:c r="S297" s="3"/>
      <x:c r="T297" s="8" t="s">
        <x:v>63</x:v>
      </x:c>
      <x:c r="U297" s="1" t="s">
        <x:v>3679</x:v>
      </x:c>
      <x:c r="V297" s="13">
        <x:v>2</x:v>
      </x:c>
      <x:c r="W297" s="1" t="s">
        <x:v>65</x:v>
      </x:c>
      <x:c r="X297" s="8" t="s">
        <x:v>66</x:v>
      </x:c>
      <x:c r="Y297" s="1" t="str">
        <x:v>Проверено автором исследования</x:v>
      </x:c>
      <x:c r="Z297" s="8"/>
      <x:c r="AA297" s="1" t="s">
        <x:v>3680</x:v>
      </x:c>
      <x:c r="AB297" s="13">
        <x:v>2025</x:v>
      </x:c>
      <x:c r="AC297" s="3"/>
      <x:c r="AD297" s="8" t="s">
        <x:v>93</x:v>
      </x:c>
      <x:c r="AE297" s="1" t="s">
        <x:v>3681</x:v>
      </x:c>
      <x:c r="AF297" s="8" t="s">
        <x:v>118</x:v>
      </x:c>
      <x:c r="AG297" s="1" t="s">
        <x:v>3682</x:v>
      </x:c>
      <x:c r="AH297" s="8" t="str">
        <x:v>Краткая затекстовая ссылка; повторная документальная сверка выполнена</x:v>
      </x:c>
      <x:c r="AI297" s="1"/>
      <x:c r="AJ297" s="17"/>
      <x:c r="AK297" s="1" t="s">
        <x:v>73</x:v>
      </x:c>
      <x:c r="AL297" s="8" t="s">
        <x:v>74</x:v>
      </x:c>
      <x:c r="AM297" s="1"/>
      <x:c r="AN297" s="8" t="s">
        <x:v>95</x:v>
      </x:c>
      <x:c r="AO297" s="1" t="s">
        <x:v>76</x:v>
      </x:c>
      <x:c r="AP297" s="8"/>
      <x:c r="AQ297" s="1" t="s">
        <x:v>77</x:v>
      </x:c>
      <x:c r="AR297" s="8" t="str">
        <x:v>Проверка автором исследования</x:v>
      </x:c>
      <x:c r="AS297" s="1"/>
      <x:c r="AT297" s="8" t="s">
        <x:v>96</x:v>
      </x:c>
      <x:c r="AU297" s="1" t="s">
        <x:v>97</x:v>
      </x:c>
      <x:c r="AV297" s="17"/>
      <x:c r="AW297" s="1" t="s">
        <x:v>98</x:v>
      </x:c>
      <x:c r="AX297" s="8" t="s">
        <x:v>82</x:v>
      </x:c>
      <x:c r="AY297" s="8"/>
    </x:row>
    <x:row r="298" ht="69.94999694824219" customHeight="1">
      <x:c r="A298" s="1" t="s">
        <x:v>3683</x:v>
      </x:c>
      <x:c r="B298" s="8" t="s">
        <x:v>3684</x:v>
      </x:c>
      <x:c r="C298" s="1" t="s">
        <x:v>3685</x:v>
      </x:c>
      <x:c r="D298" s="8" t="s">
        <x:v>53</x:v>
      </x:c>
      <x:c r="E298" s="1" t="s">
        <x:v>54</x:v>
      </x:c>
      <x:c r="F298" s="8" t="s">
        <x:v>3686</x:v>
      </x:c>
      <x:c r="G298" s="1" t="s">
        <x:v>3687</x:v>
      </x:c>
      <x:c r="H298" s="8" t="s">
        <x:v>3688</x:v>
      </x:c>
      <x:c r="I298" s="4">
        <x:v>2020</x:v>
      </x:c>
      <x:c r="J298" s="8" t="s">
        <x:v>182</x:v>
      </x:c>
      <x:c r="K298" s="1" t="s">
        <x:v>182</x:v>
      </x:c>
      <x:c r="L298" s="8" t="s">
        <x:v>3689</x:v>
      </x:c>
      <x:c r="M298" s="1" t="s">
        <x:v>61</x:v>
      </x:c>
      <x:c r="N298" s="8"/>
      <x:c r="O298" s="1"/>
      <x:c r="P298" s="8"/>
      <x:c r="Q298" s="1"/>
      <x:c r="R298" s="8" t="s">
        <x:v>3690</x:v>
      </x:c>
      <x:c r="S298" s="3"/>
      <x:c r="T298" s="8" t="s">
        <x:v>63</x:v>
      </x:c>
      <x:c r="U298" s="1" t="s">
        <x:v>3691</x:v>
      </x:c>
      <x:c r="V298" s="13">
        <x:v>9</x:v>
      </x:c>
      <x:c r="W298" s="1" t="s">
        <x:v>65</x:v>
      </x:c>
      <x:c r="X298" s="8" t="s">
        <x:v>66</x:v>
      </x:c>
      <x:c r="Y298" s="1" t="str">
        <x:v>Проверено автором исследования</x:v>
      </x:c>
      <x:c r="Z298" s="8" t="s">
        <x:v>3692</x:v>
      </x:c>
      <x:c r="AA298" s="1" t="s">
        <x:v>3693</x:v>
      </x:c>
      <x:c r="AB298" s="13">
        <x:v>2025</x:v>
      </x:c>
      <x:c r="AC298" s="3">
        <x:v>46322</x:v>
      </x:c>
      <x:c r="AD298" s="8" t="s">
        <x:v>69</x:v>
      </x:c>
      <x:c r="AE298" s="1"/>
      <x:c r="AF298" s="8" t="s">
        <x:v>118</x:v>
      </x:c>
      <x:c r="AG298" s="1" t="s">
        <x:v>3694</x:v>
      </x:c>
      <x:c r="AH298" s="8" t="str">
        <x:v>Краткая затекстовая ссылка; повторная документальная сверка выполнена</x:v>
      </x:c>
      <x:c r="AI298" s="1"/>
      <x:c r="AJ298" s="17"/>
      <x:c r="AK298" s="1" t="s">
        <x:v>73</x:v>
      </x:c>
      <x:c r="AL298" s="8" t="s">
        <x:v>74</x:v>
      </x:c>
      <x:c r="AM298" s="1"/>
      <x:c r="AN298" s="8" t="s">
        <x:v>75</x:v>
      </x:c>
      <x:c r="AO298" s="1" t="s">
        <x:v>76</x:v>
      </x:c>
      <x:c r="AP298" s="8"/>
      <x:c r="AQ298" s="1" t="s">
        <x:v>77</x:v>
      </x:c>
      <x:c r="AR298" s="8" t="str">
        <x:v>Проверка автором исследования</x:v>
      </x:c>
      <x:c r="AS298" s="1" t="s">
        <x:v>3695</x:v>
      </x:c>
      <x:c r="AT298" s="8" t="s">
        <x:v>3696</x:v>
      </x:c>
      <x:c r="AU298" s="1" t="s">
        <x:v>3697</x:v>
      </x:c>
      <x:c r="AV298" s="17">
        <x:v>46321</x:v>
      </x:c>
      <x:c r="AW298" s="1" t="s">
        <x:v>81</x:v>
      </x:c>
      <x:c r="AX298" s="8" t="s">
        <x:v>82</x:v>
      </x:c>
      <x:c r="AY298" s="8"/>
    </x:row>
    <x:row r="299" ht="69.94999694824219" customHeight="1">
      <x:c r="A299" s="1" t="s">
        <x:v>3698</x:v>
      </x:c>
      <x:c r="B299" s="8" t="s">
        <x:v>3699</x:v>
      </x:c>
      <x:c r="C299" s="1" t="s">
        <x:v>3700</x:v>
      </x:c>
      <x:c r="D299" s="8" t="s">
        <x:v>73</x:v>
      </x:c>
      <x:c r="E299" s="1" t="s">
        <x:v>76</x:v>
      </x:c>
      <x:c r="F299" s="8" t="s">
        <x:v>3701</x:v>
      </x:c>
      <x:c r="G299" s="1" t="s">
        <x:v>3702</x:v>
      </x:c>
      <x:c r="H299" s="8" t="s">
        <x:v>3627</x:v>
      </x:c>
      <x:c r="I299" s="4">
        <x:v>2005</x:v>
      </x:c>
      <x:c r="J299" s="8"/>
      <x:c r="K299" s="1" t="s">
        <x:v>416</x:v>
      </x:c>
      <x:c r="L299" s="8" t="s">
        <x:v>3703</x:v>
      </x:c>
      <x:c r="M299" s="1" t="s">
        <x:v>61</x:v>
      </x:c>
      <x:c r="N299" s="8"/>
      <x:c r="O299" s="1"/>
      <x:c r="P299" s="8"/>
      <x:c r="Q299" s="1"/>
      <x:c r="R299" s="8"/>
      <x:c r="S299" s="3"/>
      <x:c r="T299" s="8" t="s">
        <x:v>63</x:v>
      </x:c>
      <x:c r="U299" s="1" t="s">
        <x:v>3704</x:v>
      </x:c>
      <x:c r="V299" s="13">
        <x:v>10</x:v>
      </x:c>
      <x:c r="W299" s="1" t="s">
        <x:v>65</x:v>
      </x:c>
      <x:c r="X299" s="8" t="s">
        <x:v>66</x:v>
      </x:c>
      <x:c r="Y299" s="1" t="str">
        <x:v>Проверено автором исследования</x:v>
      </x:c>
      <x:c r="Z299" s="8"/>
      <x:c r="AA299" s="1" t="s">
        <x:v>3705</x:v>
      </x:c>
      <x:c r="AB299" s="13">
        <x:v>2025</x:v>
      </x:c>
      <x:c r="AC299" s="3"/>
      <x:c r="AD299" s="8" t="s">
        <x:v>93</x:v>
      </x:c>
      <x:c r="AE299" s="1"/>
      <x:c r="AF299" s="8" t="s">
        <x:v>118</x:v>
      </x:c>
      <x:c r="AG299" s="1" t="s">
        <x:v>3706</x:v>
      </x:c>
      <x:c r="AH299" s="8" t="str">
        <x:v>Краткая затекстовая ссылка; повторная документальная сверка выполнена</x:v>
      </x:c>
      <x:c r="AI299" s="1"/>
      <x:c r="AJ299" s="17"/>
      <x:c r="AK299" s="1" t="s">
        <x:v>73</x:v>
      </x:c>
      <x:c r="AL299" s="8" t="s">
        <x:v>74</x:v>
      </x:c>
      <x:c r="AM299" s="1"/>
      <x:c r="AN299" s="8" t="s">
        <x:v>95</x:v>
      </x:c>
      <x:c r="AO299" s="1" t="s">
        <x:v>76</x:v>
      </x:c>
      <x:c r="AP299" s="8"/>
      <x:c r="AQ299" s="1" t="s">
        <x:v>77</x:v>
      </x:c>
      <x:c r="AR299" s="8" t="str">
        <x:v>Проверка автором исследования</x:v>
      </x:c>
      <x:c r="AS299" s="1"/>
      <x:c r="AT299" s="8" t="s">
        <x:v>96</x:v>
      </x:c>
      <x:c r="AU299" s="1" t="s">
        <x:v>97</x:v>
      </x:c>
      <x:c r="AV299" s="17"/>
      <x:c r="AW299" s="1" t="s">
        <x:v>98</x:v>
      </x:c>
      <x:c r="AX299" s="8" t="s">
        <x:v>82</x:v>
      </x:c>
      <x:c r="AY299" s="8"/>
    </x:row>
    <x:row r="300" ht="69.94999694824219" customHeight="1">
      <x:c r="A300" s="1" t="s">
        <x:v>3707</x:v>
      </x:c>
      <x:c r="B300" s="8" t="s">
        <x:v>3708</x:v>
      </x:c>
      <x:c r="C300" s="1" t="s">
        <x:v>3709</x:v>
      </x:c>
      <x:c r="D300" s="8" t="s">
        <x:v>73</x:v>
      </x:c>
      <x:c r="E300" s="1" t="s">
        <x:v>76</x:v>
      </x:c>
      <x:c r="F300" s="8" t="s">
        <x:v>3710</x:v>
      </x:c>
      <x:c r="G300" s="1" t="s">
        <x:v>3711</x:v>
      </x:c>
      <x:c r="H300" s="8" t="s">
        <x:v>3490</x:v>
      </x:c>
      <x:c r="I300" s="4">
        <x:v>2013</x:v>
      </x:c>
      <x:c r="J300" s="8"/>
      <x:c r="K300" s="1" t="s">
        <x:v>3712</x:v>
      </x:c>
      <x:c r="L300" s="8" t="s">
        <x:v>3299</x:v>
      </x:c>
      <x:c r="M300" s="1" t="s">
        <x:v>61</x:v>
      </x:c>
      <x:c r="N300" s="8"/>
      <x:c r="O300" s="1"/>
      <x:c r="P300" s="8"/>
      <x:c r="Q300" s="1"/>
      <x:c r="R300" s="8"/>
      <x:c r="S300" s="3"/>
      <x:c r="T300" s="8" t="s">
        <x:v>63</x:v>
      </x:c>
      <x:c r="U300" s="1" t="s">
        <x:v>3704</x:v>
      </x:c>
      <x:c r="V300" s="13">
        <x:v>12</x:v>
      </x:c>
      <x:c r="W300" s="1" t="s">
        <x:v>65</x:v>
      </x:c>
      <x:c r="X300" s="8" t="s">
        <x:v>66</x:v>
      </x:c>
      <x:c r="Y300" s="1" t="str">
        <x:v>Проверено автором исследования</x:v>
      </x:c>
      <x:c r="Z300" s="8"/>
      <x:c r="AA300" s="1" t="s">
        <x:v>3705</x:v>
      </x:c>
      <x:c r="AB300" s="13">
        <x:v>2025</x:v>
      </x:c>
      <x:c r="AC300" s="3"/>
      <x:c r="AD300" s="8" t="s">
        <x:v>93</x:v>
      </x:c>
      <x:c r="AE300" s="1" t="s">
        <x:v>3713</x:v>
      </x:c>
      <x:c r="AF300" s="8" t="s">
        <x:v>118</x:v>
      </x:c>
      <x:c r="AG300" s="1" t="s">
        <x:v>3706</x:v>
      </x:c>
      <x:c r="AH300" s="8" t="str">
        <x:v>Краткая затекстовая ссылка; повторная документальная сверка выполнена</x:v>
      </x:c>
      <x:c r="AI300" s="1"/>
      <x:c r="AJ300" s="17"/>
      <x:c r="AK300" s="1" t="s">
        <x:v>73</x:v>
      </x:c>
      <x:c r="AL300" s="8" t="s">
        <x:v>74</x:v>
      </x:c>
      <x:c r="AM300" s="1"/>
      <x:c r="AN300" s="8" t="s">
        <x:v>95</x:v>
      </x:c>
      <x:c r="AO300" s="1" t="s">
        <x:v>76</x:v>
      </x:c>
      <x:c r="AP300" s="8"/>
      <x:c r="AQ300" s="1" t="s">
        <x:v>77</x:v>
      </x:c>
      <x:c r="AR300" s="8" t="str">
        <x:v>Проверка автором исследования</x:v>
      </x:c>
      <x:c r="AS300" s="1"/>
      <x:c r="AT300" s="8" t="s">
        <x:v>96</x:v>
      </x:c>
      <x:c r="AU300" s="1" t="s">
        <x:v>97</x:v>
      </x:c>
      <x:c r="AV300" s="17"/>
      <x:c r="AW300" s="1" t="s">
        <x:v>98</x:v>
      </x:c>
      <x:c r="AX300" s="8" t="s">
        <x:v>82</x:v>
      </x:c>
      <x:c r="AY300" s="8"/>
    </x:row>
    <x:row r="301" ht="84" customHeight="1">
      <x:c r="A301" s="1" t="s">
        <x:v>3714</x:v>
      </x:c>
      <x:c r="B301" s="8" t="s">
        <x:v>3715</x:v>
      </x:c>
      <x:c r="C301" s="1" t="s">
        <x:v>3716</x:v>
      </x:c>
      <x:c r="D301" s="8" t="s">
        <x:v>53</x:v>
      </x:c>
      <x:c r="E301" s="1" t="s">
        <x:v>54</x:v>
      </x:c>
      <x:c r="F301" s="8" t="s">
        <x:v>3717</x:v>
      </x:c>
      <x:c r="G301" s="1" t="s">
        <x:v>3718</x:v>
      </x:c>
      <x:c r="H301" s="8" t="s">
        <x:v>3719</x:v>
      </x:c>
      <x:c r="I301" s="4">
        <x:v>2022</x:v>
      </x:c>
      <x:c r="J301" s="8" t="s">
        <x:v>771</x:v>
      </x:c>
      <x:c r="K301" s="1" t="s">
        <x:v>182</x:v>
      </x:c>
      <x:c r="L301" s="8" t="s">
        <x:v>3720</x:v>
      </x:c>
      <x:c r="M301" s="1" t="s">
        <x:v>61</x:v>
      </x:c>
      <x:c r="N301" s="8"/>
      <x:c r="O301" s="1"/>
      <x:c r="P301" s="8"/>
      <x:c r="Q301" s="1"/>
      <x:c r="R301" s="8" t="s">
        <x:v>3721</x:v>
      </x:c>
      <x:c r="S301" s="3"/>
      <x:c r="T301" s="8" t="s">
        <x:v>63</x:v>
      </x:c>
      <x:c r="U301" s="1" t="s">
        <x:v>3722</x:v>
      </x:c>
      <x:c r="V301" s="13">
        <x:v>4</x:v>
      </x:c>
      <x:c r="W301" s="1" t="s">
        <x:v>65</x:v>
      </x:c>
      <x:c r="X301" s="8" t="s">
        <x:v>66</x:v>
      </x:c>
      <x:c r="Y301" s="1" t="str">
        <x:v>Проверено автором исследования</x:v>
      </x:c>
      <x:c r="Z301" s="8" t="s">
        <x:v>3723</x:v>
      </x:c>
      <x:c r="AA301" s="1" t="s">
        <x:v>3724</x:v>
      </x:c>
      <x:c r="AB301" s="13">
        <x:v>2025</x:v>
      </x:c>
      <x:c r="AC301" s="3">
        <x:v>46322</x:v>
      </x:c>
      <x:c r="AD301" s="8" t="s">
        <x:v>69</x:v>
      </x:c>
      <x:c r="AE301" s="1" t="s">
        <x:v>3725</x:v>
      </x:c>
      <x:c r="AF301" s="8" t="s">
        <x:v>118</x:v>
      </x:c>
      <x:c r="AG301" s="1" t="s">
        <x:v>3726</x:v>
      </x:c>
      <x:c r="AH301" s="8" t="str">
        <x:v>Краткая затекстовая ссылка; повторная документальная сверка выполнена</x:v>
      </x:c>
      <x:c r="AI301" s="1"/>
      <x:c r="AJ301" s="17"/>
      <x:c r="AK301" s="1" t="s">
        <x:v>73</x:v>
      </x:c>
      <x:c r="AL301" s="8" t="s">
        <x:v>74</x:v>
      </x:c>
      <x:c r="AM301" s="1"/>
      <x:c r="AN301" s="8" t="s">
        <x:v>75</x:v>
      </x:c>
      <x:c r="AO301" s="1" t="s">
        <x:v>76</x:v>
      </x:c>
      <x:c r="AP301" s="8"/>
      <x:c r="AQ301" s="1" t="s">
        <x:v>77</x:v>
      </x:c>
      <x:c r="AR301" s="8" t="str">
        <x:v>Проверка автором исследования</x:v>
      </x:c>
      <x:c r="AS301" s="1" t="s">
        <x:v>3727</x:v>
      </x:c>
      <x:c r="AT301" s="8" t="s">
        <x:v>3728</x:v>
      </x:c>
      <x:c r="AU301" s="1" t="s">
        <x:v>3729</x:v>
      </x:c>
      <x:c r="AV301" s="17">
        <x:v>46321</x:v>
      </x:c>
      <x:c r="AW301" s="1" t="s">
        <x:v>81</x:v>
      </x:c>
      <x:c r="AX301" s="8" t="s">
        <x:v>82</x:v>
      </x:c>
      <x:c r="AY301" s="8"/>
    </x:row>
    <x:row r="302" ht="84" customHeight="1">
      <x:c r="A302" s="1" t="s">
        <x:v>3730</x:v>
      </x:c>
      <x:c r="B302" s="8" t="s">
        <x:v>3731</x:v>
      </x:c>
      <x:c r="C302" s="1" t="s">
        <x:v>3732</x:v>
      </x:c>
      <x:c r="D302" s="8" t="s">
        <x:v>53</x:v>
      </x:c>
      <x:c r="E302" s="1" t="s">
        <x:v>54</x:v>
      </x:c>
      <x:c r="F302" s="8" t="s">
        <x:v>3733</x:v>
      </x:c>
      <x:c r="G302" s="1" t="s">
        <x:v>3734</x:v>
      </x:c>
      <x:c r="H302" s="8" t="s">
        <x:v>3124</x:v>
      </x:c>
      <x:c r="I302" s="4">
        <x:v>2022</x:v>
      </x:c>
      <x:c r="J302" s="8"/>
      <x:c r="K302" s="1" t="s">
        <x:v>3735</x:v>
      </x:c>
      <x:c r="L302" s="8" t="s">
        <x:v>3736</x:v>
      </x:c>
      <x:c r="M302" s="1" t="s">
        <x:v>61</x:v>
      </x:c>
      <x:c r="N302" s="8"/>
      <x:c r="O302" s="1"/>
      <x:c r="P302" s="8"/>
      <x:c r="Q302" s="1"/>
      <x:c r="R302" s="8" t="s">
        <x:v>3737</x:v>
      </x:c>
      <x:c r="S302" s="3"/>
      <x:c r="T302" s="8" t="s">
        <x:v>63</x:v>
      </x:c>
      <x:c r="U302" s="1" t="s">
        <x:v>3722</x:v>
      </x:c>
      <x:c r="V302" s="13">
        <x:v>10</x:v>
      </x:c>
      <x:c r="W302" s="1" t="s">
        <x:v>65</x:v>
      </x:c>
      <x:c r="X302" s="8" t="s">
        <x:v>66</x:v>
      </x:c>
      <x:c r="Y302" s="1" t="str">
        <x:v>Проверено автором исследования</x:v>
      </x:c>
      <x:c r="Z302" s="8" t="s">
        <x:v>3738</x:v>
      </x:c>
      <x:c r="AA302" s="1" t="s">
        <x:v>3724</x:v>
      </x:c>
      <x:c r="AB302" s="13">
        <x:v>2025</x:v>
      </x:c>
      <x:c r="AC302" s="3">
        <x:v>46322</x:v>
      </x:c>
      <x:c r="AD302" s="8" t="s">
        <x:v>69</x:v>
      </x:c>
      <x:c r="AE302" s="1" t="s">
        <x:v>3739</x:v>
      </x:c>
      <x:c r="AF302" s="8" t="s">
        <x:v>118</x:v>
      </x:c>
      <x:c r="AG302" s="1" t="s">
        <x:v>3726</x:v>
      </x:c>
      <x:c r="AH302" s="8" t="str">
        <x:v>Краткая затекстовая ссылка; повторная документальная сверка выполнена</x:v>
      </x:c>
      <x:c r="AI302" s="1"/>
      <x:c r="AJ302" s="17"/>
      <x:c r="AK302" s="1" t="s">
        <x:v>73</x:v>
      </x:c>
      <x:c r="AL302" s="8" t="s">
        <x:v>74</x:v>
      </x:c>
      <x:c r="AM302" s="1"/>
      <x:c r="AN302" s="8" t="s">
        <x:v>75</x:v>
      </x:c>
      <x:c r="AO302" s="1" t="s">
        <x:v>76</x:v>
      </x:c>
      <x:c r="AP302" s="8"/>
      <x:c r="AQ302" s="1" t="s">
        <x:v>77</x:v>
      </x:c>
      <x:c r="AR302" s="8" t="str">
        <x:v>Проверка автором исследования</x:v>
      </x:c>
      <x:c r="AS302" s="1" t="s">
        <x:v>3740</x:v>
      </x:c>
      <x:c r="AT302" s="8" t="s">
        <x:v>3741</x:v>
      </x:c>
      <x:c r="AU302" s="1" t="s">
        <x:v>3742</x:v>
      </x:c>
      <x:c r="AV302" s="17">
        <x:v>46321</x:v>
      </x:c>
      <x:c r="AW302" s="1" t="s">
        <x:v>81</x:v>
      </x:c>
      <x:c r="AX302" s="8" t="s">
        <x:v>82</x:v>
      </x:c>
      <x:c r="AY302" s="8"/>
    </x:row>
    <x:row r="303" ht="111.94999694824219" customHeight="1">
      <x:c r="A303" s="1" t="s">
        <x:v>3743</x:v>
      </x:c>
      <x:c r="B303" s="8" t="s">
        <x:v>3744</x:v>
      </x:c>
      <x:c r="C303" s="1" t="s">
        <x:v>3745</x:v>
      </x:c>
      <x:c r="D303" s="8" t="s">
        <x:v>53</x:v>
      </x:c>
      <x:c r="E303" s="1" t="s">
        <x:v>54</x:v>
      </x:c>
      <x:c r="F303" s="8" t="s">
        <x:v>3746</x:v>
      </x:c>
      <x:c r="G303" s="1" t="s">
        <x:v>3747</x:v>
      </x:c>
      <x:c r="H303" s="8" t="s">
        <x:v>3748</x:v>
      </x:c>
      <x:c r="I303" s="4">
        <x:v>2021</x:v>
      </x:c>
      <x:c r="J303" s="8" t="s">
        <x:v>106</x:v>
      </x:c>
      <x:c r="K303" s="1" t="s">
        <x:v>182</x:v>
      </x:c>
      <x:c r="L303" s="8" t="s">
        <x:v>3749</x:v>
      </x:c>
      <x:c r="M303" s="1" t="s">
        <x:v>61</x:v>
      </x:c>
      <x:c r="N303" s="8"/>
      <x:c r="O303" s="1"/>
      <x:c r="P303" s="8"/>
      <x:c r="Q303" s="1"/>
      <x:c r="R303" s="8" t="s">
        <x:v>3750</x:v>
      </x:c>
      <x:c r="S303" s="3"/>
      <x:c r="T303" s="8" t="s">
        <x:v>63</x:v>
      </x:c>
      <x:c r="U303" s="1" t="s">
        <x:v>3722</x:v>
      </x:c>
      <x:c r="V303" s="13">
        <x:v>11</x:v>
      </x:c>
      <x:c r="W303" s="1" t="s">
        <x:v>65</x:v>
      </x:c>
      <x:c r="X303" s="8" t="s">
        <x:v>66</x:v>
      </x:c>
      <x:c r="Y303" s="1" t="str">
        <x:v>Проверено автором исследования</x:v>
      </x:c>
      <x:c r="Z303" s="8" t="s">
        <x:v>3751</x:v>
      </x:c>
      <x:c r="AA303" s="1" t="s">
        <x:v>3724</x:v>
      </x:c>
      <x:c r="AB303" s="13">
        <x:v>2025</x:v>
      </x:c>
      <x:c r="AC303" s="3">
        <x:v>46322</x:v>
      </x:c>
      <x:c r="AD303" s="8" t="s">
        <x:v>69</x:v>
      </x:c>
      <x:c r="AE303" s="1" t="s">
        <x:v>3752</x:v>
      </x:c>
      <x:c r="AF303" s="8" t="s">
        <x:v>118</x:v>
      </x:c>
      <x:c r="AG303" s="1" t="s">
        <x:v>3726</x:v>
      </x:c>
      <x:c r="AH303" s="8" t="str">
        <x:v>Краткая затекстовая ссылка; повторная документальная сверка выполнена</x:v>
      </x:c>
      <x:c r="AI303" s="1"/>
      <x:c r="AJ303" s="17"/>
      <x:c r="AK303" s="1" t="s">
        <x:v>73</x:v>
      </x:c>
      <x:c r="AL303" s="8" t="s">
        <x:v>74</x:v>
      </x:c>
      <x:c r="AM303" s="1"/>
      <x:c r="AN303" s="8" t="s">
        <x:v>75</x:v>
      </x:c>
      <x:c r="AO303" s="1" t="s">
        <x:v>76</x:v>
      </x:c>
      <x:c r="AP303" s="8"/>
      <x:c r="AQ303" s="1" t="s">
        <x:v>77</x:v>
      </x:c>
      <x:c r="AR303" s="8" t="str">
        <x:v>Проверка автором исследования</x:v>
      </x:c>
      <x:c r="AS303" s="1" t="s">
        <x:v>3753</x:v>
      </x:c>
      <x:c r="AT303" s="8" t="s">
        <x:v>3754</x:v>
      </x:c>
      <x:c r="AU303" s="1" t="s">
        <x:v>3755</x:v>
      </x:c>
      <x:c r="AV303" s="17">
        <x:v>46321</x:v>
      </x:c>
      <x:c r="AW303" s="1" t="s">
        <x:v>81</x:v>
      </x:c>
      <x:c r="AX303" s="8" t="s">
        <x:v>82</x:v>
      </x:c>
      <x:c r="AY303" s="8"/>
    </x:row>
    <x:row r="304" ht="140.10000610351562" customHeight="1">
      <x:c r="A304" s="1" t="s">
        <x:v>3756</x:v>
      </x:c>
      <x:c r="B304" s="8" t="s">
        <x:v>3757</x:v>
      </x:c>
      <x:c r="C304" s="1" t="s">
        <x:v>3758</x:v>
      </x:c>
      <x:c r="D304" s="8" t="s">
        <x:v>53</x:v>
      </x:c>
      <x:c r="E304" s="1" t="s">
        <x:v>54</x:v>
      </x:c>
      <x:c r="F304" s="8" t="s">
        <x:v>3759</x:v>
      </x:c>
      <x:c r="G304" s="1" t="s">
        <x:v>3760</x:v>
      </x:c>
      <x:c r="H304" s="8" t="s">
        <x:v>3761</x:v>
      </x:c>
      <x:c r="I304" s="4">
        <x:v>2020</x:v>
      </x:c>
      <x:c r="J304" s="8"/>
      <x:c r="K304" s="1" t="s">
        <x:v>239</x:v>
      </x:c>
      <x:c r="L304" s="8" t="s">
        <x:v>3762</x:v>
      </x:c>
      <x:c r="M304" s="1" t="s">
        <x:v>61</x:v>
      </x:c>
      <x:c r="N304" s="8"/>
      <x:c r="O304" s="1"/>
      <x:c r="P304" s="8"/>
      <x:c r="Q304" s="1"/>
      <x:c r="R304" s="8" t="s">
        <x:v>3763</x:v>
      </x:c>
      <x:c r="S304" s="3"/>
      <x:c r="T304" s="8" t="s">
        <x:v>63</x:v>
      </x:c>
      <x:c r="U304" s="1" t="s">
        <x:v>3764</x:v>
      </x:c>
      <x:c r="V304" s="13">
        <x:v>2</x:v>
      </x:c>
      <x:c r="W304" s="1" t="s">
        <x:v>65</x:v>
      </x:c>
      <x:c r="X304" s="8" t="s">
        <x:v>66</x:v>
      </x:c>
      <x:c r="Y304" s="1" t="str">
        <x:v>Проверено автором исследования</x:v>
      </x:c>
      <x:c r="Z304" s="8" t="s">
        <x:v>3765</x:v>
      </x:c>
      <x:c r="AA304" s="1" t="s">
        <x:v>3766</x:v>
      </x:c>
      <x:c r="AB304" s="13">
        <x:v>2025</x:v>
      </x:c>
      <x:c r="AC304" s="3">
        <x:v>46322</x:v>
      </x:c>
      <x:c r="AD304" s="8" t="s">
        <x:v>69</x:v>
      </x:c>
      <x:c r="AE304" s="1" t="s">
        <x:v>3767</x:v>
      </x:c>
      <x:c r="AF304" s="8" t="s">
        <x:v>71</x:v>
      </x:c>
      <x:c r="AG304" s="1" t="s">
        <x:v>3768</x:v>
      </x:c>
      <x:c r="AH304" s="8" t="str">
        <x:v>Краткая затекстовая ссылка; повторная документальная сверка выполнена</x:v>
      </x:c>
      <x:c r="AI304" s="1"/>
      <x:c r="AJ304" s="17"/>
      <x:c r="AK304" s="1" t="s">
        <x:v>73</x:v>
      </x:c>
      <x:c r="AL304" s="8" t="s">
        <x:v>74</x:v>
      </x:c>
      <x:c r="AM304" s="1"/>
      <x:c r="AN304" s="8" t="s">
        <x:v>75</x:v>
      </x:c>
      <x:c r="AO304" s="1" t="s">
        <x:v>76</x:v>
      </x:c>
      <x:c r="AP304" s="8"/>
      <x:c r="AQ304" s="1" t="s">
        <x:v>77</x:v>
      </x:c>
      <x:c r="AR304" s="8" t="str">
        <x:v>Проверка автором исследования</x:v>
      </x:c>
      <x:c r="AS304" s="1" t="s">
        <x:v>3769</x:v>
      </x:c>
      <x:c r="AT304" s="8" t="s">
        <x:v>3770</x:v>
      </x:c>
      <x:c r="AU304" s="1" t="s">
        <x:v>3771</x:v>
      </x:c>
      <x:c r="AV304" s="17">
        <x:v>46321</x:v>
      </x:c>
      <x:c r="AW304" s="1" t="s">
        <x:v>81</x:v>
      </x:c>
      <x:c r="AX304" s="8" t="s">
        <x:v>82</x:v>
      </x:c>
      <x:c r="AY304" s="8"/>
    </x:row>
    <x:row r="305" ht="69.94999694824219" customHeight="1">
      <x:c r="A305" s="1" t="s">
        <x:v>3772</x:v>
      </x:c>
      <x:c r="B305" s="8" t="s">
        <x:v>3773</x:v>
      </x:c>
      <x:c r="C305" s="1" t="s">
        <x:v>3774</x:v>
      </x:c>
      <x:c r="D305" s="8" t="s">
        <x:v>73</x:v>
      </x:c>
      <x:c r="E305" s="1" t="s">
        <x:v>76</x:v>
      </x:c>
      <x:c r="F305" s="8" t="s">
        <x:v>3775</x:v>
      </x:c>
      <x:c r="G305" s="1" t="s">
        <x:v>3776</x:v>
      </x:c>
      <x:c r="H305" s="8" t="s">
        <x:v>3777</x:v>
      </x:c>
      <x:c r="I305" s="4">
        <x:v>2021</x:v>
      </x:c>
      <x:c r="J305" s="8"/>
      <x:c r="K305" s="1" t="s">
        <x:v>512</x:v>
      </x:c>
      <x:c r="L305" s="8" t="s">
        <x:v>3778</x:v>
      </x:c>
      <x:c r="M305" s="1" t="s">
        <x:v>61</x:v>
      </x:c>
      <x:c r="N305" s="8"/>
      <x:c r="O305" s="1"/>
      <x:c r="P305" s="8"/>
      <x:c r="Q305" s="1"/>
      <x:c r="R305" s="8"/>
      <x:c r="S305" s="3"/>
      <x:c r="T305" s="8" t="s">
        <x:v>63</x:v>
      </x:c>
      <x:c r="U305" s="1" t="s">
        <x:v>3764</x:v>
      </x:c>
      <x:c r="V305" s="13">
        <x:v>13</x:v>
      </x:c>
      <x:c r="W305" s="1" t="s">
        <x:v>65</x:v>
      </x:c>
      <x:c r="X305" s="8" t="s">
        <x:v>66</x:v>
      </x:c>
      <x:c r="Y305" s="1" t="str">
        <x:v>Проверено автором исследования</x:v>
      </x:c>
      <x:c r="Z305" s="8"/>
      <x:c r="AA305" s="1" t="s">
        <x:v>3766</x:v>
      </x:c>
      <x:c r="AB305" s="13">
        <x:v>2025</x:v>
      </x:c>
      <x:c r="AC305" s="3"/>
      <x:c r="AD305" s="8" t="s">
        <x:v>93</x:v>
      </x:c>
      <x:c r="AE305" s="1" t="s">
        <x:v>3779</x:v>
      </x:c>
      <x:c r="AF305" s="8" t="s">
        <x:v>71</x:v>
      </x:c>
      <x:c r="AG305" s="1" t="s">
        <x:v>3768</x:v>
      </x:c>
      <x:c r="AH305" s="8" t="str">
        <x:v>Краткая затекстовая ссылка; повторная документальная сверка выполнена</x:v>
      </x:c>
      <x:c r="AI305" s="1"/>
      <x:c r="AJ305" s="17"/>
      <x:c r="AK305" s="1" t="s">
        <x:v>73</x:v>
      </x:c>
      <x:c r="AL305" s="8" t="s">
        <x:v>74</x:v>
      </x:c>
      <x:c r="AM305" s="1"/>
      <x:c r="AN305" s="8" t="s">
        <x:v>95</x:v>
      </x:c>
      <x:c r="AO305" s="1" t="s">
        <x:v>76</x:v>
      </x:c>
      <x:c r="AP305" s="8"/>
      <x:c r="AQ305" s="1" t="s">
        <x:v>77</x:v>
      </x:c>
      <x:c r="AR305" s="8" t="str">
        <x:v>Проверка автором исследования</x:v>
      </x:c>
      <x:c r="AS305" s="1"/>
      <x:c r="AT305" s="8" t="s">
        <x:v>96</x:v>
      </x:c>
      <x:c r="AU305" s="1" t="s">
        <x:v>97</x:v>
      </x:c>
      <x:c r="AV305" s="17"/>
      <x:c r="AW305" s="1" t="s">
        <x:v>98</x:v>
      </x:c>
      <x:c r="AX305" s="8" t="s">
        <x:v>82</x:v>
      </x:c>
      <x:c r="AY305" s="8"/>
    </x:row>
    <x:row r="306" ht="69.94999694824219" customHeight="1">
      <x:c r="A306" s="1" t="s">
        <x:v>3780</x:v>
      </x:c>
      <x:c r="B306" s="8" t="s">
        <x:v>3781</x:v>
      </x:c>
      <x:c r="C306" s="1" t="s">
        <x:v>3782</x:v>
      </x:c>
      <x:c r="D306" s="8" t="s">
        <x:v>86</x:v>
      </x:c>
      <x:c r="E306" s="1" t="s">
        <x:v>76</x:v>
      </x:c>
      <x:c r="F306" s="8" t="s">
        <x:v>3783</x:v>
      </x:c>
      <x:c r="G306" s="1" t="s">
        <x:v>3784</x:v>
      </x:c>
      <x:c r="H306" s="8"/>
      <x:c r="I306" s="4">
        <x:v>1978</x:v>
      </x:c>
      <x:c r="J306" s="8"/>
      <x:c r="K306" s="1"/>
      <x:c r="L306" s="8" t="s">
        <x:v>137</x:v>
      </x:c>
      <x:c r="M306" s="1" t="s">
        <x:v>90</x:v>
      </x:c>
      <x:c r="N306" s="8" t="s">
        <x:v>3785</x:v>
      </x:c>
      <x:c r="O306" s="1" t="s">
        <x:v>1122</x:v>
      </x:c>
      <x:c r="P306" s="8"/>
      <x:c r="Q306" s="1"/>
      <x:c r="R306" s="8"/>
      <x:c r="S306" s="3"/>
      <x:c r="T306" s="8" t="s">
        <x:v>63</x:v>
      </x:c>
      <x:c r="U306" s="1" t="s">
        <x:v>3786</x:v>
      </x:c>
      <x:c r="V306" s="13">
        <x:v>3</x:v>
      </x:c>
      <x:c r="W306" s="1" t="s">
        <x:v>65</x:v>
      </x:c>
      <x:c r="X306" s="8" t="s">
        <x:v>66</x:v>
      </x:c>
      <x:c r="Y306" s="1" t="str">
        <x:v>Проверено автором исследования</x:v>
      </x:c>
      <x:c r="Z306" s="8"/>
      <x:c r="AA306" s="1" t="s">
        <x:v>3787</x:v>
      </x:c>
      <x:c r="AB306" s="13">
        <x:v>2025</x:v>
      </x:c>
      <x:c r="AC306" s="3"/>
      <x:c r="AD306" s="8" t="s">
        <x:v>93</x:v>
      </x:c>
      <x:c r="AE306" s="1"/>
      <x:c r="AF306" s="8" t="s">
        <x:v>71</x:v>
      </x:c>
      <x:c r="AG306" s="1" t="s">
        <x:v>3788</x:v>
      </x:c>
      <x:c r="AH306" s="8" t="str">
        <x:v>Краткая затекстовая ссылка; повторная документальная сверка выполнена</x:v>
      </x:c>
      <x:c r="AI306" s="1"/>
      <x:c r="AJ306" s="17"/>
      <x:c r="AK306" s="1" t="s">
        <x:v>73</x:v>
      </x:c>
      <x:c r="AL306" s="8" t="s">
        <x:v>74</x:v>
      </x:c>
      <x:c r="AM306" s="1"/>
      <x:c r="AN306" s="8" t="s">
        <x:v>95</x:v>
      </x:c>
      <x:c r="AO306" s="1" t="s">
        <x:v>76</x:v>
      </x:c>
      <x:c r="AP306" s="8"/>
      <x:c r="AQ306" s="1" t="s">
        <x:v>77</x:v>
      </x:c>
      <x:c r="AR306" s="8" t="str">
        <x:v>Проверка автором исследования</x:v>
      </x:c>
      <x:c r="AS306" s="1"/>
      <x:c r="AT306" s="8" t="s">
        <x:v>96</x:v>
      </x:c>
      <x:c r="AU306" s="1" t="s">
        <x:v>97</x:v>
      </x:c>
      <x:c r="AV306" s="17"/>
      <x:c r="AW306" s="1" t="s">
        <x:v>98</x:v>
      </x:c>
      <x:c r="AX306" s="8" t="s">
        <x:v>82</x:v>
      </x:c>
      <x:c r="AY306" s="8"/>
    </x:row>
    <x:row r="307" ht="69.94999694824219" customHeight="1">
      <x:c r="A307" s="1" t="s">
        <x:v>3789</x:v>
      </x:c>
      <x:c r="B307" s="8" t="s">
        <x:v>3790</x:v>
      </x:c>
      <x:c r="C307" s="1" t="s">
        <x:v>3791</x:v>
      </x:c>
      <x:c r="D307" s="8" t="s">
        <x:v>53</x:v>
      </x:c>
      <x:c r="E307" s="1" t="s">
        <x:v>54</x:v>
      </x:c>
      <x:c r="F307" s="8" t="s">
        <x:v>3792</x:v>
      </x:c>
      <x:c r="G307" s="1" t="s">
        <x:v>3793</x:v>
      </x:c>
      <x:c r="H307" s="8" t="s">
        <x:v>3794</x:v>
      </x:c>
      <x:c r="I307" s="4">
        <x:v>2023</x:v>
      </x:c>
      <x:c r="J307" s="8"/>
      <x:c r="K307" s="1" t="s">
        <x:v>3795</x:v>
      </x:c>
      <x:c r="L307" s="8" t="s">
        <x:v>3796</x:v>
      </x:c>
      <x:c r="M307" s="1" t="s">
        <x:v>61</x:v>
      </x:c>
      <x:c r="N307" s="8"/>
      <x:c r="O307" s="1"/>
      <x:c r="P307" s="8"/>
      <x:c r="Q307" s="1"/>
      <x:c r="R307" s="8" t="s">
        <x:v>3797</x:v>
      </x:c>
      <x:c r="S307" s="3"/>
      <x:c r="T307" s="8" t="s">
        <x:v>63</x:v>
      </x:c>
      <x:c r="U307" s="1" t="s">
        <x:v>3798</x:v>
      </x:c>
      <x:c r="V307" s="13">
        <x:v>3</x:v>
      </x:c>
      <x:c r="W307" s="1" t="s">
        <x:v>65</x:v>
      </x:c>
      <x:c r="X307" s="8" t="s">
        <x:v>66</x:v>
      </x:c>
      <x:c r="Y307" s="1" t="str">
        <x:v>Проверено автором исследования</x:v>
      </x:c>
      <x:c r="Z307" s="8" t="s">
        <x:v>3799</x:v>
      </x:c>
      <x:c r="AA307" s="1" t="s">
        <x:v>3800</x:v>
      </x:c>
      <x:c r="AB307" s="13">
        <x:v>2025</x:v>
      </x:c>
      <x:c r="AC307" s="3">
        <x:v>46322</x:v>
      </x:c>
      <x:c r="AD307" s="8" t="s">
        <x:v>69</x:v>
      </x:c>
      <x:c r="AE307" s="1" t="s">
        <x:v>3801</x:v>
      </x:c>
      <x:c r="AF307" s="8" t="s">
        <x:v>118</x:v>
      </x:c>
      <x:c r="AG307" s="1" t="s">
        <x:v>3802</x:v>
      </x:c>
      <x:c r="AH307" s="8" t="str">
        <x:v>Краткая затекстовая ссылка; повторная документальная сверка выполнена</x:v>
      </x:c>
      <x:c r="AI307" s="1"/>
      <x:c r="AJ307" s="17"/>
      <x:c r="AK307" s="1" t="s">
        <x:v>73</x:v>
      </x:c>
      <x:c r="AL307" s="8" t="s">
        <x:v>74</x:v>
      </x:c>
      <x:c r="AM307" s="1"/>
      <x:c r="AN307" s="8" t="s">
        <x:v>75</x:v>
      </x:c>
      <x:c r="AO307" s="1" t="s">
        <x:v>76</x:v>
      </x:c>
      <x:c r="AP307" s="8"/>
      <x:c r="AQ307" s="1" t="s">
        <x:v>77</x:v>
      </x:c>
      <x:c r="AR307" s="8" t="str">
        <x:v>Проверка автором исследования</x:v>
      </x:c>
      <x:c r="AS307" s="1" t="s">
        <x:v>3803</x:v>
      </x:c>
      <x:c r="AT307" s="8" t="s">
        <x:v>3804</x:v>
      </x:c>
      <x:c r="AU307" s="1" t="s">
        <x:v>3805</x:v>
      </x:c>
      <x:c r="AV307" s="17">
        <x:v>46321</x:v>
      </x:c>
      <x:c r="AW307" s="1" t="s">
        <x:v>81</x:v>
      </x:c>
      <x:c r="AX307" s="8" t="s">
        <x:v>82</x:v>
      </x:c>
      <x:c r="AY307" s="8"/>
    </x:row>
    <x:row r="308" ht="69.94999694824219" customHeight="1">
      <x:c r="A308" s="1" t="s">
        <x:v>3806</x:v>
      </x:c>
      <x:c r="B308" s="8" t="s">
        <x:v>3807</x:v>
      </x:c>
      <x:c r="C308" s="1" t="s">
        <x:v>3808</x:v>
      </x:c>
      <x:c r="D308" s="8" t="s">
        <x:v>73</x:v>
      </x:c>
      <x:c r="E308" s="1" t="s">
        <x:v>76</x:v>
      </x:c>
      <x:c r="F308" s="8" t="s">
        <x:v>3809</x:v>
      </x:c>
      <x:c r="G308" s="1" t="s">
        <x:v>3810</x:v>
      </x:c>
      <x:c r="H308" s="8" t="s">
        <x:v>3811</x:v>
      </x:c>
      <x:c r="I308" s="4">
        <x:v>2011</x:v>
      </x:c>
      <x:c r="J308" s="8"/>
      <x:c r="K308" s="1" t="s">
        <x:v>975</x:v>
      </x:c>
      <x:c r="L308" s="8" t="s">
        <x:v>3812</x:v>
      </x:c>
      <x:c r="M308" s="1" t="s">
        <x:v>61</x:v>
      </x:c>
      <x:c r="N308" s="8"/>
      <x:c r="O308" s="1"/>
      <x:c r="P308" s="8"/>
      <x:c r="Q308" s="1"/>
      <x:c r="R308" s="8"/>
      <x:c r="S308" s="3"/>
      <x:c r="T308" s="8" t="s">
        <x:v>63</x:v>
      </x:c>
      <x:c r="U308" s="1" t="s">
        <x:v>3798</x:v>
      </x:c>
      <x:c r="V308" s="13">
        <x:v>6</x:v>
      </x:c>
      <x:c r="W308" s="1" t="s">
        <x:v>140</x:v>
      </x:c>
      <x:c r="X308" s="8" t="s">
        <x:v>66</x:v>
      </x:c>
      <x:c r="Y308" s="1" t="str">
        <x:v>Проверено автором; дополнительно проверено Михаилом Саяпиным</x:v>
      </x:c>
      <x:c r="Z308" s="8"/>
      <x:c r="AA308" s="1" t="s">
        <x:v>3800</x:v>
      </x:c>
      <x:c r="AB308" s="13">
        <x:v>2025</x:v>
      </x:c>
      <x:c r="AC308" s="3"/>
      <x:c r="AD308" s="8" t="s">
        <x:v>93</x:v>
      </x:c>
      <x:c r="AE308" s="1" t="s">
        <x:v>3813</x:v>
      </x:c>
      <x:c r="AF308" s="8" t="s">
        <x:v>118</x:v>
      </x:c>
      <x:c r="AG308" s="1" t="s">
        <x:v>3802</x:v>
      </x:c>
      <x:c r="AH308" s="8" t="s">
        <x:v>144</x:v>
      </x:c>
      <x:c r="AI308" s="1" t="s">
        <x:v>145</x:v>
      </x:c>
      <x:c r="AJ308" s="17">
        <x:v>46323</x:v>
      </x:c>
      <x:c r="AK308" s="1" t="s">
        <x:v>73</x:v>
      </x:c>
      <x:c r="AL308" s="8" t="s">
        <x:v>74</x:v>
      </x:c>
      <x:c r="AM308" s="1"/>
      <x:c r="AN308" s="8" t="s">
        <x:v>95</x:v>
      </x:c>
      <x:c r="AO308" s="1" t="s">
        <x:v>76</x:v>
      </x:c>
      <x:c r="AP308" s="8"/>
      <x:c r="AQ308" s="1" t="s">
        <x:v>77</x:v>
      </x:c>
      <x:c r="AR308" s="8" t="str">
        <x:v>Проверка автором исследования; дополнительная проверка Михаилом Саяпиным; согласование 28.10.2026</x:v>
      </x:c>
      <x:c r="AS308" s="1"/>
      <x:c r="AT308" s="8" t="s">
        <x:v>96</x:v>
      </x:c>
      <x:c r="AU308" s="1" t="s">
        <x:v>97</x:v>
      </x:c>
      <x:c r="AV308" s="17"/>
      <x:c r="AW308" s="1" t="s">
        <x:v>98</x:v>
      </x:c>
      <x:c r="AX308" s="8" t="s">
        <x:v>146</x:v>
      </x:c>
      <x:c r="AY308" s="8" t="s">
        <x:v>3814</x:v>
      </x:c>
    </x:row>
    <x:row r="309" ht="69.94999694824219" customHeight="1">
      <x:c r="A309" s="1" t="s">
        <x:v>3815</x:v>
      </x:c>
      <x:c r="B309" s="8" t="s">
        <x:v>3816</x:v>
      </x:c>
      <x:c r="C309" s="1" t="s">
        <x:v>3817</x:v>
      </x:c>
      <x:c r="D309" s="8" t="s">
        <x:v>73</x:v>
      </x:c>
      <x:c r="E309" s="1" t="s">
        <x:v>76</x:v>
      </x:c>
      <x:c r="F309" s="8" t="s">
        <x:v>3818</x:v>
      </x:c>
      <x:c r="G309" s="1" t="s">
        <x:v>3819</x:v>
      </x:c>
      <x:c r="H309" s="8" t="s">
        <x:v>3490</x:v>
      </x:c>
      <x:c r="I309" s="4">
        <x:v>2016</x:v>
      </x:c>
      <x:c r="J309" s="8"/>
      <x:c r="K309" s="1" t="s">
        <x:v>3820</x:v>
      </x:c>
      <x:c r="L309" s="8" t="s">
        <x:v>3821</x:v>
      </x:c>
      <x:c r="M309" s="1" t="s">
        <x:v>61</x:v>
      </x:c>
      <x:c r="N309" s="8"/>
      <x:c r="O309" s="1"/>
      <x:c r="P309" s="8"/>
      <x:c r="Q309" s="1"/>
      <x:c r="R309" s="8"/>
      <x:c r="S309" s="3"/>
      <x:c r="T309" s="8" t="s">
        <x:v>63</x:v>
      </x:c>
      <x:c r="U309" s="1" t="s">
        <x:v>3798</x:v>
      </x:c>
      <x:c r="V309" s="13">
        <x:v>10</x:v>
      </x:c>
      <x:c r="W309" s="1" t="s">
        <x:v>65</x:v>
      </x:c>
      <x:c r="X309" s="8" t="s">
        <x:v>66</x:v>
      </x:c>
      <x:c r="Y309" s="1" t="str">
        <x:v>Проверено автором исследования</x:v>
      </x:c>
      <x:c r="Z309" s="8"/>
      <x:c r="AA309" s="1" t="s">
        <x:v>3800</x:v>
      </x:c>
      <x:c r="AB309" s="13">
        <x:v>2025</x:v>
      </x:c>
      <x:c r="AC309" s="3"/>
      <x:c r="AD309" s="8" t="s">
        <x:v>93</x:v>
      </x:c>
      <x:c r="AE309" s="1" t="s">
        <x:v>3822</x:v>
      </x:c>
      <x:c r="AF309" s="8" t="s">
        <x:v>118</x:v>
      </x:c>
      <x:c r="AG309" s="1" t="s">
        <x:v>3802</x:v>
      </x:c>
      <x:c r="AH309" s="8" t="str">
        <x:v>Краткая затекстовая ссылка; повторная документальная сверка выполнена</x:v>
      </x:c>
      <x:c r="AI309" s="1"/>
      <x:c r="AJ309" s="17"/>
      <x:c r="AK309" s="1" t="s">
        <x:v>73</x:v>
      </x:c>
      <x:c r="AL309" s="8" t="s">
        <x:v>74</x:v>
      </x:c>
      <x:c r="AM309" s="1"/>
      <x:c r="AN309" s="8" t="s">
        <x:v>95</x:v>
      </x:c>
      <x:c r="AO309" s="1" t="s">
        <x:v>76</x:v>
      </x:c>
      <x:c r="AP309" s="8"/>
      <x:c r="AQ309" s="1" t="s">
        <x:v>77</x:v>
      </x:c>
      <x:c r="AR309" s="8" t="str">
        <x:v>Проверка автором исследования</x:v>
      </x:c>
      <x:c r="AS309" s="1"/>
      <x:c r="AT309" s="8" t="s">
        <x:v>96</x:v>
      </x:c>
      <x:c r="AU309" s="1" t="s">
        <x:v>97</x:v>
      </x:c>
      <x:c r="AV309" s="17"/>
      <x:c r="AW309" s="1" t="s">
        <x:v>98</x:v>
      </x:c>
      <x:c r="AX309" s="8" t="s">
        <x:v>82</x:v>
      </x:c>
      <x:c r="AY309" s="8"/>
    </x:row>
    <x:row r="310" ht="69.94999694824219" customHeight="1">
      <x:c r="A310" s="1" t="s">
        <x:v>3823</x:v>
      </x:c>
      <x:c r="B310" s="8" t="s">
        <x:v>3824</x:v>
      </x:c>
      <x:c r="C310" s="1" t="s">
        <x:v>3825</x:v>
      </x:c>
      <x:c r="D310" s="8" t="s">
        <x:v>86</x:v>
      </x:c>
      <x:c r="E310" s="1" t="s">
        <x:v>76</x:v>
      </x:c>
      <x:c r="F310" s="8" t="s">
        <x:v>3826</x:v>
      </x:c>
      <x:c r="G310" s="1" t="s">
        <x:v>3827</x:v>
      </x:c>
      <x:c r="H310" s="8"/>
      <x:c r="I310" s="4">
        <x:v>2019</x:v>
      </x:c>
      <x:c r="J310" s="8"/>
      <x:c r="K310" s="1"/>
      <x:c r="L310" s="8" t="s">
        <x:v>2066</x:v>
      </x:c>
      <x:c r="M310" s="1" t="s">
        <x:v>90</x:v>
      </x:c>
      <x:c r="N310" s="8" t="s">
        <x:v>3828</x:v>
      </x:c>
      <x:c r="O310" s="1" t="s">
        <x:v>1122</x:v>
      </x:c>
      <x:c r="P310" s="8"/>
      <x:c r="Q310" s="1"/>
      <x:c r="R310" s="8"/>
      <x:c r="S310" s="3"/>
      <x:c r="T310" s="8" t="s">
        <x:v>63</x:v>
      </x:c>
      <x:c r="U310" s="1" t="s">
        <x:v>3829</x:v>
      </x:c>
      <x:c r="V310" s="13">
        <x:v>10</x:v>
      </x:c>
      <x:c r="W310" s="1" t="s">
        <x:v>65</x:v>
      </x:c>
      <x:c r="X310" s="8" t="s">
        <x:v>66</x:v>
      </x:c>
      <x:c r="Y310" s="1" t="str">
        <x:v>Проверено автором исследования</x:v>
      </x:c>
      <x:c r="Z310" s="8"/>
      <x:c r="AA310" s="1" t="s">
        <x:v>3830</x:v>
      </x:c>
      <x:c r="AB310" s="13">
        <x:v>2025</x:v>
      </x:c>
      <x:c r="AC310" s="3"/>
      <x:c r="AD310" s="8" t="s">
        <x:v>93</x:v>
      </x:c>
      <x:c r="AE310" s="1"/>
      <x:c r="AF310" s="8" t="s">
        <x:v>118</x:v>
      </x:c>
      <x:c r="AG310" s="1" t="s">
        <x:v>3831</x:v>
      </x:c>
      <x:c r="AH310" s="8" t="str">
        <x:v>Краткая затекстовая ссылка; повторная документальная сверка выполнена</x:v>
      </x:c>
      <x:c r="AI310" s="1"/>
      <x:c r="AJ310" s="17"/>
      <x:c r="AK310" s="1" t="s">
        <x:v>73</x:v>
      </x:c>
      <x:c r="AL310" s="8" t="s">
        <x:v>74</x:v>
      </x:c>
      <x:c r="AM310" s="1"/>
      <x:c r="AN310" s="8" t="s">
        <x:v>95</x:v>
      </x:c>
      <x:c r="AO310" s="1" t="s">
        <x:v>76</x:v>
      </x:c>
      <x:c r="AP310" s="8"/>
      <x:c r="AQ310" s="1" t="s">
        <x:v>77</x:v>
      </x:c>
      <x:c r="AR310" s="8" t="str">
        <x:v>Проверка автором исследования</x:v>
      </x:c>
      <x:c r="AS310" s="1"/>
      <x:c r="AT310" s="8" t="s">
        <x:v>96</x:v>
      </x:c>
      <x:c r="AU310" s="1" t="s">
        <x:v>97</x:v>
      </x:c>
      <x:c r="AV310" s="17"/>
      <x:c r="AW310" s="1" t="s">
        <x:v>98</x:v>
      </x:c>
      <x:c r="AX310" s="8" t="s">
        <x:v>82</x:v>
      </x:c>
      <x:c r="AY310" s="8"/>
    </x:row>
    <x:row r="311" ht="69.94999694824219" customHeight="1">
      <x:c r="A311" s="1" t="s">
        <x:v>3832</x:v>
      </x:c>
      <x:c r="B311" s="8" t="s">
        <x:v>3833</x:v>
      </x:c>
      <x:c r="C311" s="1" t="s">
        <x:v>3834</x:v>
      </x:c>
      <x:c r="D311" s="8" t="s">
        <x:v>86</x:v>
      </x:c>
      <x:c r="E311" s="1" t="s">
        <x:v>76</x:v>
      </x:c>
      <x:c r="F311" s="8" t="s">
        <x:v>3835</x:v>
      </x:c>
      <x:c r="G311" s="1" t="s">
        <x:v>3836</x:v>
      </x:c>
      <x:c r="H311" s="8"/>
      <x:c r="I311" s="4">
        <x:v>2024</x:v>
      </x:c>
      <x:c r="J311" s="8"/>
      <x:c r="K311" s="1"/>
      <x:c r="L311" s="8" t="s">
        <x:v>3837</x:v>
      </x:c>
      <x:c r="M311" s="1" t="s">
        <x:v>90</x:v>
      </x:c>
      <x:c r="N311" s="8" t="s">
        <x:v>2958</x:v>
      </x:c>
      <x:c r="O311" s="1" t="s">
        <x:v>3838</x:v>
      </x:c>
      <x:c r="P311" s="8"/>
      <x:c r="Q311" s="1"/>
      <x:c r="R311" s="8"/>
      <x:c r="S311" s="3"/>
      <x:c r="T311" s="8" t="s">
        <x:v>63</x:v>
      </x:c>
      <x:c r="U311" s="1" t="s">
        <x:v>3839</x:v>
      </x:c>
      <x:c r="V311" s="13">
        <x:v>11</x:v>
      </x:c>
      <x:c r="W311" s="1" t="s">
        <x:v>65</x:v>
      </x:c>
      <x:c r="X311" s="8" t="s">
        <x:v>66</x:v>
      </x:c>
      <x:c r="Y311" s="1" t="str">
        <x:v>Проверено автором исследования</x:v>
      </x:c>
      <x:c r="Z311" s="8"/>
      <x:c r="AA311" s="1" t="s">
        <x:v>3840</x:v>
      </x:c>
      <x:c r="AB311" s="13">
        <x:v>2025</x:v>
      </x:c>
      <x:c r="AC311" s="3"/>
      <x:c r="AD311" s="8" t="s">
        <x:v>93</x:v>
      </x:c>
      <x:c r="AE311" s="1"/>
      <x:c r="AF311" s="8" t="s">
        <x:v>118</x:v>
      </x:c>
      <x:c r="AG311" s="1" t="s">
        <x:v>3841</x:v>
      </x:c>
      <x:c r="AH311" s="8" t="str">
        <x:v>Краткая затекстовая ссылка; повторная документальная сверка выполнена</x:v>
      </x:c>
      <x:c r="AI311" s="1"/>
      <x:c r="AJ311" s="17"/>
      <x:c r="AK311" s="1" t="s">
        <x:v>73</x:v>
      </x:c>
      <x:c r="AL311" s="8" t="s">
        <x:v>74</x:v>
      </x:c>
      <x:c r="AM311" s="1"/>
      <x:c r="AN311" s="8" t="s">
        <x:v>95</x:v>
      </x:c>
      <x:c r="AO311" s="1" t="s">
        <x:v>76</x:v>
      </x:c>
      <x:c r="AP311" s="8"/>
      <x:c r="AQ311" s="1" t="s">
        <x:v>77</x:v>
      </x:c>
      <x:c r="AR311" s="8" t="str">
        <x:v>Проверка автором исследования</x:v>
      </x:c>
      <x:c r="AS311" s="1"/>
      <x:c r="AT311" s="8" t="s">
        <x:v>96</x:v>
      </x:c>
      <x:c r="AU311" s="1" t="s">
        <x:v>97</x:v>
      </x:c>
      <x:c r="AV311" s="17"/>
      <x:c r="AW311" s="1" t="s">
        <x:v>98</x:v>
      </x:c>
      <x:c r="AX311" s="8" t="s">
        <x:v>82</x:v>
      </x:c>
      <x:c r="AY311" s="8"/>
    </x:row>
    <x:row r="312" ht="126" customHeight="1">
      <x:c r="A312" s="1" t="s">
        <x:v>3842</x:v>
      </x:c>
      <x:c r="B312" s="8" t="s">
        <x:v>3843</x:v>
      </x:c>
      <x:c r="C312" s="1" t="s">
        <x:v>3844</x:v>
      </x:c>
      <x:c r="D312" s="8" t="s">
        <x:v>53</x:v>
      </x:c>
      <x:c r="E312" s="1" t="s">
        <x:v>54</x:v>
      </x:c>
      <x:c r="F312" s="8" t="s">
        <x:v>3845</x:v>
      </x:c>
      <x:c r="G312" s="1" t="s">
        <x:v>3846</x:v>
      </x:c>
      <x:c r="H312" s="8" t="s">
        <x:v>3847</x:v>
      </x:c>
      <x:c r="I312" s="4">
        <x:v>2022</x:v>
      </x:c>
      <x:c r="J312" s="8"/>
      <x:c r="K312" s="1" t="s">
        <x:v>3848</x:v>
      </x:c>
      <x:c r="L312" s="8" t="s">
        <x:v>3849</x:v>
      </x:c>
      <x:c r="M312" s="1" t="s">
        <x:v>61</x:v>
      </x:c>
      <x:c r="N312" s="8"/>
      <x:c r="O312" s="1"/>
      <x:c r="P312" s="8"/>
      <x:c r="Q312" s="1"/>
      <x:c r="R312" s="8" t="s">
        <x:v>3850</x:v>
      </x:c>
      <x:c r="S312" s="3"/>
      <x:c r="T312" s="8" t="s">
        <x:v>63</x:v>
      </x:c>
      <x:c r="U312" s="1" t="s">
        <x:v>3851</x:v>
      </x:c>
      <x:c r="V312" s="13">
        <x:v>2</x:v>
      </x:c>
      <x:c r="W312" s="1" t="s">
        <x:v>65</x:v>
      </x:c>
      <x:c r="X312" s="8" t="s">
        <x:v>66</x:v>
      </x:c>
      <x:c r="Y312" s="1" t="str">
        <x:v>Проверено автором исследования</x:v>
      </x:c>
      <x:c r="Z312" s="8" t="s">
        <x:v>3852</x:v>
      </x:c>
      <x:c r="AA312" s="1" t="s">
        <x:v>3853</x:v>
      </x:c>
      <x:c r="AB312" s="13">
        <x:v>2025</x:v>
      </x:c>
      <x:c r="AC312" s="3">
        <x:v>46322</x:v>
      </x:c>
      <x:c r="AD312" s="8" t="s">
        <x:v>69</x:v>
      </x:c>
      <x:c r="AE312" s="1" t="s">
        <x:v>3854</x:v>
      </x:c>
      <x:c r="AF312" s="8" t="s">
        <x:v>118</x:v>
      </x:c>
      <x:c r="AG312" s="1" t="s">
        <x:v>3855</x:v>
      </x:c>
      <x:c r="AH312" s="8" t="str">
        <x:v>Краткая затекстовая ссылка; повторная документальная сверка выполнена</x:v>
      </x:c>
      <x:c r="AI312" s="1"/>
      <x:c r="AJ312" s="17"/>
      <x:c r="AK312" s="1" t="s">
        <x:v>73</x:v>
      </x:c>
      <x:c r="AL312" s="8" t="s">
        <x:v>74</x:v>
      </x:c>
      <x:c r="AM312" s="1"/>
      <x:c r="AN312" s="8" t="s">
        <x:v>75</x:v>
      </x:c>
      <x:c r="AO312" s="1" t="s">
        <x:v>76</x:v>
      </x:c>
      <x:c r="AP312" s="8"/>
      <x:c r="AQ312" s="1" t="s">
        <x:v>77</x:v>
      </x:c>
      <x:c r="AR312" s="8" t="str">
        <x:v>Проверка автором исследования</x:v>
      </x:c>
      <x:c r="AS312" s="1" t="s">
        <x:v>3856</x:v>
      </x:c>
      <x:c r="AT312" s="8" t="s">
        <x:v>3857</x:v>
      </x:c>
      <x:c r="AU312" s="1" t="s">
        <x:v>3858</x:v>
      </x:c>
      <x:c r="AV312" s="17">
        <x:v>46321</x:v>
      </x:c>
      <x:c r="AW312" s="1" t="s">
        <x:v>81</x:v>
      </x:c>
      <x:c r="AX312" s="8" t="s">
        <x:v>82</x:v>
      </x:c>
      <x:c r="AY312" s="8"/>
    </x:row>
    <x:row r="313" ht="140.10000610351562" customHeight="1">
      <x:c r="A313" s="1" t="s">
        <x:v>3859</x:v>
      </x:c>
      <x:c r="B313" s="8" t="s">
        <x:v>3860</x:v>
      </x:c>
      <x:c r="C313" s="1" t="s">
        <x:v>3861</x:v>
      </x:c>
      <x:c r="D313" s="8" t="s">
        <x:v>53</x:v>
      </x:c>
      <x:c r="E313" s="1" t="s">
        <x:v>54</x:v>
      </x:c>
      <x:c r="F313" s="8" t="s">
        <x:v>3862</x:v>
      </x:c>
      <x:c r="G313" s="1" t="s">
        <x:v>3863</x:v>
      </x:c>
      <x:c r="H313" s="8" t="s">
        <x:v>3864</x:v>
      </x:c>
      <x:c r="I313" s="4">
        <x:v>2021</x:v>
      </x:c>
      <x:c r="J313" s="8" t="s">
        <x:v>1346</x:v>
      </x:c>
      <x:c r="K313" s="1" t="s">
        <x:v>190</x:v>
      </x:c>
      <x:c r="L313" s="8" t="s">
        <x:v>3865</x:v>
      </x:c>
      <x:c r="M313" s="1" t="s">
        <x:v>61</x:v>
      </x:c>
      <x:c r="N313" s="8"/>
      <x:c r="O313" s="1"/>
      <x:c r="P313" s="8"/>
      <x:c r="Q313" s="1"/>
      <x:c r="R313" s="8" t="s">
        <x:v>3866</x:v>
      </x:c>
      <x:c r="S313" s="3"/>
      <x:c r="T313" s="8" t="s">
        <x:v>63</x:v>
      </x:c>
      <x:c r="U313" s="1" t="s">
        <x:v>3867</x:v>
      </x:c>
      <x:c r="V313" s="13">
        <x:v>3</x:v>
      </x:c>
      <x:c r="W313" s="1" t="s">
        <x:v>65</x:v>
      </x:c>
      <x:c r="X313" s="8" t="s">
        <x:v>66</x:v>
      </x:c>
      <x:c r="Y313" s="1" t="str">
        <x:v>Проверено автором исследования</x:v>
      </x:c>
      <x:c r="Z313" s="8" t="s">
        <x:v>3868</x:v>
      </x:c>
      <x:c r="AA313" s="1" t="s">
        <x:v>3869</x:v>
      </x:c>
      <x:c r="AB313" s="13">
        <x:v>2025</x:v>
      </x:c>
      <x:c r="AC313" s="3">
        <x:v>46322</x:v>
      </x:c>
      <x:c r="AD313" s="8" t="s">
        <x:v>69</x:v>
      </x:c>
      <x:c r="AE313" s="1" t="s">
        <x:v>3870</x:v>
      </x:c>
      <x:c r="AF313" s="8" t="s">
        <x:v>118</x:v>
      </x:c>
      <x:c r="AG313" s="1" t="s">
        <x:v>3871</x:v>
      </x:c>
      <x:c r="AH313" s="8" t="str">
        <x:v>Краткая затекстовая ссылка; повторная документальная сверка выполнена</x:v>
      </x:c>
      <x:c r="AI313" s="1"/>
      <x:c r="AJ313" s="17"/>
      <x:c r="AK313" s="1" t="s">
        <x:v>73</x:v>
      </x:c>
      <x:c r="AL313" s="8" t="s">
        <x:v>74</x:v>
      </x:c>
      <x:c r="AM313" s="1"/>
      <x:c r="AN313" s="8" t="s">
        <x:v>75</x:v>
      </x:c>
      <x:c r="AO313" s="1" t="s">
        <x:v>76</x:v>
      </x:c>
      <x:c r="AP313" s="8"/>
      <x:c r="AQ313" s="1" t="s">
        <x:v>77</x:v>
      </x:c>
      <x:c r="AR313" s="8" t="str">
        <x:v>Проверка автором исследования</x:v>
      </x:c>
      <x:c r="AS313" s="1" t="s">
        <x:v>3872</x:v>
      </x:c>
      <x:c r="AT313" s="8" t="s">
        <x:v>3873</x:v>
      </x:c>
      <x:c r="AU313" s="1" t="s">
        <x:v>3874</x:v>
      </x:c>
      <x:c r="AV313" s="17">
        <x:v>46321</x:v>
      </x:c>
      <x:c r="AW313" s="1" t="s">
        <x:v>81</x:v>
      </x:c>
      <x:c r="AX313" s="8" t="s">
        <x:v>82</x:v>
      </x:c>
      <x:c r="AY313" s="8"/>
    </x:row>
    <x:row r="314" ht="111.94999694824219" customHeight="1">
      <x:c r="A314" s="1" t="s">
        <x:v>3875</x:v>
      </x:c>
      <x:c r="B314" s="8" t="s">
        <x:v>3876</x:v>
      </x:c>
      <x:c r="C314" s="1" t="s">
        <x:v>3877</x:v>
      </x:c>
      <x:c r="D314" s="8" t="s">
        <x:v>53</x:v>
      </x:c>
      <x:c r="E314" s="1" t="s">
        <x:v>54</x:v>
      </x:c>
      <x:c r="F314" s="8" t="s">
        <x:v>3878</x:v>
      </x:c>
      <x:c r="G314" s="1" t="s">
        <x:v>3879</x:v>
      </x:c>
      <x:c r="H314" s="8" t="s">
        <x:v>3864</x:v>
      </x:c>
      <x:c r="I314" s="4">
        <x:v>2022</x:v>
      </x:c>
      <x:c r="J314" s="8" t="s">
        <x:v>106</x:v>
      </x:c>
      <x:c r="K314" s="1" t="s">
        <x:v>239</x:v>
      </x:c>
      <x:c r="L314" s="8" t="s">
        <x:v>3880</x:v>
      </x:c>
      <x:c r="M314" s="1" t="s">
        <x:v>61</x:v>
      </x:c>
      <x:c r="N314" s="8"/>
      <x:c r="O314" s="1"/>
      <x:c r="P314" s="8"/>
      <x:c r="Q314" s="1"/>
      <x:c r="R314" s="8" t="s">
        <x:v>3881</x:v>
      </x:c>
      <x:c r="S314" s="3"/>
      <x:c r="T314" s="8" t="s">
        <x:v>63</x:v>
      </x:c>
      <x:c r="U314" s="1" t="s">
        <x:v>3867</x:v>
      </x:c>
      <x:c r="V314" s="13">
        <x:v>5</x:v>
      </x:c>
      <x:c r="W314" s="1" t="s">
        <x:v>65</x:v>
      </x:c>
      <x:c r="X314" s="8" t="s">
        <x:v>66</x:v>
      </x:c>
      <x:c r="Y314" s="1" t="str">
        <x:v>Проверено автором исследования</x:v>
      </x:c>
      <x:c r="Z314" s="8" t="s">
        <x:v>3882</x:v>
      </x:c>
      <x:c r="AA314" s="1" t="s">
        <x:v>3869</x:v>
      </x:c>
      <x:c r="AB314" s="13">
        <x:v>2025</x:v>
      </x:c>
      <x:c r="AC314" s="3">
        <x:v>46322</x:v>
      </x:c>
      <x:c r="AD314" s="8" t="s">
        <x:v>69</x:v>
      </x:c>
      <x:c r="AE314" s="1" t="s">
        <x:v>3883</x:v>
      </x:c>
      <x:c r="AF314" s="8" t="s">
        <x:v>118</x:v>
      </x:c>
      <x:c r="AG314" s="1" t="s">
        <x:v>3871</x:v>
      </x:c>
      <x:c r="AH314" s="8" t="str">
        <x:v>Краткая затекстовая ссылка; повторная документальная сверка выполнена</x:v>
      </x:c>
      <x:c r="AI314" s="1"/>
      <x:c r="AJ314" s="17"/>
      <x:c r="AK314" s="1" t="s">
        <x:v>73</x:v>
      </x:c>
      <x:c r="AL314" s="8" t="s">
        <x:v>74</x:v>
      </x:c>
      <x:c r="AM314" s="1"/>
      <x:c r="AN314" s="8" t="s">
        <x:v>75</x:v>
      </x:c>
      <x:c r="AO314" s="1" t="s">
        <x:v>76</x:v>
      </x:c>
      <x:c r="AP314" s="8"/>
      <x:c r="AQ314" s="1" t="s">
        <x:v>77</x:v>
      </x:c>
      <x:c r="AR314" s="8" t="str">
        <x:v>Проверка автором исследования</x:v>
      </x:c>
      <x:c r="AS314" s="1" t="s">
        <x:v>3884</x:v>
      </x:c>
      <x:c r="AT314" s="8" t="s">
        <x:v>3885</x:v>
      </x:c>
      <x:c r="AU314" s="1" t="s">
        <x:v>3886</x:v>
      </x:c>
      <x:c r="AV314" s="17">
        <x:v>46321</x:v>
      </x:c>
      <x:c r="AW314" s="1" t="s">
        <x:v>81</x:v>
      </x:c>
      <x:c r="AX314" s="8" t="s">
        <x:v>82</x:v>
      </x:c>
      <x:c r="AY314" s="8"/>
    </x:row>
    <x:row r="315" ht="98.0999984741211" customHeight="1">
      <x:c r="A315" s="1" t="s">
        <x:v>3887</x:v>
      </x:c>
      <x:c r="B315" s="8" t="s">
        <x:v>3888</x:v>
      </x:c>
      <x:c r="C315" s="1" t="s">
        <x:v>3889</x:v>
      </x:c>
      <x:c r="D315" s="8" t="s">
        <x:v>53</x:v>
      </x:c>
      <x:c r="E315" s="1" t="s">
        <x:v>54</x:v>
      </x:c>
      <x:c r="F315" s="8" t="s">
        <x:v>3890</x:v>
      </x:c>
      <x:c r="G315" s="1" t="s">
        <x:v>3891</x:v>
      </x:c>
      <x:c r="H315" s="8" t="s">
        <x:v>3864</x:v>
      </x:c>
      <x:c r="I315" s="4">
        <x:v>2020</x:v>
      </x:c>
      <x:c r="J315" s="8" t="s">
        <x:v>931</x:v>
      </x:c>
      <x:c r="K315" s="1" t="s">
        <x:v>3892</x:v>
      </x:c>
      <x:c r="L315" s="8" t="s">
        <x:v>3893</x:v>
      </x:c>
      <x:c r="M315" s="1" t="s">
        <x:v>61</x:v>
      </x:c>
      <x:c r="N315" s="8"/>
      <x:c r="O315" s="1"/>
      <x:c r="P315" s="8"/>
      <x:c r="Q315" s="1"/>
      <x:c r="R315" s="8" t="s">
        <x:v>3894</x:v>
      </x:c>
      <x:c r="S315" s="3"/>
      <x:c r="T315" s="8" t="s">
        <x:v>63</x:v>
      </x:c>
      <x:c r="U315" s="1" t="s">
        <x:v>3867</x:v>
      </x:c>
      <x:c r="V315" s="13">
        <x:v>7</x:v>
      </x:c>
      <x:c r="W315" s="1" t="s">
        <x:v>65</x:v>
      </x:c>
      <x:c r="X315" s="8" t="s">
        <x:v>66</x:v>
      </x:c>
      <x:c r="Y315" s="1" t="str">
        <x:v>Проверено автором исследования</x:v>
      </x:c>
      <x:c r="Z315" s="8" t="s">
        <x:v>3895</x:v>
      </x:c>
      <x:c r="AA315" s="1" t="s">
        <x:v>3869</x:v>
      </x:c>
      <x:c r="AB315" s="13">
        <x:v>2025</x:v>
      </x:c>
      <x:c r="AC315" s="3">
        <x:v>46322</x:v>
      </x:c>
      <x:c r="AD315" s="8" t="s">
        <x:v>69</x:v>
      </x:c>
      <x:c r="AE315" s="1" t="s">
        <x:v>3896</x:v>
      </x:c>
      <x:c r="AF315" s="8" t="s">
        <x:v>118</x:v>
      </x:c>
      <x:c r="AG315" s="1" t="s">
        <x:v>3871</x:v>
      </x:c>
      <x:c r="AH315" s="8" t="str">
        <x:v>Краткая затекстовая ссылка; повторная документальная сверка выполнена</x:v>
      </x:c>
      <x:c r="AI315" s="1"/>
      <x:c r="AJ315" s="17"/>
      <x:c r="AK315" s="1" t="s">
        <x:v>73</x:v>
      </x:c>
      <x:c r="AL315" s="8" t="s">
        <x:v>74</x:v>
      </x:c>
      <x:c r="AM315" s="1"/>
      <x:c r="AN315" s="8" t="s">
        <x:v>75</x:v>
      </x:c>
      <x:c r="AO315" s="1" t="s">
        <x:v>76</x:v>
      </x:c>
      <x:c r="AP315" s="8"/>
      <x:c r="AQ315" s="1" t="s">
        <x:v>77</x:v>
      </x:c>
      <x:c r="AR315" s="8" t="str">
        <x:v>Проверка автором исследования</x:v>
      </x:c>
      <x:c r="AS315" s="1" t="s">
        <x:v>3897</x:v>
      </x:c>
      <x:c r="AT315" s="8" t="s">
        <x:v>3898</x:v>
      </x:c>
      <x:c r="AU315" s="1" t="s">
        <x:v>3899</x:v>
      </x:c>
      <x:c r="AV315" s="17">
        <x:v>46321</x:v>
      </x:c>
      <x:c r="AW315" s="1" t="s">
        <x:v>81</x:v>
      </x:c>
      <x:c r="AX315" s="8" t="s">
        <x:v>82</x:v>
      </x:c>
      <x:c r="AY315" s="8"/>
    </x:row>
    <x:row r="316" ht="69.94999694824219" customHeight="1">
      <x:c r="A316" s="1" t="s">
        <x:v>3900</x:v>
      </x:c>
      <x:c r="B316" s="8" t="s">
        <x:v>3901</x:v>
      </x:c>
      <x:c r="C316" s="1" t="s">
        <x:v>3902</x:v>
      </x:c>
      <x:c r="D316" s="8" t="s">
        <x:v>73</x:v>
      </x:c>
      <x:c r="E316" s="1" t="s">
        <x:v>76</x:v>
      </x:c>
      <x:c r="F316" s="8" t="s">
        <x:v>3903</x:v>
      </x:c>
      <x:c r="G316" s="1" t="s">
        <x:v>3904</x:v>
      </x:c>
      <x:c r="H316" s="8" t="s">
        <x:v>1992</x:v>
      </x:c>
      <x:c r="I316" s="4">
        <x:v>2022</x:v>
      </x:c>
      <x:c r="J316" s="8" t="s">
        <x:v>512</x:v>
      </x:c>
      <x:c r="K316" s="1" t="s">
        <x:v>416</x:v>
      </x:c>
      <x:c r="L316" s="8" t="s">
        <x:v>3905</x:v>
      </x:c>
      <x:c r="M316" s="1" t="s">
        <x:v>61</x:v>
      </x:c>
      <x:c r="N316" s="8"/>
      <x:c r="O316" s="1"/>
      <x:c r="P316" s="8"/>
      <x:c r="Q316" s="1"/>
      <x:c r="R316" s="8" t="s">
        <x:v>3906</x:v>
      </x:c>
      <x:c r="S316" s="3"/>
      <x:c r="T316" s="8" t="s">
        <x:v>63</x:v>
      </x:c>
      <x:c r="U316" s="1" t="s">
        <x:v>3867</x:v>
      </x:c>
      <x:c r="V316" s="13">
        <x:v>11</x:v>
      </x:c>
      <x:c r="W316" s="1" t="s">
        <x:v>65</x:v>
      </x:c>
      <x:c r="X316" s="8" t="s">
        <x:v>66</x:v>
      </x:c>
      <x:c r="Y316" s="1" t="str">
        <x:v>Проверено автором исследования</x:v>
      </x:c>
      <x:c r="Z316" s="8" t="s">
        <x:v>3907</x:v>
      </x:c>
      <x:c r="AA316" s="1" t="s">
        <x:v>3869</x:v>
      </x:c>
      <x:c r="AB316" s="13">
        <x:v>2025</x:v>
      </x:c>
      <x:c r="AC316" s="3"/>
      <x:c r="AD316" s="8" t="s">
        <x:v>93</x:v>
      </x:c>
      <x:c r="AE316" s="1" t="s">
        <x:v>3908</x:v>
      </x:c>
      <x:c r="AF316" s="8" t="s">
        <x:v>118</x:v>
      </x:c>
      <x:c r="AG316" s="1" t="s">
        <x:v>3871</x:v>
      </x:c>
      <x:c r="AH316" s="8" t="str">
        <x:v>Краткая затекстовая ссылка; повторная документальная сверка выполнена</x:v>
      </x:c>
      <x:c r="AI316" s="1"/>
      <x:c r="AJ316" s="17"/>
      <x:c r="AK316" s="1" t="s">
        <x:v>73</x:v>
      </x:c>
      <x:c r="AL316" s="8" t="s">
        <x:v>74</x:v>
      </x:c>
      <x:c r="AM316" s="1"/>
      <x:c r="AN316" s="8" t="s">
        <x:v>95</x:v>
      </x:c>
      <x:c r="AO316" s="1" t="s">
        <x:v>76</x:v>
      </x:c>
      <x:c r="AP316" s="8"/>
      <x:c r="AQ316" s="1" t="s">
        <x:v>77</x:v>
      </x:c>
      <x:c r="AR316" s="8" t="str">
        <x:v>Проверка автором исследования</x:v>
      </x:c>
      <x:c r="AS316" s="1"/>
      <x:c r="AT316" s="8" t="s">
        <x:v>96</x:v>
      </x:c>
      <x:c r="AU316" s="1" t="s">
        <x:v>447</x:v>
      </x:c>
      <x:c r="AV316" s="17">
        <x:v>46321</x:v>
      </x:c>
      <x:c r="AW316" s="1" t="s">
        <x:v>81</x:v>
      </x:c>
      <x:c r="AX316" s="8" t="s">
        <x:v>82</x:v>
      </x:c>
      <x:c r="AY316" s="8"/>
    </x:row>
    <x:row r="317" ht="111.94999694824219" customHeight="1">
      <x:c r="A317" s="1" t="s">
        <x:v>3909</x:v>
      </x:c>
      <x:c r="B317" s="8" t="s">
        <x:v>3910</x:v>
      </x:c>
      <x:c r="C317" s="1" t="s">
        <x:v>3911</x:v>
      </x:c>
      <x:c r="D317" s="8" t="s">
        <x:v>53</x:v>
      </x:c>
      <x:c r="E317" s="1" t="s">
        <x:v>54</x:v>
      </x:c>
      <x:c r="F317" s="8" t="s">
        <x:v>3912</x:v>
      </x:c>
      <x:c r="G317" s="1" t="s">
        <x:v>3913</x:v>
      </x:c>
      <x:c r="H317" s="8" t="s">
        <x:v>3914</x:v>
      </x:c>
      <x:c r="I317" s="4">
        <x:v>2024</x:v>
      </x:c>
      <x:c r="J317" s="8"/>
      <x:c r="K317" s="1" t="s">
        <x:v>3915</x:v>
      </x:c>
      <x:c r="L317" s="8" t="s">
        <x:v>3916</x:v>
      </x:c>
      <x:c r="M317" s="1" t="s">
        <x:v>61</x:v>
      </x:c>
      <x:c r="N317" s="8"/>
      <x:c r="O317" s="1"/>
      <x:c r="P317" s="8"/>
      <x:c r="Q317" s="1"/>
      <x:c r="R317" s="8" t="s">
        <x:v>3917</x:v>
      </x:c>
      <x:c r="S317" s="3"/>
      <x:c r="T317" s="8" t="s">
        <x:v>63</x:v>
      </x:c>
      <x:c r="U317" s="1" t="s">
        <x:v>3867</x:v>
      </x:c>
      <x:c r="V317" s="13">
        <x:v>17</x:v>
      </x:c>
      <x:c r="W317" s="1" t="s">
        <x:v>65</x:v>
      </x:c>
      <x:c r="X317" s="8" t="s">
        <x:v>66</x:v>
      </x:c>
      <x:c r="Y317" s="1" t="str">
        <x:v>Проверено автором исследования</x:v>
      </x:c>
      <x:c r="Z317" s="8" t="s">
        <x:v>3918</x:v>
      </x:c>
      <x:c r="AA317" s="1" t="s">
        <x:v>3869</x:v>
      </x:c>
      <x:c r="AB317" s="13">
        <x:v>2025</x:v>
      </x:c>
      <x:c r="AC317" s="3">
        <x:v>46322</x:v>
      </x:c>
      <x:c r="AD317" s="8" t="s">
        <x:v>69</x:v>
      </x:c>
      <x:c r="AE317" s="1" t="s">
        <x:v>3919</x:v>
      </x:c>
      <x:c r="AF317" s="8" t="s">
        <x:v>118</x:v>
      </x:c>
      <x:c r="AG317" s="1" t="s">
        <x:v>3871</x:v>
      </x:c>
      <x:c r="AH317" s="8" t="str">
        <x:v>Краткая затекстовая ссылка; повторная документальная сверка выполнена</x:v>
      </x:c>
      <x:c r="AI317" s="1"/>
      <x:c r="AJ317" s="17"/>
      <x:c r="AK317" s="1" t="s">
        <x:v>73</x:v>
      </x:c>
      <x:c r="AL317" s="8" t="s">
        <x:v>74</x:v>
      </x:c>
      <x:c r="AM317" s="1"/>
      <x:c r="AN317" s="8" t="s">
        <x:v>75</x:v>
      </x:c>
      <x:c r="AO317" s="1" t="s">
        <x:v>76</x:v>
      </x:c>
      <x:c r="AP317" s="8"/>
      <x:c r="AQ317" s="1" t="s">
        <x:v>77</x:v>
      </x:c>
      <x:c r="AR317" s="8" t="str">
        <x:v>Проверка автором исследования</x:v>
      </x:c>
      <x:c r="AS317" s="1" t="s">
        <x:v>3920</x:v>
      </x:c>
      <x:c r="AT317" s="8" t="s">
        <x:v>3921</x:v>
      </x:c>
      <x:c r="AU317" s="1" t="s">
        <x:v>3922</x:v>
      </x:c>
      <x:c r="AV317" s="17">
        <x:v>46321</x:v>
      </x:c>
      <x:c r="AW317" s="1" t="s">
        <x:v>81</x:v>
      </x:c>
      <x:c r="AX317" s="8" t="s">
        <x:v>82</x:v>
      </x:c>
      <x:c r="AY317" s="8"/>
    </x:row>
    <x:row r="318" ht="84" customHeight="1">
      <x:c r="A318" s="1" t="s">
        <x:v>3923</x:v>
      </x:c>
      <x:c r="B318" s="8" t="s">
        <x:v>3924</x:v>
      </x:c>
      <x:c r="C318" s="1" t="s">
        <x:v>3925</x:v>
      </x:c>
      <x:c r="D318" s="8" t="s">
        <x:v>53</x:v>
      </x:c>
      <x:c r="E318" s="1" t="s">
        <x:v>54</x:v>
      </x:c>
      <x:c r="F318" s="8" t="s">
        <x:v>3926</x:v>
      </x:c>
      <x:c r="G318" s="1" t="s">
        <x:v>3927</x:v>
      </x:c>
      <x:c r="H318" s="8" t="s">
        <x:v>3928</x:v>
      </x:c>
      <x:c r="I318" s="4">
        <x:v>2024</x:v>
      </x:c>
      <x:c r="J318" s="8" t="s">
        <x:v>931</x:v>
      </x:c>
      <x:c r="K318" s="1" t="s">
        <x:v>3929</x:v>
      </x:c>
      <x:c r="L318" s="8" t="s">
        <x:v>3930</x:v>
      </x:c>
      <x:c r="M318" s="1" t="s">
        <x:v>61</x:v>
      </x:c>
      <x:c r="N318" s="8"/>
      <x:c r="O318" s="1"/>
      <x:c r="P318" s="8"/>
      <x:c r="Q318" s="1"/>
      <x:c r="R318" s="8" t="s">
        <x:v>3931</x:v>
      </x:c>
      <x:c r="S318" s="3"/>
      <x:c r="T318" s="8" t="s">
        <x:v>63</x:v>
      </x:c>
      <x:c r="U318" s="1" t="s">
        <x:v>3867</x:v>
      </x:c>
      <x:c r="V318" s="13">
        <x:v>18</x:v>
      </x:c>
      <x:c r="W318" s="1" t="s">
        <x:v>65</x:v>
      </x:c>
      <x:c r="X318" s="8" t="s">
        <x:v>66</x:v>
      </x:c>
      <x:c r="Y318" s="1" t="str">
        <x:v>Проверено автором исследования</x:v>
      </x:c>
      <x:c r="Z318" s="8" t="s">
        <x:v>3932</x:v>
      </x:c>
      <x:c r="AA318" s="1" t="s">
        <x:v>3869</x:v>
      </x:c>
      <x:c r="AB318" s="13">
        <x:v>2025</x:v>
      </x:c>
      <x:c r="AC318" s="3">
        <x:v>46322</x:v>
      </x:c>
      <x:c r="AD318" s="8" t="s">
        <x:v>69</x:v>
      </x:c>
      <x:c r="AE318" s="1" t="s">
        <x:v>3933</x:v>
      </x:c>
      <x:c r="AF318" s="8" t="s">
        <x:v>118</x:v>
      </x:c>
      <x:c r="AG318" s="1" t="s">
        <x:v>3871</x:v>
      </x:c>
      <x:c r="AH318" s="8" t="str">
        <x:v>Краткая затекстовая ссылка; повторная документальная сверка выполнена</x:v>
      </x:c>
      <x:c r="AI318" s="1"/>
      <x:c r="AJ318" s="17"/>
      <x:c r="AK318" s="1" t="s">
        <x:v>73</x:v>
      </x:c>
      <x:c r="AL318" s="8" t="s">
        <x:v>74</x:v>
      </x:c>
      <x:c r="AM318" s="1"/>
      <x:c r="AN318" s="8" t="s">
        <x:v>75</x:v>
      </x:c>
      <x:c r="AO318" s="1" t="s">
        <x:v>76</x:v>
      </x:c>
      <x:c r="AP318" s="8"/>
      <x:c r="AQ318" s="1" t="s">
        <x:v>77</x:v>
      </x:c>
      <x:c r="AR318" s="8" t="str">
        <x:v>Проверка автором исследования</x:v>
      </x:c>
      <x:c r="AS318" s="1" t="s">
        <x:v>3934</x:v>
      </x:c>
      <x:c r="AT318" s="8" t="s">
        <x:v>3935</x:v>
      </x:c>
      <x:c r="AU318" s="1" t="s">
        <x:v>3936</x:v>
      </x:c>
      <x:c r="AV318" s="17">
        <x:v>46321</x:v>
      </x:c>
      <x:c r="AW318" s="1" t="s">
        <x:v>81</x:v>
      </x:c>
      <x:c r="AX318" s="8" t="s">
        <x:v>82</x:v>
      </x:c>
      <x:c r="AY318" s="8"/>
    </x:row>
    <x:row r="319" ht="69.94999694824219" customHeight="1">
      <x:c r="A319" s="1" t="s">
        <x:v>3937</x:v>
      </x:c>
      <x:c r="B319" s="8" t="s">
        <x:v>3938</x:v>
      </x:c>
      <x:c r="C319" s="1" t="s">
        <x:v>3939</x:v>
      </x:c>
      <x:c r="D319" s="8" t="s">
        <x:v>53</x:v>
      </x:c>
      <x:c r="E319" s="1" t="s">
        <x:v>54</x:v>
      </x:c>
      <x:c r="F319" s="8" t="s">
        <x:v>3940</x:v>
      </x:c>
      <x:c r="G319" s="1" t="s">
        <x:v>3941</x:v>
      </x:c>
      <x:c r="H319" s="8" t="s">
        <x:v>1648</x:v>
      </x:c>
      <x:c r="I319" s="4">
        <x:v>2018</x:v>
      </x:c>
      <x:c r="J319" s="8" t="s">
        <x:v>630</x:v>
      </x:c>
      <x:c r="K319" s="1" t="s">
        <x:v>239</x:v>
      </x:c>
      <x:c r="L319" s="8" t="s">
        <x:v>3942</x:v>
      </x:c>
      <x:c r="M319" s="1" t="s">
        <x:v>61</x:v>
      </x:c>
      <x:c r="N319" s="8"/>
      <x:c r="O319" s="1"/>
      <x:c r="P319" s="8"/>
      <x:c r="Q319" s="1"/>
      <x:c r="R319" s="8" t="s">
        <x:v>3943</x:v>
      </x:c>
      <x:c r="S319" s="3"/>
      <x:c r="T319" s="8" t="s">
        <x:v>63</x:v>
      </x:c>
      <x:c r="U319" s="1" t="s">
        <x:v>3944</x:v>
      </x:c>
      <x:c r="V319" s="13">
        <x:v>8</x:v>
      </x:c>
      <x:c r="W319" s="1" t="s">
        <x:v>65</x:v>
      </x:c>
      <x:c r="X319" s="8" t="s">
        <x:v>66</x:v>
      </x:c>
      <x:c r="Y319" s="1" t="str">
        <x:v>Проверено автором исследования</x:v>
      </x:c>
      <x:c r="Z319" s="8" t="s">
        <x:v>3945</x:v>
      </x:c>
      <x:c r="AA319" s="1" t="s">
        <x:v>3946</x:v>
      </x:c>
      <x:c r="AB319" s="13">
        <x:v>2025</x:v>
      </x:c>
      <x:c r="AC319" s="3">
        <x:v>46322</x:v>
      </x:c>
      <x:c r="AD319" s="8" t="s">
        <x:v>69</x:v>
      </x:c>
      <x:c r="AE319" s="1" t="s">
        <x:v>3947</x:v>
      </x:c>
      <x:c r="AF319" s="8" t="s">
        <x:v>118</x:v>
      </x:c>
      <x:c r="AG319" s="1" t="s">
        <x:v>3948</x:v>
      </x:c>
      <x:c r="AH319" s="8" t="str">
        <x:v>Краткая затекстовая ссылка; повторная документальная сверка выполнена</x:v>
      </x:c>
      <x:c r="AI319" s="1"/>
      <x:c r="AJ319" s="17"/>
      <x:c r="AK319" s="1" t="s">
        <x:v>73</x:v>
      </x:c>
      <x:c r="AL319" s="8" t="s">
        <x:v>74</x:v>
      </x:c>
      <x:c r="AM319" s="1"/>
      <x:c r="AN319" s="8" t="s">
        <x:v>75</x:v>
      </x:c>
      <x:c r="AO319" s="1" t="s">
        <x:v>76</x:v>
      </x:c>
      <x:c r="AP319" s="8"/>
      <x:c r="AQ319" s="1" t="s">
        <x:v>77</x:v>
      </x:c>
      <x:c r="AR319" s="8" t="str">
        <x:v>Проверка автором исследования</x:v>
      </x:c>
      <x:c r="AS319" s="1" t="s">
        <x:v>3949</x:v>
      </x:c>
      <x:c r="AT319" s="8" t="s">
        <x:v>3950</x:v>
      </x:c>
      <x:c r="AU319" s="1" t="s">
        <x:v>3951</x:v>
      </x:c>
      <x:c r="AV319" s="17">
        <x:v>46321</x:v>
      </x:c>
      <x:c r="AW319" s="1" t="s">
        <x:v>81</x:v>
      </x:c>
      <x:c r="AX319" s="8" t="s">
        <x:v>82</x:v>
      </x:c>
      <x:c r="AY319" s="8"/>
    </x:row>
    <x:row r="320" ht="84" customHeight="1">
      <x:c r="A320" s="1" t="s">
        <x:v>3952</x:v>
      </x:c>
      <x:c r="B320" s="8" t="s">
        <x:v>3953</x:v>
      </x:c>
      <x:c r="C320" s="1" t="s">
        <x:v>3954</x:v>
      </x:c>
      <x:c r="D320" s="8" t="s">
        <x:v>53</x:v>
      </x:c>
      <x:c r="E320" s="1" t="s">
        <x:v>54</x:v>
      </x:c>
      <x:c r="F320" s="8" t="s">
        <x:v>3955</x:v>
      </x:c>
      <x:c r="G320" s="1" t="s">
        <x:v>3956</x:v>
      </x:c>
      <x:c r="H320" s="8" t="s">
        <x:v>3957</x:v>
      </x:c>
      <x:c r="I320" s="4">
        <x:v>2021</x:v>
      </x:c>
      <x:c r="J320" s="8"/>
      <x:c r="K320" s="1" t="s">
        <x:v>416</x:v>
      </x:c>
      <x:c r="L320" s="8" t="s">
        <x:v>3958</x:v>
      </x:c>
      <x:c r="M320" s="1" t="s">
        <x:v>61</x:v>
      </x:c>
      <x:c r="N320" s="8"/>
      <x:c r="O320" s="1"/>
      <x:c r="P320" s="8"/>
      <x:c r="Q320" s="1"/>
      <x:c r="R320" s="8" t="s">
        <x:v>3959</x:v>
      </x:c>
      <x:c r="S320" s="3"/>
      <x:c r="T320" s="8" t="s">
        <x:v>63</x:v>
      </x:c>
      <x:c r="U320" s="1" t="s">
        <x:v>3960</x:v>
      </x:c>
      <x:c r="V320" s="13">
        <x:v>2</x:v>
      </x:c>
      <x:c r="W320" s="1" t="s">
        <x:v>65</x:v>
      </x:c>
      <x:c r="X320" s="8" t="s">
        <x:v>66</x:v>
      </x:c>
      <x:c r="Y320" s="1" t="str">
        <x:v>Проверено автором исследования</x:v>
      </x:c>
      <x:c r="Z320" s="8" t="s">
        <x:v>3961</x:v>
      </x:c>
      <x:c r="AA320" s="1" t="s">
        <x:v>3962</x:v>
      </x:c>
      <x:c r="AB320" s="13">
        <x:v>2025</x:v>
      </x:c>
      <x:c r="AC320" s="3">
        <x:v>46322</x:v>
      </x:c>
      <x:c r="AD320" s="8" t="s">
        <x:v>69</x:v>
      </x:c>
      <x:c r="AE320" s="1" t="s">
        <x:v>3963</x:v>
      </x:c>
      <x:c r="AF320" s="8" t="s">
        <x:v>118</x:v>
      </x:c>
      <x:c r="AG320" s="1" t="s">
        <x:v>3964</x:v>
      </x:c>
      <x:c r="AH320" s="8" t="str">
        <x:v>Краткая затекстовая ссылка; повторная документальная сверка выполнена</x:v>
      </x:c>
      <x:c r="AI320" s="1"/>
      <x:c r="AJ320" s="17"/>
      <x:c r="AK320" s="1" t="s">
        <x:v>73</x:v>
      </x:c>
      <x:c r="AL320" s="8" t="s">
        <x:v>74</x:v>
      </x:c>
      <x:c r="AM320" s="1"/>
      <x:c r="AN320" s="8" t="s">
        <x:v>75</x:v>
      </x:c>
      <x:c r="AO320" s="1" t="s">
        <x:v>76</x:v>
      </x:c>
      <x:c r="AP320" s="8"/>
      <x:c r="AQ320" s="1" t="s">
        <x:v>77</x:v>
      </x:c>
      <x:c r="AR320" s="8" t="str">
        <x:v>Проверка автором исследования</x:v>
      </x:c>
      <x:c r="AS320" s="1" t="s">
        <x:v>3965</x:v>
      </x:c>
      <x:c r="AT320" s="8" t="s">
        <x:v>3966</x:v>
      </x:c>
      <x:c r="AU320" s="1" t="s">
        <x:v>3967</x:v>
      </x:c>
      <x:c r="AV320" s="17">
        <x:v>46321</x:v>
      </x:c>
      <x:c r="AW320" s="1" t="s">
        <x:v>81</x:v>
      </x:c>
      <x:c r="AX320" s="8" t="s">
        <x:v>82</x:v>
      </x:c>
      <x:c r="AY320" s="8"/>
    </x:row>
    <x:row r="321" ht="98.0999984741211" customHeight="1">
      <x:c r="A321" s="1" t="s">
        <x:v>3968</x:v>
      </x:c>
      <x:c r="B321" s="8" t="s">
        <x:v>3969</x:v>
      </x:c>
      <x:c r="C321" s="1" t="s">
        <x:v>3970</x:v>
      </x:c>
      <x:c r="D321" s="8" t="s">
        <x:v>53</x:v>
      </x:c>
      <x:c r="E321" s="1" t="s">
        <x:v>54</x:v>
      </x:c>
      <x:c r="F321" s="8" t="s">
        <x:v>3971</x:v>
      </x:c>
      <x:c r="G321" s="1" t="s">
        <x:v>3972</x:v>
      </x:c>
      <x:c r="H321" s="8" t="s">
        <x:v>3973</x:v>
      </x:c>
      <x:c r="I321" s="4">
        <x:v>2024</x:v>
      </x:c>
      <x:c r="J321" s="8" t="s">
        <x:v>2617</x:v>
      </x:c>
      <x:c r="K321" s="1" t="s">
        <x:v>1346</x:v>
      </x:c>
      <x:c r="L321" s="8" t="s">
        <x:v>3974</x:v>
      </x:c>
      <x:c r="M321" s="1" t="s">
        <x:v>61</x:v>
      </x:c>
      <x:c r="N321" s="8"/>
      <x:c r="O321" s="1"/>
      <x:c r="P321" s="8"/>
      <x:c r="Q321" s="1"/>
      <x:c r="R321" s="8" t="s">
        <x:v>3975</x:v>
      </x:c>
      <x:c r="S321" s="3"/>
      <x:c r="T321" s="8" t="s">
        <x:v>63</x:v>
      </x:c>
      <x:c r="U321" s="1" t="s">
        <x:v>3960</x:v>
      </x:c>
      <x:c r="V321" s="13">
        <x:v>10</x:v>
      </x:c>
      <x:c r="W321" s="1" t="s">
        <x:v>65</x:v>
      </x:c>
      <x:c r="X321" s="8" t="s">
        <x:v>66</x:v>
      </x:c>
      <x:c r="Y321" s="1" t="str">
        <x:v>Проверено автором исследования</x:v>
      </x:c>
      <x:c r="Z321" s="8" t="s">
        <x:v>3976</x:v>
      </x:c>
      <x:c r="AA321" s="1" t="s">
        <x:v>3962</x:v>
      </x:c>
      <x:c r="AB321" s="13">
        <x:v>2025</x:v>
      </x:c>
      <x:c r="AC321" s="3">
        <x:v>46322</x:v>
      </x:c>
      <x:c r="AD321" s="8" t="s">
        <x:v>69</x:v>
      </x:c>
      <x:c r="AE321" s="1" t="s">
        <x:v>3977</x:v>
      </x:c>
      <x:c r="AF321" s="8" t="s">
        <x:v>118</x:v>
      </x:c>
      <x:c r="AG321" s="1" t="s">
        <x:v>3964</x:v>
      </x:c>
      <x:c r="AH321" s="8" t="str">
        <x:v>Краткая затекстовая ссылка; повторная документальная сверка выполнена</x:v>
      </x:c>
      <x:c r="AI321" s="1"/>
      <x:c r="AJ321" s="17"/>
      <x:c r="AK321" s="1" t="s">
        <x:v>73</x:v>
      </x:c>
      <x:c r="AL321" s="8" t="s">
        <x:v>74</x:v>
      </x:c>
      <x:c r="AM321" s="1"/>
      <x:c r="AN321" s="8" t="s">
        <x:v>75</x:v>
      </x:c>
      <x:c r="AO321" s="1" t="s">
        <x:v>76</x:v>
      </x:c>
      <x:c r="AP321" s="8"/>
      <x:c r="AQ321" s="1" t="s">
        <x:v>77</x:v>
      </x:c>
      <x:c r="AR321" s="8" t="str">
        <x:v>Проверка автором исследования</x:v>
      </x:c>
      <x:c r="AS321" s="1" t="s">
        <x:v>3978</x:v>
      </x:c>
      <x:c r="AT321" s="8" t="s">
        <x:v>3979</x:v>
      </x:c>
      <x:c r="AU321" s="1" t="s">
        <x:v>3980</x:v>
      </x:c>
      <x:c r="AV321" s="17">
        <x:v>46321</x:v>
      </x:c>
      <x:c r="AW321" s="1" t="s">
        <x:v>81</x:v>
      </x:c>
      <x:c r="AX321" s="8" t="s">
        <x:v>82</x:v>
      </x:c>
      <x:c r="AY321" s="8"/>
    </x:row>
    <x:row r="322" ht="126" customHeight="1">
      <x:c r="A322" s="1" t="s">
        <x:v>3981</x:v>
      </x:c>
      <x:c r="B322" s="8" t="s">
        <x:v>3982</x:v>
      </x:c>
      <x:c r="C322" s="1" t="s">
        <x:v>3983</x:v>
      </x:c>
      <x:c r="D322" s="8" t="s">
        <x:v>53</x:v>
      </x:c>
      <x:c r="E322" s="1" t="s">
        <x:v>54</x:v>
      </x:c>
      <x:c r="F322" s="8" t="s">
        <x:v>3984</x:v>
      </x:c>
      <x:c r="G322" s="1" t="s">
        <x:v>3985</x:v>
      </x:c>
      <x:c r="H322" s="8" t="s">
        <x:v>2281</x:v>
      </x:c>
      <x:c r="I322" s="4">
        <x:v>2016</x:v>
      </x:c>
      <x:c r="J322" s="8"/>
      <x:c r="K322" s="1" t="s">
        <x:v>3986</x:v>
      </x:c>
      <x:c r="L322" s="8" t="s">
        <x:v>3987</x:v>
      </x:c>
      <x:c r="M322" s="1" t="s">
        <x:v>61</x:v>
      </x:c>
      <x:c r="N322" s="8"/>
      <x:c r="O322" s="1"/>
      <x:c r="P322" s="8"/>
      <x:c r="Q322" s="1"/>
      <x:c r="R322" s="8" t="s">
        <x:v>3988</x:v>
      </x:c>
      <x:c r="S322" s="3"/>
      <x:c r="T322" s="8" t="s">
        <x:v>63</x:v>
      </x:c>
      <x:c r="U322" s="1" t="s">
        <x:v>3989</x:v>
      </x:c>
      <x:c r="V322" s="13">
        <x:v>7</x:v>
      </x:c>
      <x:c r="W322" s="1" t="s">
        <x:v>242</x:v>
      </x:c>
      <x:c r="X322" s="8" t="s">
        <x:v>66</x:v>
      </x:c>
      <x:c r="Y322" s="1" t="str">
        <x:v>Проверено автором; дополнительно проверено Михаилом Саяпиным</x:v>
      </x:c>
      <x:c r="Z322" s="8" t="s">
        <x:v>3990</x:v>
      </x:c>
      <x:c r="AA322" s="1" t="s">
        <x:v>3991</x:v>
      </x:c>
      <x:c r="AB322" s="13">
        <x:v>2025</x:v>
      </x:c>
      <x:c r="AC322" s="3">
        <x:v>46322</x:v>
      </x:c>
      <x:c r="AD322" s="8" t="s">
        <x:v>69</x:v>
      </x:c>
      <x:c r="AE322" s="1" t="s">
        <x:v>3992</x:v>
      </x:c>
      <x:c r="AF322" s="8" t="s">
        <x:v>118</x:v>
      </x:c>
      <x:c r="AG322" s="1" t="s">
        <x:v>3993</x:v>
      </x:c>
      <x:c r="AH322" s="8" t="s">
        <x:v>144</x:v>
      </x:c>
      <x:c r="AI322" s="1" t="s">
        <x:v>145</x:v>
      </x:c>
      <x:c r="AJ322" s="17">
        <x:v>46323</x:v>
      </x:c>
      <x:c r="AK322" s="1" t="s">
        <x:v>73</x:v>
      </x:c>
      <x:c r="AL322" s="8" t="s">
        <x:v>74</x:v>
      </x:c>
      <x:c r="AM322" s="1"/>
      <x:c r="AN322" s="8" t="s">
        <x:v>75</x:v>
      </x:c>
      <x:c r="AO322" s="1" t="s">
        <x:v>76</x:v>
      </x:c>
      <x:c r="AP322" s="8"/>
      <x:c r="AQ322" s="1" t="s">
        <x:v>77</x:v>
      </x:c>
      <x:c r="AR322" s="8" t="str">
        <x:v>Проверка автором исследования; дополнительная проверка Михаилом Саяпиным; согласование 28.10.2026</x:v>
      </x:c>
      <x:c r="AS322" s="1" t="s">
        <x:v>3994</x:v>
      </x:c>
      <x:c r="AT322" s="8" t="s">
        <x:v>3995</x:v>
      </x:c>
      <x:c r="AU322" s="1" t="s">
        <x:v>3996</x:v>
      </x:c>
      <x:c r="AV322" s="17">
        <x:v>46321</x:v>
      </x:c>
      <x:c r="AW322" s="1" t="s">
        <x:v>81</x:v>
      </x:c>
      <x:c r="AX322" s="8" t="s">
        <x:v>146</x:v>
      </x:c>
      <x:c r="AY322" s="8" t="s">
        <x:v>3997</x:v>
      </x:c>
    </x:row>
    <x:row r="323" ht="69.94999694824219" customHeight="1">
      <x:c r="A323" s="1" t="s">
        <x:v>3998</x:v>
      </x:c>
      <x:c r="B323" s="8" t="s">
        <x:v>3999</x:v>
      </x:c>
      <x:c r="C323" s="1" t="s">
        <x:v>4000</x:v>
      </x:c>
      <x:c r="D323" s="8" t="s">
        <x:v>53</x:v>
      </x:c>
      <x:c r="E323" s="1" t="s">
        <x:v>54</x:v>
      </x:c>
      <x:c r="F323" s="8" t="s">
        <x:v>4001</x:v>
      </x:c>
      <x:c r="G323" s="1" t="s">
        <x:v>4002</x:v>
      </x:c>
      <x:c r="H323" s="8" t="s">
        <x:v>4003</x:v>
      </x:c>
      <x:c r="I323" s="4">
        <x:v>2018</x:v>
      </x:c>
      <x:c r="J323" s="8"/>
      <x:c r="K323" s="1" t="s">
        <x:v>4004</x:v>
      </x:c>
      <x:c r="L323" s="8" t="s">
        <x:v>4005</x:v>
      </x:c>
      <x:c r="M323" s="1" t="s">
        <x:v>61</x:v>
      </x:c>
      <x:c r="N323" s="8"/>
      <x:c r="O323" s="1"/>
      <x:c r="P323" s="8"/>
      <x:c r="Q323" s="1"/>
      <x:c r="R323" s="8" t="s">
        <x:v>4006</x:v>
      </x:c>
      <x:c r="S323" s="3"/>
      <x:c r="T323" s="8" t="s">
        <x:v>63</x:v>
      </x:c>
      <x:c r="U323" s="1" t="s">
        <x:v>3989</x:v>
      </x:c>
      <x:c r="V323" s="13">
        <x:v>11</x:v>
      </x:c>
      <x:c r="W323" s="1" t="s">
        <x:v>65</x:v>
      </x:c>
      <x:c r="X323" s="8" t="s">
        <x:v>66</x:v>
      </x:c>
      <x:c r="Y323" s="1" t="str">
        <x:v>Проверено автором исследования</x:v>
      </x:c>
      <x:c r="Z323" s="8" t="s">
        <x:v>4007</x:v>
      </x:c>
      <x:c r="AA323" s="1" t="s">
        <x:v>3991</x:v>
      </x:c>
      <x:c r="AB323" s="13">
        <x:v>2025</x:v>
      </x:c>
      <x:c r="AC323" s="3">
        <x:v>46322</x:v>
      </x:c>
      <x:c r="AD323" s="8" t="s">
        <x:v>69</x:v>
      </x:c>
      <x:c r="AE323" s="1" t="s">
        <x:v>4008</x:v>
      </x:c>
      <x:c r="AF323" s="8" t="s">
        <x:v>118</x:v>
      </x:c>
      <x:c r="AG323" s="1" t="s">
        <x:v>3993</x:v>
      </x:c>
      <x:c r="AH323" s="8" t="str">
        <x:v>Краткая затекстовая ссылка; повторная документальная сверка выполнена</x:v>
      </x:c>
      <x:c r="AI323" s="1"/>
      <x:c r="AJ323" s="17"/>
      <x:c r="AK323" s="1" t="s">
        <x:v>73</x:v>
      </x:c>
      <x:c r="AL323" s="8" t="s">
        <x:v>74</x:v>
      </x:c>
      <x:c r="AM323" s="1"/>
      <x:c r="AN323" s="8" t="s">
        <x:v>75</x:v>
      </x:c>
      <x:c r="AO323" s="1" t="s">
        <x:v>76</x:v>
      </x:c>
      <x:c r="AP323" s="8"/>
      <x:c r="AQ323" s="1" t="s">
        <x:v>77</x:v>
      </x:c>
      <x:c r="AR323" s="8" t="str">
        <x:v>Проверка автором исследования</x:v>
      </x:c>
      <x:c r="AS323" s="1" t="s">
        <x:v>4009</x:v>
      </x:c>
      <x:c r="AT323" s="8" t="s">
        <x:v>4010</x:v>
      </x:c>
      <x:c r="AU323" s="1" t="s">
        <x:v>4011</x:v>
      </x:c>
      <x:c r="AV323" s="17">
        <x:v>46321</x:v>
      </x:c>
      <x:c r="AW323" s="1" t="s">
        <x:v>81</x:v>
      </x:c>
      <x:c r="AX323" s="8" t="s">
        <x:v>82</x:v>
      </x:c>
      <x:c r="AY323" s="8"/>
    </x:row>
    <x:row r="324" ht="69.94999694824219" customHeight="1">
      <x:c r="A324" s="1" t="s">
        <x:v>4012</x:v>
      </x:c>
      <x:c r="B324" s="8" t="s">
        <x:v>4013</x:v>
      </x:c>
      <x:c r="C324" s="1" t="s">
        <x:v>4014</x:v>
      </x:c>
      <x:c r="D324" s="8" t="s">
        <x:v>86</x:v>
      </x:c>
      <x:c r="E324" s="1" t="s">
        <x:v>76</x:v>
      </x:c>
      <x:c r="F324" s="8" t="s">
        <x:v>4015</x:v>
      </x:c>
      <x:c r="G324" s="1" t="s">
        <x:v>4016</x:v>
      </x:c>
      <x:c r="H324" s="8"/>
      <x:c r="I324" s="4">
        <x:v>1931</x:v>
      </x:c>
      <x:c r="J324" s="8"/>
      <x:c r="K324" s="1"/>
      <x:c r="L324" s="8" t="s">
        <x:v>2027</x:v>
      </x:c>
      <x:c r="M324" s="1" t="s">
        <x:v>90</x:v>
      </x:c>
      <x:c r="N324" s="8" t="s">
        <x:v>4017</x:v>
      </x:c>
      <x:c r="O324" s="1" t="s">
        <x:v>1122</x:v>
      </x:c>
      <x:c r="P324" s="8"/>
      <x:c r="Q324" s="1"/>
      <x:c r="R324" s="8"/>
      <x:c r="S324" s="3"/>
      <x:c r="T324" s="8" t="s">
        <x:v>63</x:v>
      </x:c>
      <x:c r="U324" s="1" t="s">
        <x:v>3989</x:v>
      </x:c>
      <x:c r="V324" s="13">
        <x:v>13</x:v>
      </x:c>
      <x:c r="W324" s="1" t="s">
        <x:v>65</x:v>
      </x:c>
      <x:c r="X324" s="8" t="s">
        <x:v>66</x:v>
      </x:c>
      <x:c r="Y324" s="1" t="str">
        <x:v>Проверено автором исследования</x:v>
      </x:c>
      <x:c r="Z324" s="8"/>
      <x:c r="AA324" s="1" t="s">
        <x:v>3991</x:v>
      </x:c>
      <x:c r="AB324" s="13">
        <x:v>2025</x:v>
      </x:c>
      <x:c r="AC324" s="3"/>
      <x:c r="AD324" s="8" t="s">
        <x:v>93</x:v>
      </x:c>
      <x:c r="AE324" s="1"/>
      <x:c r="AF324" s="8" t="s">
        <x:v>118</x:v>
      </x:c>
      <x:c r="AG324" s="1" t="s">
        <x:v>3993</x:v>
      </x:c>
      <x:c r="AH324" s="8" t="str">
        <x:v>Краткая затекстовая ссылка; повторная документальная сверка выполнена</x:v>
      </x:c>
      <x:c r="AI324" s="1"/>
      <x:c r="AJ324" s="17"/>
      <x:c r="AK324" s="1" t="s">
        <x:v>73</x:v>
      </x:c>
      <x:c r="AL324" s="8" t="s">
        <x:v>74</x:v>
      </x:c>
      <x:c r="AM324" s="1"/>
      <x:c r="AN324" s="8" t="s">
        <x:v>95</x:v>
      </x:c>
      <x:c r="AO324" s="1" t="s">
        <x:v>76</x:v>
      </x:c>
      <x:c r="AP324" s="8"/>
      <x:c r="AQ324" s="1" t="s">
        <x:v>77</x:v>
      </x:c>
      <x:c r="AR324" s="8" t="str">
        <x:v>Проверка автором исследования</x:v>
      </x:c>
      <x:c r="AS324" s="1"/>
      <x:c r="AT324" s="8" t="s">
        <x:v>96</x:v>
      </x:c>
      <x:c r="AU324" s="1" t="s">
        <x:v>97</x:v>
      </x:c>
      <x:c r="AV324" s="17"/>
      <x:c r="AW324" s="1" t="s">
        <x:v>98</x:v>
      </x:c>
      <x:c r="AX324" s="8" t="s">
        <x:v>82</x:v>
      </x:c>
      <x:c r="AY324" s="8"/>
    </x:row>
    <x:row r="325" ht="69.94999694824219" customHeight="1">
      <x:c r="A325" s="1" t="s">
        <x:v>4018</x:v>
      </x:c>
      <x:c r="B325" s="8" t="s">
        <x:v>4019</x:v>
      </x:c>
      <x:c r="C325" s="1" t="s">
        <x:v>4020</x:v>
      </x:c>
      <x:c r="D325" s="8" t="s">
        <x:v>86</x:v>
      </x:c>
      <x:c r="E325" s="1" t="s">
        <x:v>76</x:v>
      </x:c>
      <x:c r="F325" s="8" t="s">
        <x:v>4021</x:v>
      </x:c>
      <x:c r="G325" s="1" t="s">
        <x:v>4022</x:v>
      </x:c>
      <x:c r="H325" s="8"/>
      <x:c r="I325" s="4">
        <x:v>1996</x:v>
      </x:c>
      <x:c r="J325" s="8"/>
      <x:c r="K325" s="1"/>
      <x:c r="L325" s="8" t="s">
        <x:v>4023</x:v>
      </x:c>
      <x:c r="M325" s="1" t="s">
        <x:v>90</x:v>
      </x:c>
      <x:c r="N325" s="8" t="s">
        <x:v>4024</x:v>
      </x:c>
      <x:c r="O325" s="1" t="s">
        <x:v>1122</x:v>
      </x:c>
      <x:c r="P325" s="8"/>
      <x:c r="Q325" s="1"/>
      <x:c r="R325" s="8"/>
      <x:c r="S325" s="3"/>
      <x:c r="T325" s="8" t="s">
        <x:v>63</x:v>
      </x:c>
      <x:c r="U325" s="1" t="s">
        <x:v>4025</x:v>
      </x:c>
      <x:c r="V325" s="13">
        <x:v>5</x:v>
      </x:c>
      <x:c r="W325" s="1" t="s">
        <x:v>65</x:v>
      </x:c>
      <x:c r="X325" s="8" t="s">
        <x:v>66</x:v>
      </x:c>
      <x:c r="Y325" s="1" t="str">
        <x:v>Проверено автором исследования</x:v>
      </x:c>
      <x:c r="Z325" s="8"/>
      <x:c r="AA325" s="1" t="s">
        <x:v>4026</x:v>
      </x:c>
      <x:c r="AB325" s="13">
        <x:v>2026</x:v>
      </x:c>
      <x:c r="AC325" s="3"/>
      <x:c r="AD325" s="8" t="s">
        <x:v>93</x:v>
      </x:c>
      <x:c r="AE325" s="1"/>
      <x:c r="AF325" s="8" t="s">
        <x:v>118</x:v>
      </x:c>
      <x:c r="AG325" s="1" t="s">
        <x:v>4027</x:v>
      </x:c>
      <x:c r="AH325" s="8" t="str">
        <x:v>Краткая затекстовая ссылка; повторная документальная сверка выполнена</x:v>
      </x:c>
      <x:c r="AI325" s="1"/>
      <x:c r="AJ325" s="17"/>
      <x:c r="AK325" s="1" t="s">
        <x:v>73</x:v>
      </x:c>
      <x:c r="AL325" s="8" t="s">
        <x:v>74</x:v>
      </x:c>
      <x:c r="AM325" s="1"/>
      <x:c r="AN325" s="8" t="s">
        <x:v>95</x:v>
      </x:c>
      <x:c r="AO325" s="1" t="s">
        <x:v>76</x:v>
      </x:c>
      <x:c r="AP325" s="8"/>
      <x:c r="AQ325" s="1" t="s">
        <x:v>77</x:v>
      </x:c>
      <x:c r="AR325" s="8" t="str">
        <x:v>Проверка автором исследования</x:v>
      </x:c>
      <x:c r="AS325" s="1"/>
      <x:c r="AT325" s="8" t="s">
        <x:v>96</x:v>
      </x:c>
      <x:c r="AU325" s="1" t="s">
        <x:v>97</x:v>
      </x:c>
      <x:c r="AV325" s="17"/>
      <x:c r="AW325" s="1" t="s">
        <x:v>98</x:v>
      </x:c>
      <x:c r="AX325" s="8" t="s">
        <x:v>82</x:v>
      </x:c>
      <x:c r="AY325" s="8"/>
    </x:row>
    <x:row r="326" ht="84" customHeight="1">
      <x:c r="A326" s="1" t="s">
        <x:v>4028</x:v>
      </x:c>
      <x:c r="B326" s="8" t="s">
        <x:v>4029</x:v>
      </x:c>
      <x:c r="C326" s="1" t="s">
        <x:v>4030</x:v>
      </x:c>
      <x:c r="D326" s="8" t="s">
        <x:v>53</x:v>
      </x:c>
      <x:c r="E326" s="1" t="s">
        <x:v>54</x:v>
      </x:c>
      <x:c r="F326" s="8" t="s">
        <x:v>4031</x:v>
      </x:c>
      <x:c r="G326" s="1" t="s">
        <x:v>4032</x:v>
      </x:c>
      <x:c r="H326" s="8" t="s">
        <x:v>3648</x:v>
      </x:c>
      <x:c r="I326" s="4">
        <x:v>2024</x:v>
      </x:c>
      <x:c r="J326" s="8" t="s">
        <x:v>537</x:v>
      </x:c>
      <x:c r="K326" s="1" t="s">
        <x:v>190</x:v>
      </x:c>
      <x:c r="L326" s="8" t="s">
        <x:v>4033</x:v>
      </x:c>
      <x:c r="M326" s="1" t="s">
        <x:v>61</x:v>
      </x:c>
      <x:c r="N326" s="8"/>
      <x:c r="O326" s="1"/>
      <x:c r="P326" s="8"/>
      <x:c r="Q326" s="1"/>
      <x:c r="R326" s="8" t="s">
        <x:v>4034</x:v>
      </x:c>
      <x:c r="S326" s="3"/>
      <x:c r="T326" s="8" t="s">
        <x:v>63</x:v>
      </x:c>
      <x:c r="U326" s="1" t="s">
        <x:v>4025</x:v>
      </x:c>
      <x:c r="V326" s="13">
        <x:v>7</x:v>
      </x:c>
      <x:c r="W326" s="1" t="s">
        <x:v>65</x:v>
      </x:c>
      <x:c r="X326" s="8" t="s">
        <x:v>66</x:v>
      </x:c>
      <x:c r="Y326" s="1" t="str">
        <x:v>Проверено автором исследования</x:v>
      </x:c>
      <x:c r="Z326" s="8" t="s">
        <x:v>4035</x:v>
      </x:c>
      <x:c r="AA326" s="1" t="s">
        <x:v>4026</x:v>
      </x:c>
      <x:c r="AB326" s="13">
        <x:v>2026</x:v>
      </x:c>
      <x:c r="AC326" s="3">
        <x:v>46322</x:v>
      </x:c>
      <x:c r="AD326" s="8" t="s">
        <x:v>69</x:v>
      </x:c>
      <x:c r="AE326" s="1" t="s">
        <x:v>4036</x:v>
      </x:c>
      <x:c r="AF326" s="8" t="s">
        <x:v>118</x:v>
      </x:c>
      <x:c r="AG326" s="1" t="s">
        <x:v>4027</x:v>
      </x:c>
      <x:c r="AH326" s="8" t="str">
        <x:v>Краткая затекстовая ссылка; повторная документальная сверка выполнена</x:v>
      </x:c>
      <x:c r="AI326" s="1"/>
      <x:c r="AJ326" s="17"/>
      <x:c r="AK326" s="1" t="s">
        <x:v>73</x:v>
      </x:c>
      <x:c r="AL326" s="8" t="s">
        <x:v>74</x:v>
      </x:c>
      <x:c r="AM326" s="1"/>
      <x:c r="AN326" s="8" t="s">
        <x:v>75</x:v>
      </x:c>
      <x:c r="AO326" s="1" t="s">
        <x:v>76</x:v>
      </x:c>
      <x:c r="AP326" s="8"/>
      <x:c r="AQ326" s="1" t="s">
        <x:v>77</x:v>
      </x:c>
      <x:c r="AR326" s="8" t="str">
        <x:v>Проверка автором исследования</x:v>
      </x:c>
      <x:c r="AS326" s="1" t="s">
        <x:v>4037</x:v>
      </x:c>
      <x:c r="AT326" s="8" t="s">
        <x:v>4038</x:v>
      </x:c>
      <x:c r="AU326" s="1" t="s">
        <x:v>4039</x:v>
      </x:c>
      <x:c r="AV326" s="17">
        <x:v>46321</x:v>
      </x:c>
      <x:c r="AW326" s="1" t="s">
        <x:v>81</x:v>
      </x:c>
      <x:c r="AX326" s="8" t="s">
        <x:v>82</x:v>
      </x:c>
      <x:c r="AY326" s="8"/>
    </x:row>
    <x:row r="327" ht="69.94999694824219" customHeight="1">
      <x:c r="A327" s="1" t="s">
        <x:v>4040</x:v>
      </x:c>
      <x:c r="B327" s="8" t="s">
        <x:v>4041</x:v>
      </x:c>
      <x:c r="C327" s="1" t="s">
        <x:v>4042</x:v>
      </x:c>
      <x:c r="D327" s="8" t="s">
        <x:v>86</x:v>
      </x:c>
      <x:c r="E327" s="1" t="s">
        <x:v>76</x:v>
      </x:c>
      <x:c r="F327" s="8" t="s">
        <x:v>4043</x:v>
      </x:c>
      <x:c r="G327" s="1" t="s">
        <x:v>4044</x:v>
      </x:c>
      <x:c r="H327" s="8"/>
      <x:c r="I327" s="4">
        <x:v>2019</x:v>
      </x:c>
      <x:c r="J327" s="8"/>
      <x:c r="K327" s="1"/>
      <x:c r="L327" s="8" t="s">
        <x:v>4045</x:v>
      </x:c>
      <x:c r="M327" s="1" t="s">
        <x:v>90</x:v>
      </x:c>
      <x:c r="N327" s="8" t="s">
        <x:v>4046</x:v>
      </x:c>
      <x:c r="O327" s="1" t="s">
        <x:v>1122</x:v>
      </x:c>
      <x:c r="P327" s="8"/>
      <x:c r="Q327" s="1"/>
      <x:c r="R327" s="8"/>
      <x:c r="S327" s="3"/>
      <x:c r="T327" s="8" t="s">
        <x:v>63</x:v>
      </x:c>
      <x:c r="U327" s="1" t="s">
        <x:v>4047</x:v>
      </x:c>
      <x:c r="V327" s="13">
        <x:v>7</x:v>
      </x:c>
      <x:c r="W327" s="1" t="s">
        <x:v>65</x:v>
      </x:c>
      <x:c r="X327" s="8" t="s">
        <x:v>66</x:v>
      </x:c>
      <x:c r="Y327" s="1" t="str">
        <x:v>Проверено автором исследования</x:v>
      </x:c>
      <x:c r="Z327" s="8"/>
      <x:c r="AA327" s="1" t="s">
        <x:v>4048</x:v>
      </x:c>
      <x:c r="AB327" s="13">
        <x:v>2026</x:v>
      </x:c>
      <x:c r="AC327" s="3"/>
      <x:c r="AD327" s="8" t="s">
        <x:v>93</x:v>
      </x:c>
      <x:c r="AE327" s="1"/>
      <x:c r="AF327" s="8" t="s">
        <x:v>118</x:v>
      </x:c>
      <x:c r="AG327" s="1" t="s">
        <x:v>4049</x:v>
      </x:c>
      <x:c r="AH327" s="8" t="str">
        <x:v>Краткая затекстовая ссылка; повторная документальная сверка выполнена</x:v>
      </x:c>
      <x:c r="AI327" s="1"/>
      <x:c r="AJ327" s="17"/>
      <x:c r="AK327" s="1" t="s">
        <x:v>73</x:v>
      </x:c>
      <x:c r="AL327" s="8" t="s">
        <x:v>74</x:v>
      </x:c>
      <x:c r="AM327" s="1"/>
      <x:c r="AN327" s="8" t="s">
        <x:v>95</x:v>
      </x:c>
      <x:c r="AO327" s="1" t="s">
        <x:v>76</x:v>
      </x:c>
      <x:c r="AP327" s="8"/>
      <x:c r="AQ327" s="1" t="s">
        <x:v>77</x:v>
      </x:c>
      <x:c r="AR327" s="8" t="str">
        <x:v>Проверка автором исследования</x:v>
      </x:c>
      <x:c r="AS327" s="1"/>
      <x:c r="AT327" s="8" t="s">
        <x:v>96</x:v>
      </x:c>
      <x:c r="AU327" s="1" t="s">
        <x:v>97</x:v>
      </x:c>
      <x:c r="AV327" s="17"/>
      <x:c r="AW327" s="1" t="s">
        <x:v>98</x:v>
      </x:c>
      <x:c r="AX327" s="8" t="s">
        <x:v>82</x:v>
      </x:c>
      <x:c r="AY327" s="8"/>
    </x:row>
    <x:row r="328" ht="126" customHeight="1">
      <x:c r="A328" s="1" t="s">
        <x:v>4050</x:v>
      </x:c>
      <x:c r="B328" s="8" t="s">
        <x:v>4051</x:v>
      </x:c>
      <x:c r="C328" s="1" t="s">
        <x:v>4052</x:v>
      </x:c>
      <x:c r="D328" s="8" t="s">
        <x:v>53</x:v>
      </x:c>
      <x:c r="E328" s="1" t="s">
        <x:v>54</x:v>
      </x:c>
      <x:c r="F328" s="8" t="s">
        <x:v>4053</x:v>
      </x:c>
      <x:c r="G328" s="1" t="s">
        <x:v>4054</x:v>
      </x:c>
      <x:c r="H328" s="8" t="s">
        <x:v>4055</x:v>
      </x:c>
      <x:c r="I328" s="4">
        <x:v>2022</x:v>
      </x:c>
      <x:c r="J328" s="8"/>
      <x:c r="K328" s="1" t="s">
        <x:v>4056</x:v>
      </x:c>
      <x:c r="L328" s="8" t="s">
        <x:v>4057</x:v>
      </x:c>
      <x:c r="M328" s="1" t="s">
        <x:v>61</x:v>
      </x:c>
      <x:c r="N328" s="8"/>
      <x:c r="O328" s="1"/>
      <x:c r="P328" s="8"/>
      <x:c r="Q328" s="1"/>
      <x:c r="R328" s="8" t="s">
        <x:v>4058</x:v>
      </x:c>
      <x:c r="S328" s="3"/>
      <x:c r="T328" s="8" t="s">
        <x:v>63</x:v>
      </x:c>
      <x:c r="U328" s="1" t="s">
        <x:v>4047</x:v>
      </x:c>
      <x:c r="V328" s="13">
        <x:v>8</x:v>
      </x:c>
      <x:c r="W328" s="1" t="s">
        <x:v>65</x:v>
      </x:c>
      <x:c r="X328" s="8" t="s">
        <x:v>66</x:v>
      </x:c>
      <x:c r="Y328" s="1" t="str">
        <x:v>Проверено автором исследования</x:v>
      </x:c>
      <x:c r="Z328" s="8" t="s">
        <x:v>4059</x:v>
      </x:c>
      <x:c r="AA328" s="1" t="s">
        <x:v>4048</x:v>
      </x:c>
      <x:c r="AB328" s="13">
        <x:v>2026</x:v>
      </x:c>
      <x:c r="AC328" s="3">
        <x:v>46322</x:v>
      </x:c>
      <x:c r="AD328" s="8" t="s">
        <x:v>69</x:v>
      </x:c>
      <x:c r="AE328" s="1" t="s">
        <x:v>4060</x:v>
      </x:c>
      <x:c r="AF328" s="8" t="s">
        <x:v>118</x:v>
      </x:c>
      <x:c r="AG328" s="1" t="s">
        <x:v>4049</x:v>
      </x:c>
      <x:c r="AH328" s="8" t="str">
        <x:v>Краткая затекстовая ссылка; повторная документальная сверка выполнена</x:v>
      </x:c>
      <x:c r="AI328" s="1"/>
      <x:c r="AJ328" s="17"/>
      <x:c r="AK328" s="1" t="s">
        <x:v>73</x:v>
      </x:c>
      <x:c r="AL328" s="8" t="s">
        <x:v>74</x:v>
      </x:c>
      <x:c r="AM328" s="1"/>
      <x:c r="AN328" s="8" t="s">
        <x:v>75</x:v>
      </x:c>
      <x:c r="AO328" s="1" t="s">
        <x:v>76</x:v>
      </x:c>
      <x:c r="AP328" s="8"/>
      <x:c r="AQ328" s="1" t="s">
        <x:v>77</x:v>
      </x:c>
      <x:c r="AR328" s="8" t="str">
        <x:v>Проверка автором исследования</x:v>
      </x:c>
      <x:c r="AS328" s="1" t="s">
        <x:v>4061</x:v>
      </x:c>
      <x:c r="AT328" s="8" t="s">
        <x:v>4062</x:v>
      </x:c>
      <x:c r="AU328" s="1" t="s">
        <x:v>4063</x:v>
      </x:c>
      <x:c r="AV328" s="17">
        <x:v>46321</x:v>
      </x:c>
      <x:c r="AW328" s="1" t="s">
        <x:v>81</x:v>
      </x:c>
      <x:c r="AX328" s="8" t="s">
        <x:v>82</x:v>
      </x:c>
      <x:c r="AY328" s="8"/>
    </x:row>
    <x:row r="329" ht="140.10000610351562" customHeight="1">
      <x:c r="A329" s="1" t="s">
        <x:v>4064</x:v>
      </x:c>
      <x:c r="B329" s="8" t="s">
        <x:v>4065</x:v>
      </x:c>
      <x:c r="C329" s="1" t="s">
        <x:v>4066</x:v>
      </x:c>
      <x:c r="D329" s="8" t="s">
        <x:v>53</x:v>
      </x:c>
      <x:c r="E329" s="1" t="s">
        <x:v>54</x:v>
      </x:c>
      <x:c r="F329" s="8" t="s">
        <x:v>4053</x:v>
      </x:c>
      <x:c r="G329" s="1" t="s">
        <x:v>4067</x:v>
      </x:c>
      <x:c r="H329" s="8" t="s">
        <x:v>4055</x:v>
      </x:c>
      <x:c r="I329" s="4">
        <x:v>2021</x:v>
      </x:c>
      <x:c r="J329" s="8"/>
      <x:c r="K329" s="1" t="s">
        <x:v>4068</x:v>
      </x:c>
      <x:c r="L329" s="8" t="s">
        <x:v>4069</x:v>
      </x:c>
      <x:c r="M329" s="1" t="s">
        <x:v>61</x:v>
      </x:c>
      <x:c r="N329" s="8"/>
      <x:c r="O329" s="1"/>
      <x:c r="P329" s="8"/>
      <x:c r="Q329" s="1"/>
      <x:c r="R329" s="8" t="s">
        <x:v>4070</x:v>
      </x:c>
      <x:c r="S329" s="3"/>
      <x:c r="T329" s="8" t="s">
        <x:v>63</x:v>
      </x:c>
      <x:c r="U329" s="1" t="s">
        <x:v>4047</x:v>
      </x:c>
      <x:c r="V329" s="13">
        <x:v>9</x:v>
      </x:c>
      <x:c r="W329" s="1" t="s">
        <x:v>65</x:v>
      </x:c>
      <x:c r="X329" s="8" t="s">
        <x:v>66</x:v>
      </x:c>
      <x:c r="Y329" s="1" t="str">
        <x:v>Проверено автором исследования</x:v>
      </x:c>
      <x:c r="Z329" s="8" t="s">
        <x:v>4071</x:v>
      </x:c>
      <x:c r="AA329" s="1" t="s">
        <x:v>4048</x:v>
      </x:c>
      <x:c r="AB329" s="13">
        <x:v>2026</x:v>
      </x:c>
      <x:c r="AC329" s="3">
        <x:v>46322</x:v>
      </x:c>
      <x:c r="AD329" s="8" t="s">
        <x:v>69</x:v>
      </x:c>
      <x:c r="AE329" s="1" t="s">
        <x:v>4072</x:v>
      </x:c>
      <x:c r="AF329" s="8" t="s">
        <x:v>118</x:v>
      </x:c>
      <x:c r="AG329" s="1" t="s">
        <x:v>4049</x:v>
      </x:c>
      <x:c r="AH329" s="8" t="str">
        <x:v>Краткая затекстовая ссылка; повторная документальная сверка выполнена</x:v>
      </x:c>
      <x:c r="AI329" s="1"/>
      <x:c r="AJ329" s="17"/>
      <x:c r="AK329" s="1" t="s">
        <x:v>73</x:v>
      </x:c>
      <x:c r="AL329" s="8" t="s">
        <x:v>74</x:v>
      </x:c>
      <x:c r="AM329" s="1"/>
      <x:c r="AN329" s="8" t="s">
        <x:v>75</x:v>
      </x:c>
      <x:c r="AO329" s="1" t="s">
        <x:v>76</x:v>
      </x:c>
      <x:c r="AP329" s="8"/>
      <x:c r="AQ329" s="1" t="s">
        <x:v>77</x:v>
      </x:c>
      <x:c r="AR329" s="8" t="str">
        <x:v>Проверка автором исследования</x:v>
      </x:c>
      <x:c r="AS329" s="1" t="s">
        <x:v>4073</x:v>
      </x:c>
      <x:c r="AT329" s="8" t="s">
        <x:v>4074</x:v>
      </x:c>
      <x:c r="AU329" s="1" t="s">
        <x:v>4075</x:v>
      </x:c>
      <x:c r="AV329" s="17">
        <x:v>46321</x:v>
      </x:c>
      <x:c r="AW329" s="1" t="s">
        <x:v>81</x:v>
      </x:c>
      <x:c r="AX329" s="8" t="s">
        <x:v>82</x:v>
      </x:c>
      <x:c r="AY329" s="8"/>
    </x:row>
    <x:row r="330" ht="69.94999694824219" customHeight="1">
      <x:c r="A330" s="1" t="s">
        <x:v>4076</x:v>
      </x:c>
      <x:c r="B330" s="8" t="s">
        <x:v>4077</x:v>
      </x:c>
      <x:c r="C330" s="1" t="s">
        <x:v>4078</x:v>
      </x:c>
      <x:c r="D330" s="8" t="s">
        <x:v>73</x:v>
      </x:c>
      <x:c r="E330" s="1" t="s">
        <x:v>76</x:v>
      </x:c>
      <x:c r="F330" s="8" t="s">
        <x:v>4079</x:v>
      </x:c>
      <x:c r="G330" s="1" t="s">
        <x:v>4080</x:v>
      </x:c>
      <x:c r="H330" s="8" t="s">
        <x:v>1847</x:v>
      </x:c>
      <x:c r="I330" s="4">
        <x:v>2014</x:v>
      </x:c>
      <x:c r="J330" s="8"/>
      <x:c r="K330" s="1" t="s">
        <x:v>1346</x:v>
      </x:c>
      <x:c r="L330" s="8" t="s">
        <x:v>4081</x:v>
      </x:c>
      <x:c r="M330" s="1" t="s">
        <x:v>61</x:v>
      </x:c>
      <x:c r="N330" s="8"/>
      <x:c r="O330" s="1"/>
      <x:c r="P330" s="8"/>
      <x:c r="Q330" s="1"/>
      <x:c r="R330" s="8"/>
      <x:c r="S330" s="3"/>
      <x:c r="T330" s="8" t="s">
        <x:v>63</x:v>
      </x:c>
      <x:c r="U330" s="1" t="s">
        <x:v>4047</x:v>
      </x:c>
      <x:c r="V330" s="13">
        <x:v>10</x:v>
      </x:c>
      <x:c r="W330" s="1" t="s">
        <x:v>65</x:v>
      </x:c>
      <x:c r="X330" s="8" t="s">
        <x:v>66</x:v>
      </x:c>
      <x:c r="Y330" s="1" t="str">
        <x:v>Проверено автором исследования</x:v>
      </x:c>
      <x:c r="Z330" s="8"/>
      <x:c r="AA330" s="1" t="s">
        <x:v>4048</x:v>
      </x:c>
      <x:c r="AB330" s="13">
        <x:v>2026</x:v>
      </x:c>
      <x:c r="AC330" s="3"/>
      <x:c r="AD330" s="8" t="s">
        <x:v>93</x:v>
      </x:c>
      <x:c r="AE330" s="1" t="s">
        <x:v>4082</x:v>
      </x:c>
      <x:c r="AF330" s="8" t="s">
        <x:v>118</x:v>
      </x:c>
      <x:c r="AG330" s="1" t="s">
        <x:v>4049</x:v>
      </x:c>
      <x:c r="AH330" s="8" t="str">
        <x:v>Краткая затекстовая ссылка; повторная документальная сверка выполнена</x:v>
      </x:c>
      <x:c r="AI330" s="1"/>
      <x:c r="AJ330" s="17"/>
      <x:c r="AK330" s="1" t="s">
        <x:v>73</x:v>
      </x:c>
      <x:c r="AL330" s="8" t="s">
        <x:v>74</x:v>
      </x:c>
      <x:c r="AM330" s="1"/>
      <x:c r="AN330" s="8" t="s">
        <x:v>95</x:v>
      </x:c>
      <x:c r="AO330" s="1" t="s">
        <x:v>76</x:v>
      </x:c>
      <x:c r="AP330" s="8"/>
      <x:c r="AQ330" s="1" t="s">
        <x:v>77</x:v>
      </x:c>
      <x:c r="AR330" s="8" t="str">
        <x:v>Проверка автором исследования</x:v>
      </x:c>
      <x:c r="AS330" s="1"/>
      <x:c r="AT330" s="8" t="s">
        <x:v>96</x:v>
      </x:c>
      <x:c r="AU330" s="1" t="s">
        <x:v>97</x:v>
      </x:c>
      <x:c r="AV330" s="17"/>
      <x:c r="AW330" s="1" t="s">
        <x:v>98</x:v>
      </x:c>
      <x:c r="AX330" s="8" t="s">
        <x:v>82</x:v>
      </x:c>
      <x:c r="AY330" s="8"/>
    </x:row>
    <x:row r="331" ht="69.94999694824219" customHeight="1">
      <x:c r="A331" s="1" t="s">
        <x:v>4083</x:v>
      </x:c>
      <x:c r="B331" s="8" t="s">
        <x:v>4084</x:v>
      </x:c>
      <x:c r="C331" s="1" t="s">
        <x:v>4085</x:v>
      </x:c>
      <x:c r="D331" s="8" t="s">
        <x:v>73</x:v>
      </x:c>
      <x:c r="E331" s="1" t="s">
        <x:v>76</x:v>
      </x:c>
      <x:c r="F331" s="8" t="s">
        <x:v>4086</x:v>
      </x:c>
      <x:c r="G331" s="1" t="s">
        <x:v>4087</x:v>
      </x:c>
      <x:c r="H331" s="8" t="s">
        <x:v>4088</x:v>
      </x:c>
      <x:c r="I331" s="4">
        <x:v>2025</x:v>
      </x:c>
      <x:c r="J331" s="8" t="s">
        <x:v>2549</x:v>
      </x:c>
      <x:c r="K331" s="1" t="s">
        <x:v>239</x:v>
      </x:c>
      <x:c r="L331" s="8" t="s">
        <x:v>4089</x:v>
      </x:c>
      <x:c r="M331" s="1" t="s">
        <x:v>61</x:v>
      </x:c>
      <x:c r="N331" s="8"/>
      <x:c r="O331" s="1"/>
      <x:c r="P331" s="8"/>
      <x:c r="Q331" s="1"/>
      <x:c r="R331" s="8"/>
      <x:c r="S331" s="3"/>
      <x:c r="T331" s="8" t="s">
        <x:v>63</x:v>
      </x:c>
      <x:c r="U331" s="1" t="s">
        <x:v>4090</x:v>
      </x:c>
      <x:c r="V331" s="13">
        <x:v>4</x:v>
      </x:c>
      <x:c r="W331" s="1" t="s">
        <x:v>65</x:v>
      </x:c>
      <x:c r="X331" s="8" t="s">
        <x:v>66</x:v>
      </x:c>
      <x:c r="Y331" s="1" t="str">
        <x:v>Проверено автором исследования</x:v>
      </x:c>
      <x:c r="Z331" s="8"/>
      <x:c r="AA331" s="1" t="s">
        <x:v>4091</x:v>
      </x:c>
      <x:c r="AB331" s="13">
        <x:v>2026</x:v>
      </x:c>
      <x:c r="AC331" s="3"/>
      <x:c r="AD331" s="8" t="s">
        <x:v>93</x:v>
      </x:c>
      <x:c r="AE331" s="1" t="s">
        <x:v>4092</x:v>
      </x:c>
      <x:c r="AF331" s="8" t="s">
        <x:v>118</x:v>
      </x:c>
      <x:c r="AG331" s="1" t="s">
        <x:v>4093</x:v>
      </x:c>
      <x:c r="AH331" s="8" t="str">
        <x:v>Краткая затекстовая ссылка; повторная документальная сверка выполнена</x:v>
      </x:c>
      <x:c r="AI331" s="1"/>
      <x:c r="AJ331" s="17"/>
      <x:c r="AK331" s="1" t="s">
        <x:v>73</x:v>
      </x:c>
      <x:c r="AL331" s="8" t="s">
        <x:v>74</x:v>
      </x:c>
      <x:c r="AM331" s="1"/>
      <x:c r="AN331" s="8" t="s">
        <x:v>95</x:v>
      </x:c>
      <x:c r="AO331" s="1" t="s">
        <x:v>76</x:v>
      </x:c>
      <x:c r="AP331" s="8"/>
      <x:c r="AQ331" s="1" t="s">
        <x:v>77</x:v>
      </x:c>
      <x:c r="AR331" s="8" t="str">
        <x:v>Проверка автором исследования</x:v>
      </x:c>
      <x:c r="AS331" s="1"/>
      <x:c r="AT331" s="8" t="s">
        <x:v>96</x:v>
      </x:c>
      <x:c r="AU331" s="1" t="s">
        <x:v>97</x:v>
      </x:c>
      <x:c r="AV331" s="17"/>
      <x:c r="AW331" s="1" t="s">
        <x:v>98</x:v>
      </x:c>
      <x:c r="AX331" s="8" t="s">
        <x:v>82</x:v>
      </x:c>
      <x:c r="AY331" s="8"/>
    </x:row>
    <x:row r="332" ht="69.94999694824219" customHeight="1">
      <x:c r="A332" s="1" t="s">
        <x:v>4094</x:v>
      </x:c>
      <x:c r="B332" s="8" t="s">
        <x:v>4095</x:v>
      </x:c>
      <x:c r="C332" s="1" t="s">
        <x:v>4096</x:v>
      </x:c>
      <x:c r="D332" s="8" t="s">
        <x:v>86</x:v>
      </x:c>
      <x:c r="E332" s="1" t="s">
        <x:v>76</x:v>
      </x:c>
      <x:c r="F332" s="8" t="s">
        <x:v>4097</x:v>
      </x:c>
      <x:c r="G332" s="1" t="s">
        <x:v>4098</x:v>
      </x:c>
      <x:c r="H332" s="8"/>
      <x:c r="I332" s="4">
        <x:v>2023</x:v>
      </x:c>
      <x:c r="J332" s="8"/>
      <x:c r="K332" s="1"/>
      <x:c r="L332" s="8" t="s">
        <x:v>4099</x:v>
      </x:c>
      <x:c r="M332" s="1" t="s">
        <x:v>90</x:v>
      </x:c>
      <x:c r="N332" s="8" t="s">
        <x:v>4100</x:v>
      </x:c>
      <x:c r="O332" s="1" t="s">
        <x:v>1122</x:v>
      </x:c>
      <x:c r="P332" s="8"/>
      <x:c r="Q332" s="1"/>
      <x:c r="R332" s="8" t="s">
        <x:v>4101</x:v>
      </x:c>
      <x:c r="S332" s="3"/>
      <x:c r="T332" s="8" t="s">
        <x:v>63</x:v>
      </x:c>
      <x:c r="U332" s="1" t="s">
        <x:v>4090</x:v>
      </x:c>
      <x:c r="V332" s="13">
        <x:v>10</x:v>
      </x:c>
      <x:c r="W332" s="1" t="s">
        <x:v>65</x:v>
      </x:c>
      <x:c r="X332" s="8" t="s">
        <x:v>66</x:v>
      </x:c>
      <x:c r="Y332" s="1" t="str">
        <x:v>Проверено автором исследования</x:v>
      </x:c>
      <x:c r="Z332" s="8" t="s">
        <x:v>4102</x:v>
      </x:c>
      <x:c r="AA332" s="1" t="s">
        <x:v>4091</x:v>
      </x:c>
      <x:c r="AB332" s="13">
        <x:v>2026</x:v>
      </x:c>
      <x:c r="AC332" s="3"/>
      <x:c r="AD332" s="8" t="s">
        <x:v>93</x:v>
      </x:c>
      <x:c r="AE332" s="1" t="s">
        <x:v>4103</x:v>
      </x:c>
      <x:c r="AF332" s="8" t="s">
        <x:v>118</x:v>
      </x:c>
      <x:c r="AG332" s="1" t="s">
        <x:v>4093</x:v>
      </x:c>
      <x:c r="AH332" s="8" t="str">
        <x:v>Краткая затекстовая ссылка; повторная документальная сверка выполнена</x:v>
      </x:c>
      <x:c r="AI332" s="1"/>
      <x:c r="AJ332" s="17"/>
      <x:c r="AK332" s="1" t="s">
        <x:v>73</x:v>
      </x:c>
      <x:c r="AL332" s="8" t="s">
        <x:v>74</x:v>
      </x:c>
      <x:c r="AM332" s="1"/>
      <x:c r="AN332" s="8" t="s">
        <x:v>95</x:v>
      </x:c>
      <x:c r="AO332" s="1" t="s">
        <x:v>76</x:v>
      </x:c>
      <x:c r="AP332" s="8"/>
      <x:c r="AQ332" s="1" t="s">
        <x:v>77</x:v>
      </x:c>
      <x:c r="AR332" s="8" t="str">
        <x:v>Проверка автором исследования</x:v>
      </x:c>
      <x:c r="AS332" s="1"/>
      <x:c r="AT332" s="8" t="s">
        <x:v>96</x:v>
      </x:c>
      <x:c r="AU332" s="1" t="s">
        <x:v>447</x:v>
      </x:c>
      <x:c r="AV332" s="17">
        <x:v>46321</x:v>
      </x:c>
      <x:c r="AW332" s="1" t="s">
        <x:v>81</x:v>
      </x:c>
      <x:c r="AX332" s="8" t="s">
        <x:v>82</x:v>
      </x:c>
      <x:c r="AY332" s="8"/>
    </x:row>
    <x:row r="333" ht="140.10000610351562" customHeight="1">
      <x:c r="A333" s="1" t="s">
        <x:v>4104</x:v>
      </x:c>
      <x:c r="B333" s="8" t="s">
        <x:v>4105</x:v>
      </x:c>
      <x:c r="C333" s="1" t="s">
        <x:v>4106</x:v>
      </x:c>
      <x:c r="D333" s="8" t="s">
        <x:v>53</x:v>
      </x:c>
      <x:c r="E333" s="1" t="s">
        <x:v>54</x:v>
      </x:c>
      <x:c r="F333" s="8" t="s">
        <x:v>4107</x:v>
      </x:c>
      <x:c r="G333" s="1" t="s">
        <x:v>4108</x:v>
      </x:c>
      <x:c r="H333" s="8" t="s">
        <x:v>3648</x:v>
      </x:c>
      <x:c r="I333" s="4">
        <x:v>2021</x:v>
      </x:c>
      <x:c r="J333" s="8" t="s">
        <x:v>106</x:v>
      </x:c>
      <x:c r="K333" s="1" t="s">
        <x:v>239</x:v>
      </x:c>
      <x:c r="L333" s="8" t="s">
        <x:v>4109</x:v>
      </x:c>
      <x:c r="M333" s="1" t="s">
        <x:v>61</x:v>
      </x:c>
      <x:c r="N333" s="8"/>
      <x:c r="O333" s="1"/>
      <x:c r="P333" s="8"/>
      <x:c r="Q333" s="1"/>
      <x:c r="R333" s="8" t="s">
        <x:v>4110</x:v>
      </x:c>
      <x:c r="S333" s="3"/>
      <x:c r="T333" s="8" t="s">
        <x:v>63</x:v>
      </x:c>
      <x:c r="U333" s="1" t="s">
        <x:v>4111</x:v>
      </x:c>
      <x:c r="V333" s="13">
        <x:v>3</x:v>
      </x:c>
      <x:c r="W333" s="1" t="s">
        <x:v>242</x:v>
      </x:c>
      <x:c r="X333" s="8" t="s">
        <x:v>66</x:v>
      </x:c>
      <x:c r="Y333" s="1" t="str">
        <x:v>Проверено автором; дополнительно проверено Михаилом Саяпиным</x:v>
      </x:c>
      <x:c r="Z333" s="8" t="s">
        <x:v>4112</x:v>
      </x:c>
      <x:c r="AA333" s="1" t="s">
        <x:v>4113</x:v>
      </x:c>
      <x:c r="AB333" s="13">
        <x:v>2026</x:v>
      </x:c>
      <x:c r="AC333" s="3">
        <x:v>46322</x:v>
      </x:c>
      <x:c r="AD333" s="8" t="s">
        <x:v>69</x:v>
      </x:c>
      <x:c r="AE333" s="1" t="s">
        <x:v>4114</x:v>
      </x:c>
      <x:c r="AF333" s="8" t="s">
        <x:v>118</x:v>
      </x:c>
      <x:c r="AG333" s="1" t="s">
        <x:v>4115</x:v>
      </x:c>
      <x:c r="AH333" s="8" t="s">
        <x:v>144</x:v>
      </x:c>
      <x:c r="AI333" s="1" t="s">
        <x:v>145</x:v>
      </x:c>
      <x:c r="AJ333" s="17">
        <x:v>46323</x:v>
      </x:c>
      <x:c r="AK333" s="1" t="s">
        <x:v>73</x:v>
      </x:c>
      <x:c r="AL333" s="8" t="s">
        <x:v>74</x:v>
      </x:c>
      <x:c r="AM333" s="1"/>
      <x:c r="AN333" s="8" t="s">
        <x:v>75</x:v>
      </x:c>
      <x:c r="AO333" s="1" t="s">
        <x:v>76</x:v>
      </x:c>
      <x:c r="AP333" s="8"/>
      <x:c r="AQ333" s="1" t="s">
        <x:v>77</x:v>
      </x:c>
      <x:c r="AR333" s="8" t="str">
        <x:v>Проверка автором исследования; дополнительная проверка Михаилом Саяпиным; согласование 28.10.2026</x:v>
      </x:c>
      <x:c r="AS333" s="1" t="s">
        <x:v>4116</x:v>
      </x:c>
      <x:c r="AT333" s="8" t="s">
        <x:v>4117</x:v>
      </x:c>
      <x:c r="AU333" s="1" t="s">
        <x:v>4118</x:v>
      </x:c>
      <x:c r="AV333" s="17">
        <x:v>46321</x:v>
      </x:c>
      <x:c r="AW333" s="1" t="s">
        <x:v>81</x:v>
      </x:c>
      <x:c r="AX333" s="8" t="s">
        <x:v>146</x:v>
      </x:c>
      <x:c r="AY333" s="8" t="s">
        <x:v>4119</x:v>
      </x:c>
    </x:row>
    <x:row r="334" ht="84" customHeight="1">
      <x:c r="A334" s="1" t="s">
        <x:v>4120</x:v>
      </x:c>
      <x:c r="B334" s="8" t="s">
        <x:v>4121</x:v>
      </x:c>
      <x:c r="C334" s="1" t="s">
        <x:v>4122</x:v>
      </x:c>
      <x:c r="D334" s="8" t="s">
        <x:v>53</x:v>
      </x:c>
      <x:c r="E334" s="1" t="s">
        <x:v>54</x:v>
      </x:c>
      <x:c r="F334" s="8" t="s">
        <x:v>4123</x:v>
      </x:c>
      <x:c r="G334" s="1" t="s">
        <x:v>4124</x:v>
      </x:c>
      <x:c r="H334" s="8" t="s">
        <x:v>3648</x:v>
      </x:c>
      <x:c r="I334" s="4">
        <x:v>2025</x:v>
      </x:c>
      <x:c r="J334" s="8" t="s">
        <x:v>801</x:v>
      </x:c>
      <x:c r="K334" s="1" t="s">
        <x:v>190</x:v>
      </x:c>
      <x:c r="L334" s="8" t="s">
        <x:v>4125</x:v>
      </x:c>
      <x:c r="M334" s="1" t="s">
        <x:v>61</x:v>
      </x:c>
      <x:c r="N334" s="8"/>
      <x:c r="O334" s="1"/>
      <x:c r="P334" s="8"/>
      <x:c r="Q334" s="1"/>
      <x:c r="R334" s="8" t="s">
        <x:v>4126</x:v>
      </x:c>
      <x:c r="S334" s="3"/>
      <x:c r="T334" s="8" t="s">
        <x:v>63</x:v>
      </x:c>
      <x:c r="U334" s="1" t="s">
        <x:v>4111</x:v>
      </x:c>
      <x:c r="V334" s="13">
        <x:v>5</x:v>
      </x:c>
      <x:c r="W334" s="1" t="s">
        <x:v>65</x:v>
      </x:c>
      <x:c r="X334" s="8" t="s">
        <x:v>66</x:v>
      </x:c>
      <x:c r="Y334" s="1" t="str">
        <x:v>Проверено автором исследования</x:v>
      </x:c>
      <x:c r="Z334" s="8" t="s">
        <x:v>4127</x:v>
      </x:c>
      <x:c r="AA334" s="1" t="s">
        <x:v>4113</x:v>
      </x:c>
      <x:c r="AB334" s="13">
        <x:v>2026</x:v>
      </x:c>
      <x:c r="AC334" s="3">
        <x:v>46322</x:v>
      </x:c>
      <x:c r="AD334" s="8" t="s">
        <x:v>69</x:v>
      </x:c>
      <x:c r="AE334" s="1" t="s">
        <x:v>4128</x:v>
      </x:c>
      <x:c r="AF334" s="8" t="s">
        <x:v>118</x:v>
      </x:c>
      <x:c r="AG334" s="1" t="s">
        <x:v>4115</x:v>
      </x:c>
      <x:c r="AH334" s="8" t="str">
        <x:v>Краткая затекстовая ссылка; повторная документальная сверка выполнена</x:v>
      </x:c>
      <x:c r="AI334" s="1"/>
      <x:c r="AJ334" s="17"/>
      <x:c r="AK334" s="1" t="s">
        <x:v>73</x:v>
      </x:c>
      <x:c r="AL334" s="8" t="s">
        <x:v>74</x:v>
      </x:c>
      <x:c r="AM334" s="1"/>
      <x:c r="AN334" s="8" t="s">
        <x:v>75</x:v>
      </x:c>
      <x:c r="AO334" s="1" t="s">
        <x:v>76</x:v>
      </x:c>
      <x:c r="AP334" s="8"/>
      <x:c r="AQ334" s="1" t="s">
        <x:v>77</x:v>
      </x:c>
      <x:c r="AR334" s="8" t="str">
        <x:v>Проверка автором исследования</x:v>
      </x:c>
      <x:c r="AS334" s="1" t="s">
        <x:v>3682</x:v>
      </x:c>
      <x:c r="AT334" s="8" t="s">
        <x:v>4129</x:v>
      </x:c>
      <x:c r="AU334" s="1" t="s">
        <x:v>4130</x:v>
      </x:c>
      <x:c r="AV334" s="17">
        <x:v>46321</x:v>
      </x:c>
      <x:c r="AW334" s="1" t="s">
        <x:v>81</x:v>
      </x:c>
      <x:c r="AX334" s="8" t="s">
        <x:v>82</x:v>
      </x:c>
      <x:c r="AY334" s="8"/>
    </x:row>
    <x:row r="335" ht="69.94999694824219" customHeight="1">
      <x:c r="A335" s="1" t="s">
        <x:v>4131</x:v>
      </x:c>
      <x:c r="B335" s="8" t="s">
        <x:v>4132</x:v>
      </x:c>
      <x:c r="C335" s="1" t="s">
        <x:v>4133</x:v>
      </x:c>
      <x:c r="D335" s="8" t="s">
        <x:v>86</x:v>
      </x:c>
      <x:c r="E335" s="1" t="s">
        <x:v>76</x:v>
      </x:c>
      <x:c r="F335" s="8" t="s">
        <x:v>4134</x:v>
      </x:c>
      <x:c r="G335" s="1" t="s">
        <x:v>4135</x:v>
      </x:c>
      <x:c r="H335" s="8"/>
      <x:c r="I335" s="4">
        <x:v>1999</x:v>
      </x:c>
      <x:c r="J335" s="8"/>
      <x:c r="K335" s="1"/>
      <x:c r="L335" s="8" t="s">
        <x:v>4136</x:v>
      </x:c>
      <x:c r="M335" s="1" t="s">
        <x:v>90</x:v>
      </x:c>
      <x:c r="N335" s="8" t="s">
        <x:v>4137</x:v>
      </x:c>
      <x:c r="O335" s="1" t="s">
        <x:v>1122</x:v>
      </x:c>
      <x:c r="P335" s="8"/>
      <x:c r="Q335" s="1"/>
      <x:c r="R335" s="8"/>
      <x:c r="S335" s="3"/>
      <x:c r="T335" s="8" t="s">
        <x:v>63</x:v>
      </x:c>
      <x:c r="U335" s="1" t="s">
        <x:v>4138</x:v>
      </x:c>
      <x:c r="V335" s="13">
        <x:v>6</x:v>
      </x:c>
      <x:c r="W335" s="1" t="s">
        <x:v>65</x:v>
      </x:c>
      <x:c r="X335" s="8" t="s">
        <x:v>66</x:v>
      </x:c>
      <x:c r="Y335" s="1" t="str">
        <x:v>Проверено автором исследования</x:v>
      </x:c>
      <x:c r="Z335" s="8"/>
      <x:c r="AA335" s="1" t="s">
        <x:v>4139</x:v>
      </x:c>
      <x:c r="AB335" s="13">
        <x:v>2026</x:v>
      </x:c>
      <x:c r="AC335" s="3"/>
      <x:c r="AD335" s="8" t="s">
        <x:v>93</x:v>
      </x:c>
      <x:c r="AE335" s="1"/>
      <x:c r="AF335" s="8" t="s">
        <x:v>118</x:v>
      </x:c>
      <x:c r="AG335" s="1" t="s">
        <x:v>4140</x:v>
      </x:c>
      <x:c r="AH335" s="8" t="str">
        <x:v>Краткая затекстовая ссылка; повторная документальная сверка выполнена</x:v>
      </x:c>
      <x:c r="AI335" s="1"/>
      <x:c r="AJ335" s="17"/>
      <x:c r="AK335" s="1" t="s">
        <x:v>73</x:v>
      </x:c>
      <x:c r="AL335" s="8" t="s">
        <x:v>74</x:v>
      </x:c>
      <x:c r="AM335" s="1"/>
      <x:c r="AN335" s="8" t="s">
        <x:v>95</x:v>
      </x:c>
      <x:c r="AO335" s="1" t="s">
        <x:v>76</x:v>
      </x:c>
      <x:c r="AP335" s="8"/>
      <x:c r="AQ335" s="1" t="s">
        <x:v>77</x:v>
      </x:c>
      <x:c r="AR335" s="8" t="str">
        <x:v>Проверка автором исследования</x:v>
      </x:c>
      <x:c r="AS335" s="1"/>
      <x:c r="AT335" s="8" t="s">
        <x:v>96</x:v>
      </x:c>
      <x:c r="AU335" s="1" t="s">
        <x:v>97</x:v>
      </x:c>
      <x:c r="AV335" s="17"/>
      <x:c r="AW335" s="1" t="s">
        <x:v>98</x:v>
      </x:c>
      <x:c r="AX335" s="8" t="s">
        <x:v>82</x:v>
      </x:c>
      <x:c r="AY335" s="8"/>
    </x:row>
    <x:row r="336" ht="69.94999694824219" customHeight="1">
      <x:c r="A336" s="1" t="s">
        <x:v>4141</x:v>
      </x:c>
      <x:c r="B336" s="8" t="s">
        <x:v>4142</x:v>
      </x:c>
      <x:c r="C336" s="1" t="s">
        <x:v>4143</x:v>
      </x:c>
      <x:c r="D336" s="8" t="s">
        <x:v>73</x:v>
      </x:c>
      <x:c r="E336" s="1" t="s">
        <x:v>76</x:v>
      </x:c>
      <x:c r="F336" s="8" t="s">
        <x:v>4144</x:v>
      </x:c>
      <x:c r="G336" s="1" t="s">
        <x:v>4145</x:v>
      </x:c>
      <x:c r="H336" s="8" t="s">
        <x:v>4146</x:v>
      </x:c>
      <x:c r="I336" s="4">
        <x:v>2017</x:v>
      </x:c>
      <x:c r="J336" s="8" t="s">
        <x:v>1057</x:v>
      </x:c>
      <x:c r="K336" s="1" t="s">
        <x:v>4147</x:v>
      </x:c>
      <x:c r="L336" s="8" t="s">
        <x:v>4148</x:v>
      </x:c>
      <x:c r="M336" s="1" t="s">
        <x:v>61</x:v>
      </x:c>
      <x:c r="N336" s="8"/>
      <x:c r="O336" s="1"/>
      <x:c r="P336" s="8"/>
      <x:c r="Q336" s="1"/>
      <x:c r="R336" s="8"/>
      <x:c r="S336" s="3"/>
      <x:c r="T336" s="8" t="s">
        <x:v>63</x:v>
      </x:c>
      <x:c r="U336" s="1" t="s">
        <x:v>4138</x:v>
      </x:c>
      <x:c r="V336" s="13">
        <x:v>8</x:v>
      </x:c>
      <x:c r="W336" s="1" t="s">
        <x:v>65</x:v>
      </x:c>
      <x:c r="X336" s="8" t="s">
        <x:v>66</x:v>
      </x:c>
      <x:c r="Y336" s="1" t="str">
        <x:v>Проверено автором исследования</x:v>
      </x:c>
      <x:c r="Z336" s="8"/>
      <x:c r="AA336" s="1" t="s">
        <x:v>4139</x:v>
      </x:c>
      <x:c r="AB336" s="13">
        <x:v>2026</x:v>
      </x:c>
      <x:c r="AC336" s="3"/>
      <x:c r="AD336" s="8" t="s">
        <x:v>93</x:v>
      </x:c>
      <x:c r="AE336" s="1" t="s">
        <x:v>4149</x:v>
      </x:c>
      <x:c r="AF336" s="8" t="s">
        <x:v>118</x:v>
      </x:c>
      <x:c r="AG336" s="1" t="s">
        <x:v>4140</x:v>
      </x:c>
      <x:c r="AH336" s="8" t="str">
        <x:v>Краткая затекстовая ссылка; повторная документальная сверка выполнена</x:v>
      </x:c>
      <x:c r="AI336" s="1"/>
      <x:c r="AJ336" s="17"/>
      <x:c r="AK336" s="1" t="s">
        <x:v>73</x:v>
      </x:c>
      <x:c r="AL336" s="8" t="s">
        <x:v>74</x:v>
      </x:c>
      <x:c r="AM336" s="1"/>
      <x:c r="AN336" s="8" t="s">
        <x:v>95</x:v>
      </x:c>
      <x:c r="AO336" s="1" t="s">
        <x:v>76</x:v>
      </x:c>
      <x:c r="AP336" s="8"/>
      <x:c r="AQ336" s="1" t="s">
        <x:v>77</x:v>
      </x:c>
      <x:c r="AR336" s="8" t="str">
        <x:v>Проверка автором исследования</x:v>
      </x:c>
      <x:c r="AS336" s="1"/>
      <x:c r="AT336" s="8" t="s">
        <x:v>96</x:v>
      </x:c>
      <x:c r="AU336" s="1" t="s">
        <x:v>97</x:v>
      </x:c>
      <x:c r="AV336" s="17"/>
      <x:c r="AW336" s="1" t="s">
        <x:v>98</x:v>
      </x:c>
      <x:c r="AX336" s="8" t="s">
        <x:v>82</x:v>
      </x:c>
      <x:c r="AY336" s="8"/>
    </x:row>
    <x:row r="337" ht="69.94999694824219" customHeight="1">
      <x:c r="A337" s="1" t="s">
        <x:v>4150</x:v>
      </x:c>
      <x:c r="B337" s="8" t="s">
        <x:v>4151</x:v>
      </x:c>
      <x:c r="C337" s="1" t="s">
        <x:v>4152</x:v>
      </x:c>
      <x:c r="D337" s="8" t="s">
        <x:v>86</x:v>
      </x:c>
      <x:c r="E337" s="1" t="s">
        <x:v>76</x:v>
      </x:c>
      <x:c r="F337" s="8" t="s">
        <x:v>4153</x:v>
      </x:c>
      <x:c r="G337" s="1" t="s">
        <x:v>4154</x:v>
      </x:c>
      <x:c r="H337" s="8"/>
      <x:c r="I337" s="4">
        <x:v>2015</x:v>
      </x:c>
      <x:c r="J337" s="8"/>
      <x:c r="K337" s="1"/>
      <x:c r="L337" s="8" t="s">
        <x:v>4155</x:v>
      </x:c>
      <x:c r="M337" s="1" t="s">
        <x:v>90</x:v>
      </x:c>
      <x:c r="N337" s="8" t="s">
        <x:v>4156</x:v>
      </x:c>
      <x:c r="O337" s="1" t="s">
        <x:v>1122</x:v>
      </x:c>
      <x:c r="P337" s="8"/>
      <x:c r="Q337" s="1"/>
      <x:c r="R337" s="8"/>
      <x:c r="S337" s="3"/>
      <x:c r="T337" s="8" t="s">
        <x:v>63</x:v>
      </x:c>
      <x:c r="U337" s="1" t="s">
        <x:v>4138</x:v>
      </x:c>
      <x:c r="V337" s="13">
        <x:v>14</x:v>
      </x:c>
      <x:c r="W337" s="1" t="s">
        <x:v>65</x:v>
      </x:c>
      <x:c r="X337" s="8" t="s">
        <x:v>66</x:v>
      </x:c>
      <x:c r="Y337" s="1" t="str">
        <x:v>Проверено автором исследования</x:v>
      </x:c>
      <x:c r="Z337" s="8"/>
      <x:c r="AA337" s="1" t="s">
        <x:v>4139</x:v>
      </x:c>
      <x:c r="AB337" s="13">
        <x:v>2026</x:v>
      </x:c>
      <x:c r="AC337" s="3"/>
      <x:c r="AD337" s="8" t="s">
        <x:v>93</x:v>
      </x:c>
      <x:c r="AE337" s="1"/>
      <x:c r="AF337" s="8" t="s">
        <x:v>118</x:v>
      </x:c>
      <x:c r="AG337" s="1" t="s">
        <x:v>4140</x:v>
      </x:c>
      <x:c r="AH337" s="8" t="str">
        <x:v>Краткая затекстовая ссылка; повторная документальная сверка выполнена</x:v>
      </x:c>
      <x:c r="AI337" s="1"/>
      <x:c r="AJ337" s="17"/>
      <x:c r="AK337" s="1" t="s">
        <x:v>73</x:v>
      </x:c>
      <x:c r="AL337" s="8" t="s">
        <x:v>74</x:v>
      </x:c>
      <x:c r="AM337" s="1"/>
      <x:c r="AN337" s="8" t="s">
        <x:v>95</x:v>
      </x:c>
      <x:c r="AO337" s="1" t="s">
        <x:v>76</x:v>
      </x:c>
      <x:c r="AP337" s="8"/>
      <x:c r="AQ337" s="1" t="s">
        <x:v>77</x:v>
      </x:c>
      <x:c r="AR337" s="8" t="str">
        <x:v>Проверка автором исследования</x:v>
      </x:c>
      <x:c r="AS337" s="1"/>
      <x:c r="AT337" s="8" t="s">
        <x:v>96</x:v>
      </x:c>
      <x:c r="AU337" s="1" t="s">
        <x:v>97</x:v>
      </x:c>
      <x:c r="AV337" s="17"/>
      <x:c r="AW337" s="1" t="s">
        <x:v>98</x:v>
      </x:c>
      <x:c r="AX337" s="8" t="s">
        <x:v>82</x:v>
      </x:c>
      <x:c r="AY337" s="8"/>
    </x:row>
    <x:row r="338" ht="69.94999694824219" customHeight="1">
      <x:c r="A338" s="1" t="s">
        <x:v>4157</x:v>
      </x:c>
      <x:c r="B338" s="8" t="s">
        <x:v>4158</x:v>
      </x:c>
      <x:c r="C338" s="1" t="s">
        <x:v>4159</x:v>
      </x:c>
      <x:c r="D338" s="8" t="s">
        <x:v>86</x:v>
      </x:c>
      <x:c r="E338" s="1" t="s">
        <x:v>76</x:v>
      </x:c>
      <x:c r="F338" s="8" t="s">
        <x:v>4160</x:v>
      </x:c>
      <x:c r="G338" s="1" t="s">
        <x:v>4161</x:v>
      </x:c>
      <x:c r="H338" s="8"/>
      <x:c r="I338" s="4">
        <x:v>2009</x:v>
      </x:c>
      <x:c r="J338" s="8"/>
      <x:c r="K338" s="1"/>
      <x:c r="L338" s="8" t="s">
        <x:v>4162</x:v>
      </x:c>
      <x:c r="M338" s="1" t="s">
        <x:v>90</x:v>
      </x:c>
      <x:c r="N338" s="8" t="s">
        <x:v>4163</x:v>
      </x:c>
      <x:c r="O338" s="1" t="s">
        <x:v>3838</x:v>
      </x:c>
      <x:c r="P338" s="8"/>
      <x:c r="Q338" s="1"/>
      <x:c r="R338" s="8"/>
      <x:c r="S338" s="3"/>
      <x:c r="T338" s="8" t="s">
        <x:v>63</x:v>
      </x:c>
      <x:c r="U338" s="1" t="s">
        <x:v>4138</x:v>
      </x:c>
      <x:c r="V338" s="13">
        <x:v>15</x:v>
      </x:c>
      <x:c r="W338" s="1" t="s">
        <x:v>140</x:v>
      </x:c>
      <x:c r="X338" s="8" t="s">
        <x:v>66</x:v>
      </x:c>
      <x:c r="Y338" s="1" t="str">
        <x:v>Проверено автором; дополнительно проверено Михаилом Саяпиным</x:v>
      </x:c>
      <x:c r="Z338" s="8"/>
      <x:c r="AA338" s="1" t="s">
        <x:v>4139</x:v>
      </x:c>
      <x:c r="AB338" s="13">
        <x:v>2026</x:v>
      </x:c>
      <x:c r="AC338" s="3"/>
      <x:c r="AD338" s="8" t="s">
        <x:v>93</x:v>
      </x:c>
      <x:c r="AE338" s="1"/>
      <x:c r="AF338" s="8" t="s">
        <x:v>118</x:v>
      </x:c>
      <x:c r="AG338" s="1" t="s">
        <x:v>4140</x:v>
      </x:c>
      <x:c r="AH338" s="8" t="s">
        <x:v>144</x:v>
      </x:c>
      <x:c r="AI338" s="1" t="s">
        <x:v>145</x:v>
      </x:c>
      <x:c r="AJ338" s="17">
        <x:v>46323</x:v>
      </x:c>
      <x:c r="AK338" s="1" t="s">
        <x:v>73</x:v>
      </x:c>
      <x:c r="AL338" s="8" t="s">
        <x:v>74</x:v>
      </x:c>
      <x:c r="AM338" s="1"/>
      <x:c r="AN338" s="8" t="s">
        <x:v>95</x:v>
      </x:c>
      <x:c r="AO338" s="1" t="s">
        <x:v>76</x:v>
      </x:c>
      <x:c r="AP338" s="8"/>
      <x:c r="AQ338" s="1" t="s">
        <x:v>77</x:v>
      </x:c>
      <x:c r="AR338" s="8" t="str">
        <x:v>Проверка автором исследования; дополнительная проверка Михаилом Саяпиным; согласование 28.10.2026</x:v>
      </x:c>
      <x:c r="AS338" s="1"/>
      <x:c r="AT338" s="8" t="s">
        <x:v>96</x:v>
      </x:c>
      <x:c r="AU338" s="1" t="s">
        <x:v>97</x:v>
      </x:c>
      <x:c r="AV338" s="17"/>
      <x:c r="AW338" s="1" t="s">
        <x:v>98</x:v>
      </x:c>
      <x:c r="AX338" s="8" t="s">
        <x:v>146</x:v>
      </x:c>
      <x:c r="AY338" s="8" t="s">
        <x:v>4164</x:v>
      </x:c>
    </x:row>
    <x:row r="339" ht="126" customHeight="1">
      <x:c r="A339" s="1" t="s">
        <x:v>4165</x:v>
      </x:c>
      <x:c r="B339" s="8" t="s">
        <x:v>4166</x:v>
      </x:c>
      <x:c r="C339" s="1" t="s">
        <x:v>4167</x:v>
      </x:c>
      <x:c r="D339" s="8" t="s">
        <x:v>53</x:v>
      </x:c>
      <x:c r="E339" s="1" t="s">
        <x:v>54</x:v>
      </x:c>
      <x:c r="F339" s="8" t="s">
        <x:v>4168</x:v>
      </x:c>
      <x:c r="G339" s="1" t="s">
        <x:v>4169</x:v>
      </x:c>
      <x:c r="H339" s="8" t="s">
        <x:v>3648</x:v>
      </x:c>
      <x:c r="I339" s="4">
        <x:v>2025</x:v>
      </x:c>
      <x:c r="J339" s="8" t="s">
        <x:v>801</x:v>
      </x:c>
      <x:c r="K339" s="1" t="s">
        <x:v>416</x:v>
      </x:c>
      <x:c r="L339" s="8" t="s">
        <x:v>4170</x:v>
      </x:c>
      <x:c r="M339" s="1" t="s">
        <x:v>61</x:v>
      </x:c>
      <x:c r="N339" s="8"/>
      <x:c r="O339" s="1"/>
      <x:c r="P339" s="8"/>
      <x:c r="Q339" s="1"/>
      <x:c r="R339" s="8" t="s">
        <x:v>4171</x:v>
      </x:c>
      <x:c r="S339" s="3"/>
      <x:c r="T339" s="8" t="s">
        <x:v>63</x:v>
      </x:c>
      <x:c r="U339" s="1" t="s">
        <x:v>4172</x:v>
      </x:c>
      <x:c r="V339" s="13">
        <x:v>5</x:v>
      </x:c>
      <x:c r="W339" s="1" t="s">
        <x:v>65</x:v>
      </x:c>
      <x:c r="X339" s="8" t="s">
        <x:v>66</x:v>
      </x:c>
      <x:c r="Y339" s="1" t="str">
        <x:v>Проверено автором исследования</x:v>
      </x:c>
      <x:c r="Z339" s="8" t="s">
        <x:v>4173</x:v>
      </x:c>
      <x:c r="AA339" s="1" t="s">
        <x:v>4174</x:v>
      </x:c>
      <x:c r="AB339" s="13">
        <x:v>2026</x:v>
      </x:c>
      <x:c r="AC339" s="3">
        <x:v>46322</x:v>
      </x:c>
      <x:c r="AD339" s="8" t="s">
        <x:v>69</x:v>
      </x:c>
      <x:c r="AE339" s="1" t="s">
        <x:v>4175</x:v>
      </x:c>
      <x:c r="AF339" s="8" t="s">
        <x:v>118</x:v>
      </x:c>
      <x:c r="AG339" s="1" t="s">
        <x:v>4176</x:v>
      </x:c>
      <x:c r="AH339" s="8" t="str">
        <x:v>Краткая затекстовая ссылка; повторная документальная сверка выполнена</x:v>
      </x:c>
      <x:c r="AI339" s="1"/>
      <x:c r="AJ339" s="17"/>
      <x:c r="AK339" s="1" t="s">
        <x:v>73</x:v>
      </x:c>
      <x:c r="AL339" s="8" t="s">
        <x:v>74</x:v>
      </x:c>
      <x:c r="AM339" s="1"/>
      <x:c r="AN339" s="8" t="s">
        <x:v>75</x:v>
      </x:c>
      <x:c r="AO339" s="1" t="s">
        <x:v>76</x:v>
      </x:c>
      <x:c r="AP339" s="8"/>
      <x:c r="AQ339" s="1" t="s">
        <x:v>77</x:v>
      </x:c>
      <x:c r="AR339" s="8" t="str">
        <x:v>Проверка автором исследования</x:v>
      </x:c>
      <x:c r="AS339" s="1" t="s">
        <x:v>3802</x:v>
      </x:c>
      <x:c r="AT339" s="8" t="s">
        <x:v>4177</x:v>
      </x:c>
      <x:c r="AU339" s="1" t="s">
        <x:v>4178</x:v>
      </x:c>
      <x:c r="AV339" s="17">
        <x:v>46321</x:v>
      </x:c>
      <x:c r="AW339" s="1" t="s">
        <x:v>81</x:v>
      </x:c>
      <x:c r="AX339" s="8" t="s">
        <x:v>82</x:v>
      </x:c>
      <x:c r="AY339" s="8"/>
    </x:row>
    <x:row r="340" ht="98.0999984741211" customHeight="1">
      <x:c r="A340" s="1" t="s">
        <x:v>4179</x:v>
      </x:c>
      <x:c r="B340" s="8" t="s">
        <x:v>4180</x:v>
      </x:c>
      <x:c r="C340" s="1" t="s">
        <x:v>4181</x:v>
      </x:c>
      <x:c r="D340" s="8" t="s">
        <x:v>53</x:v>
      </x:c>
      <x:c r="E340" s="1" t="s">
        <x:v>54</x:v>
      </x:c>
      <x:c r="F340" s="8" t="s">
        <x:v>4182</x:v>
      </x:c>
      <x:c r="G340" s="1" t="s">
        <x:v>4183</x:v>
      </x:c>
      <x:c r="H340" s="8" t="s">
        <x:v>4184</x:v>
      </x:c>
      <x:c r="I340" s="4">
        <x:v>2023</x:v>
      </x:c>
      <x:c r="J340" s="8" t="s">
        <x:v>3551</x:v>
      </x:c>
      <x:c r="K340" s="1" t="s">
        <x:v>4185</x:v>
      </x:c>
      <x:c r="L340" s="8" t="s">
        <x:v>4186</x:v>
      </x:c>
      <x:c r="M340" s="1" t="s">
        <x:v>61</x:v>
      </x:c>
      <x:c r="N340" s="8"/>
      <x:c r="O340" s="1"/>
      <x:c r="P340" s="8"/>
      <x:c r="Q340" s="1"/>
      <x:c r="R340" s="8" t="s">
        <x:v>4187</x:v>
      </x:c>
      <x:c r="S340" s="3"/>
      <x:c r="T340" s="8" t="s">
        <x:v>63</x:v>
      </x:c>
      <x:c r="U340" s="1" t="s">
        <x:v>4188</x:v>
      </x:c>
      <x:c r="V340" s="13">
        <x:v>5</x:v>
      </x:c>
      <x:c r="W340" s="1" t="s">
        <x:v>65</x:v>
      </x:c>
      <x:c r="X340" s="8" t="s">
        <x:v>66</x:v>
      </x:c>
      <x:c r="Y340" s="1" t="str">
        <x:v>Проверено автором исследования</x:v>
      </x:c>
      <x:c r="Z340" s="8" t="s">
        <x:v>4189</x:v>
      </x:c>
      <x:c r="AA340" s="1" t="s">
        <x:v>4190</x:v>
      </x:c>
      <x:c r="AB340" s="13">
        <x:v>2026</x:v>
      </x:c>
      <x:c r="AC340" s="3">
        <x:v>46322</x:v>
      </x:c>
      <x:c r="AD340" s="8" t="s">
        <x:v>69</x:v>
      </x:c>
      <x:c r="AE340" s="1" t="s">
        <x:v>4191</x:v>
      </x:c>
      <x:c r="AF340" s="8" t="s">
        <x:v>118</x:v>
      </x:c>
      <x:c r="AG340" s="1" t="s">
        <x:v>4192</x:v>
      </x:c>
      <x:c r="AH340" s="8" t="str">
        <x:v>Краткая затекстовая ссылка; повторная документальная сверка выполнена</x:v>
      </x:c>
      <x:c r="AI340" s="1"/>
      <x:c r="AJ340" s="17"/>
      <x:c r="AK340" s="1" t="s">
        <x:v>73</x:v>
      </x:c>
      <x:c r="AL340" s="8" t="s">
        <x:v>74</x:v>
      </x:c>
      <x:c r="AM340" s="1"/>
      <x:c r="AN340" s="8" t="s">
        <x:v>75</x:v>
      </x:c>
      <x:c r="AO340" s="1" t="s">
        <x:v>54</x:v>
      </x:c>
      <x:c r="AP340" s="8"/>
      <x:c r="AQ340" s="1" t="s">
        <x:v>77</x:v>
      </x:c>
      <x:c r="AR340" s="8" t="str">
        <x:v>Проверка автором исследования</x:v>
      </x:c>
      <x:c r="AS340" s="1" t="s">
        <x:v>4193</x:v>
      </x:c>
      <x:c r="AT340" s="8" t="s">
        <x:v>4194</x:v>
      </x:c>
      <x:c r="AU340" s="1" t="s">
        <x:v>4195</x:v>
      </x:c>
      <x:c r="AV340" s="17">
        <x:v>46321</x:v>
      </x:c>
      <x:c r="AW340" s="1" t="s">
        <x:v>953</x:v>
      </x:c>
      <x:c r="AX340" s="8" t="s">
        <x:v>82</x:v>
      </x:c>
      <x:c r="AY340" s="8"/>
    </x:row>
    <x:row r="341" ht="69.94999694824219" customHeight="1">
      <x:c r="A341" s="1" t="s">
        <x:v>4196</x:v>
      </x:c>
      <x:c r="B341" s="8" t="s">
        <x:v>4197</x:v>
      </x:c>
      <x:c r="C341" s="1" t="s">
        <x:v>4198</x:v>
      </x:c>
      <x:c r="D341" s="8" t="s">
        <x:v>53</x:v>
      </x:c>
      <x:c r="E341" s="1" t="s">
        <x:v>54</x:v>
      </x:c>
      <x:c r="F341" s="8" t="s">
        <x:v>4199</x:v>
      </x:c>
      <x:c r="G341" s="1" t="s">
        <x:v>4200</x:v>
      </x:c>
      <x:c r="H341" s="8" t="s">
        <x:v>4201</x:v>
      </x:c>
      <x:c r="I341" s="4">
        <x:v>2025</x:v>
      </x:c>
      <x:c r="J341" s="8" t="s">
        <x:v>537</x:v>
      </x:c>
      <x:c r="K341" s="1" t="s">
        <x:v>190</x:v>
      </x:c>
      <x:c r="L341" s="8" t="s">
        <x:v>4202</x:v>
      </x:c>
      <x:c r="M341" s="1" t="s">
        <x:v>61</x:v>
      </x:c>
      <x:c r="N341" s="8"/>
      <x:c r="O341" s="1"/>
      <x:c r="P341" s="8"/>
      <x:c r="Q341" s="1"/>
      <x:c r="R341" s="8" t="s">
        <x:v>4203</x:v>
      </x:c>
      <x:c r="S341" s="3"/>
      <x:c r="T341" s="8" t="s">
        <x:v>63</x:v>
      </x:c>
      <x:c r="U341" s="1" t="s">
        <x:v>4204</x:v>
      </x:c>
      <x:c r="V341" s="13">
        <x:v>7</x:v>
      </x:c>
      <x:c r="W341" s="1" t="s">
        <x:v>65</x:v>
      </x:c>
      <x:c r="X341" s="8" t="s">
        <x:v>66</x:v>
      </x:c>
      <x:c r="Y341" s="1" t="str">
        <x:v>Проверено автором исследования</x:v>
      </x:c>
      <x:c r="Z341" s="8" t="s">
        <x:v>4205</x:v>
      </x:c>
      <x:c r="AA341" s="1" t="s">
        <x:v>4206</x:v>
      </x:c>
      <x:c r="AB341" s="13">
        <x:v>2026</x:v>
      </x:c>
      <x:c r="AC341" s="3">
        <x:v>46322</x:v>
      </x:c>
      <x:c r="AD341" s="8" t="s">
        <x:v>69</x:v>
      </x:c>
      <x:c r="AE341" s="1" t="s">
        <x:v>4207</x:v>
      </x:c>
      <x:c r="AF341" s="8" t="s">
        <x:v>118</x:v>
      </x:c>
      <x:c r="AG341" s="1" t="s">
        <x:v>4208</x:v>
      </x:c>
      <x:c r="AH341" s="8" t="str">
        <x:v>Краткая затекстовая ссылка; повторная документальная сверка выполнена</x:v>
      </x:c>
      <x:c r="AI341" s="1"/>
      <x:c r="AJ341" s="17"/>
      <x:c r="AK341" s="1" t="s">
        <x:v>73</x:v>
      </x:c>
      <x:c r="AL341" s="8" t="s">
        <x:v>74</x:v>
      </x:c>
      <x:c r="AM341" s="1"/>
      <x:c r="AN341" s="8" t="s">
        <x:v>75</x:v>
      </x:c>
      <x:c r="AO341" s="1" t="s">
        <x:v>76</x:v>
      </x:c>
      <x:c r="AP341" s="8"/>
      <x:c r="AQ341" s="1" t="s">
        <x:v>77</x:v>
      </x:c>
      <x:c r="AR341" s="8" t="str">
        <x:v>Проверка автором исследования</x:v>
      </x:c>
      <x:c r="AS341" s="1" t="s">
        <x:v>4209</x:v>
      </x:c>
      <x:c r="AT341" s="8" t="s">
        <x:v>4210</x:v>
      </x:c>
      <x:c r="AU341" s="1" t="s">
        <x:v>4211</x:v>
      </x:c>
      <x:c r="AV341" s="17">
        <x:v>46321</x:v>
      </x:c>
      <x:c r="AW341" s="1" t="s">
        <x:v>81</x:v>
      </x:c>
      <x:c r="AX341" s="8" t="s">
        <x:v>82</x:v>
      </x:c>
      <x:c r="AY341" s="8"/>
    </x:row>
    <x:row r="342" ht="111.94999694824219" customHeight="1">
      <x:c r="A342" s="1" t="s">
        <x:v>4212</x:v>
      </x:c>
      <x:c r="B342" s="8" t="s">
        <x:v>4213</x:v>
      </x:c>
      <x:c r="C342" s="1" t="s">
        <x:v>4214</x:v>
      </x:c>
      <x:c r="D342" s="8" t="s">
        <x:v>53</x:v>
      </x:c>
      <x:c r="E342" s="1" t="s">
        <x:v>54</x:v>
      </x:c>
      <x:c r="F342" s="8" t="s">
        <x:v>4215</x:v>
      </x:c>
      <x:c r="G342" s="1" t="s">
        <x:v>4216</x:v>
      </x:c>
      <x:c r="H342" s="8" t="s">
        <x:v>4217</x:v>
      </x:c>
      <x:c r="I342" s="4">
        <x:v>2024</x:v>
      </x:c>
      <x:c r="J342" s="8" t="s">
        <x:v>684</x:v>
      </x:c>
      <x:c r="K342" s="1" t="s">
        <x:v>4218</x:v>
      </x:c>
      <x:c r="L342" s="8" t="s">
        <x:v>4219</x:v>
      </x:c>
      <x:c r="M342" s="1" t="s">
        <x:v>61</x:v>
      </x:c>
      <x:c r="N342" s="8"/>
      <x:c r="O342" s="1"/>
      <x:c r="P342" s="8"/>
      <x:c r="Q342" s="1"/>
      <x:c r="R342" s="8" t="s">
        <x:v>4220</x:v>
      </x:c>
      <x:c r="S342" s="3"/>
      <x:c r="T342" s="8" t="s">
        <x:v>63</x:v>
      </x:c>
      <x:c r="U342" s="1" t="s">
        <x:v>4221</x:v>
      </x:c>
      <x:c r="V342" s="13">
        <x:v>1</x:v>
      </x:c>
      <x:c r="W342" s="1" t="s">
        <x:v>65</x:v>
      </x:c>
      <x:c r="X342" s="8" t="s">
        <x:v>66</x:v>
      </x:c>
      <x:c r="Y342" s="1" t="str">
        <x:v>Проверено автором исследования</x:v>
      </x:c>
      <x:c r="Z342" s="8" t="s">
        <x:v>4222</x:v>
      </x:c>
      <x:c r="AA342" s="1" t="s">
        <x:v>4223</x:v>
      </x:c>
      <x:c r="AB342" s="13">
        <x:v>2025</x:v>
      </x:c>
      <x:c r="AC342" s="3">
        <x:v>46322</x:v>
      </x:c>
      <x:c r="AD342" s="8" t="s">
        <x:v>69</x:v>
      </x:c>
      <x:c r="AE342" s="1" t="s">
        <x:v>4224</x:v>
      </x:c>
      <x:c r="AF342" s="8" t="s">
        <x:v>118</x:v>
      </x:c>
      <x:c r="AG342" s="1" t="s">
        <x:v>4225</x:v>
      </x:c>
      <x:c r="AH342" s="8" t="str">
        <x:v>Краткая затекстовая ссылка; повторная документальная сверка выполнена</x:v>
      </x:c>
      <x:c r="AI342" s="1"/>
      <x:c r="AJ342" s="17"/>
      <x:c r="AK342" s="1" t="s">
        <x:v>73</x:v>
      </x:c>
      <x:c r="AL342" s="8" t="s">
        <x:v>74</x:v>
      </x:c>
      <x:c r="AM342" s="1"/>
      <x:c r="AN342" s="8" t="s">
        <x:v>75</x:v>
      </x:c>
      <x:c r="AO342" s="1" t="s">
        <x:v>76</x:v>
      </x:c>
      <x:c r="AP342" s="8"/>
      <x:c r="AQ342" s="1" t="s">
        <x:v>77</x:v>
      </x:c>
      <x:c r="AR342" s="8" t="str">
        <x:v>Проверка автором исследования</x:v>
      </x:c>
      <x:c r="AS342" s="1" t="s">
        <x:v>4226</x:v>
      </x:c>
      <x:c r="AT342" s="8" t="s">
        <x:v>4227</x:v>
      </x:c>
      <x:c r="AU342" s="1" t="s">
        <x:v>4228</x:v>
      </x:c>
      <x:c r="AV342" s="17">
        <x:v>46321</x:v>
      </x:c>
      <x:c r="AW342" s="1" t="s">
        <x:v>81</x:v>
      </x:c>
      <x:c r="AX342" s="8" t="s">
        <x:v>82</x:v>
      </x:c>
      <x:c r="AY342" s="8"/>
    </x:row>
    <x:row r="343" ht="98.0999984741211" customHeight="1">
      <x:c r="A343" s="1" t="s">
        <x:v>4229</x:v>
      </x:c>
      <x:c r="B343" s="8" t="s">
        <x:v>4230</x:v>
      </x:c>
      <x:c r="C343" s="1" t="s">
        <x:v>4231</x:v>
      </x:c>
      <x:c r="D343" s="8" t="s">
        <x:v>53</x:v>
      </x:c>
      <x:c r="E343" s="1" t="s">
        <x:v>54</x:v>
      </x:c>
      <x:c r="F343" s="8" t="s">
        <x:v>4232</x:v>
      </x:c>
      <x:c r="G343" s="1" t="s">
        <x:v>4233</x:v>
      </x:c>
      <x:c r="H343" s="8" t="s">
        <x:v>4234</x:v>
      </x:c>
      <x:c r="I343" s="4">
        <x:v>2023</x:v>
      </x:c>
      <x:c r="J343" s="8"/>
      <x:c r="K343" s="1" t="s">
        <x:v>4235</x:v>
      </x:c>
      <x:c r="L343" s="8" t="s">
        <x:v>4148</x:v>
      </x:c>
      <x:c r="M343" s="1" t="s">
        <x:v>61</x:v>
      </x:c>
      <x:c r="N343" s="8"/>
      <x:c r="O343" s="1"/>
      <x:c r="P343" s="8"/>
      <x:c r="Q343" s="1"/>
      <x:c r="R343" s="8" t="s">
        <x:v>4236</x:v>
      </x:c>
      <x:c r="S343" s="3"/>
      <x:c r="T343" s="8" t="s">
        <x:v>63</x:v>
      </x:c>
      <x:c r="U343" s="1" t="s">
        <x:v>4221</x:v>
      </x:c>
      <x:c r="V343" s="13">
        <x:v>11</x:v>
      </x:c>
      <x:c r="W343" s="1" t="s">
        <x:v>65</x:v>
      </x:c>
      <x:c r="X343" s="8" t="s">
        <x:v>66</x:v>
      </x:c>
      <x:c r="Y343" s="1" t="str">
        <x:v>Проверено автором исследования</x:v>
      </x:c>
      <x:c r="Z343" s="8" t="s">
        <x:v>4237</x:v>
      </x:c>
      <x:c r="AA343" s="1" t="s">
        <x:v>4223</x:v>
      </x:c>
      <x:c r="AB343" s="13">
        <x:v>2025</x:v>
      </x:c>
      <x:c r="AC343" s="3">
        <x:v>46322</x:v>
      </x:c>
      <x:c r="AD343" s="8" t="s">
        <x:v>69</x:v>
      </x:c>
      <x:c r="AE343" s="1" t="s">
        <x:v>4238</x:v>
      </x:c>
      <x:c r="AF343" s="8" t="s">
        <x:v>118</x:v>
      </x:c>
      <x:c r="AG343" s="1" t="s">
        <x:v>4225</x:v>
      </x:c>
      <x:c r="AH343" s="8" t="str">
        <x:v>Краткая затекстовая ссылка; повторная документальная сверка выполнена</x:v>
      </x:c>
      <x:c r="AI343" s="1"/>
      <x:c r="AJ343" s="17"/>
      <x:c r="AK343" s="1" t="s">
        <x:v>73</x:v>
      </x:c>
      <x:c r="AL343" s="8" t="s">
        <x:v>74</x:v>
      </x:c>
      <x:c r="AM343" s="1"/>
      <x:c r="AN343" s="8" t="s">
        <x:v>75</x:v>
      </x:c>
      <x:c r="AO343" s="1" t="s">
        <x:v>76</x:v>
      </x:c>
      <x:c r="AP343" s="8"/>
      <x:c r="AQ343" s="1" t="s">
        <x:v>77</x:v>
      </x:c>
      <x:c r="AR343" s="8" t="str">
        <x:v>Проверка автором исследования</x:v>
      </x:c>
      <x:c r="AS343" s="1" t="s">
        <x:v>4239</x:v>
      </x:c>
      <x:c r="AT343" s="8" t="s">
        <x:v>4240</x:v>
      </x:c>
      <x:c r="AU343" s="1" t="s">
        <x:v>4241</x:v>
      </x:c>
      <x:c r="AV343" s="17">
        <x:v>46321</x:v>
      </x:c>
      <x:c r="AW343" s="1" t="s">
        <x:v>81</x:v>
      </x:c>
      <x:c r="AX343" s="8" t="s">
        <x:v>82</x:v>
      </x:c>
      <x:c r="AY343" s="8"/>
    </x:row>
    <x:row r="344" ht="69.94999694824219" customHeight="1">
      <x:c r="A344" s="1" t="s">
        <x:v>4242</x:v>
      </x:c>
      <x:c r="B344" s="8" t="s">
        <x:v>4243</x:v>
      </x:c>
      <x:c r="C344" s="1" t="s">
        <x:v>4244</x:v>
      </x:c>
      <x:c r="D344" s="8" t="s">
        <x:v>86</x:v>
      </x:c>
      <x:c r="E344" s="1" t="s">
        <x:v>76</x:v>
      </x:c>
      <x:c r="F344" s="8" t="s">
        <x:v>4245</x:v>
      </x:c>
      <x:c r="G344" s="1" t="s">
        <x:v>4246</x:v>
      </x:c>
      <x:c r="H344" s="8"/>
      <x:c r="I344" s="4">
        <x:v>2006</x:v>
      </x:c>
      <x:c r="J344" s="8"/>
      <x:c r="K344" s="1"/>
      <x:c r="L344" s="8" t="s">
        <x:v>4247</x:v>
      </x:c>
      <x:c r="M344" s="1" t="s">
        <x:v>90</x:v>
      </x:c>
      <x:c r="N344" s="8" t="s">
        <x:v>4248</x:v>
      </x:c>
      <x:c r="O344" s="1" t="s">
        <x:v>92</x:v>
      </x:c>
      <x:c r="P344" s="8"/>
      <x:c r="Q344" s="1" t="s">
        <x:v>4249</x:v>
      </x:c>
      <x:c r="R344" s="8"/>
      <x:c r="S344" s="3"/>
      <x:c r="T344" s="8" t="s">
        <x:v>63</x:v>
      </x:c>
      <x:c r="U344" s="1" t="s">
        <x:v>4250</x:v>
      </x:c>
      <x:c r="V344" s="13">
        <x:v>2</x:v>
      </x:c>
      <x:c r="W344" s="1" t="s">
        <x:v>65</x:v>
      </x:c>
      <x:c r="X344" s="8" t="s">
        <x:v>66</x:v>
      </x:c>
      <x:c r="Y344" s="1" t="str">
        <x:v>Проверено автором исследования</x:v>
      </x:c>
      <x:c r="Z344" s="8"/>
      <x:c r="AA344" s="1" t="s">
        <x:v>4251</x:v>
      </x:c>
      <x:c r="AB344" s="13">
        <x:v>2025</x:v>
      </x:c>
      <x:c r="AC344" s="3"/>
      <x:c r="AD344" s="8" t="s">
        <x:v>93</x:v>
      </x:c>
      <x:c r="AE344" s="1" t="s">
        <x:v>4252</x:v>
      </x:c>
      <x:c r="AF344" s="8" t="s">
        <x:v>118</x:v>
      </x:c>
      <x:c r="AG344" s="1" t="s">
        <x:v>4253</x:v>
      </x:c>
      <x:c r="AH344" s="8" t="str">
        <x:v>Краткая затекстовая ссылка; повторная документальная сверка выполнена</x:v>
      </x:c>
      <x:c r="AI344" s="1"/>
      <x:c r="AJ344" s="17"/>
      <x:c r="AK344" s="1" t="s">
        <x:v>73</x:v>
      </x:c>
      <x:c r="AL344" s="8" t="s">
        <x:v>74</x:v>
      </x:c>
      <x:c r="AM344" s="1"/>
      <x:c r="AN344" s="8" t="s">
        <x:v>95</x:v>
      </x:c>
      <x:c r="AO344" s="1" t="s">
        <x:v>76</x:v>
      </x:c>
      <x:c r="AP344" s="8"/>
      <x:c r="AQ344" s="1" t="s">
        <x:v>77</x:v>
      </x:c>
      <x:c r="AR344" s="8" t="str">
        <x:v>Проверка автором исследования</x:v>
      </x:c>
      <x:c r="AS344" s="1"/>
      <x:c r="AT344" s="8" t="s">
        <x:v>96</x:v>
      </x:c>
      <x:c r="AU344" s="1" t="s">
        <x:v>97</x:v>
      </x:c>
      <x:c r="AV344" s="17"/>
      <x:c r="AW344" s="1" t="s">
        <x:v>98</x:v>
      </x:c>
      <x:c r="AX344" s="8" t="s">
        <x:v>82</x:v>
      </x:c>
      <x:c r="AY344" s="8"/>
    </x:row>
    <x:row r="345" ht="69.94999694824219" customHeight="1">
      <x:c r="A345" s="1" t="s">
        <x:v>4254</x:v>
      </x:c>
      <x:c r="B345" s="8" t="s">
        <x:v>4255</x:v>
      </x:c>
      <x:c r="C345" s="1" t="s">
        <x:v>4256</x:v>
      </x:c>
      <x:c r="D345" s="8" t="s">
        <x:v>86</x:v>
      </x:c>
      <x:c r="E345" s="1" t="s">
        <x:v>76</x:v>
      </x:c>
      <x:c r="F345" s="8" t="s">
        <x:v>4257</x:v>
      </x:c>
      <x:c r="G345" s="1" t="s">
        <x:v>4258</x:v>
      </x:c>
      <x:c r="H345" s="8"/>
      <x:c r="I345" s="4">
        <x:v>1981</x:v>
      </x:c>
      <x:c r="J345" s="8"/>
      <x:c r="K345" s="1"/>
      <x:c r="L345" s="8" t="s">
        <x:v>453</x:v>
      </x:c>
      <x:c r="M345" s="1" t="s">
        <x:v>90</x:v>
      </x:c>
      <x:c r="N345" s="8" t="s">
        <x:v>388</x:v>
      </x:c>
      <x:c r="O345" s="1" t="s">
        <x:v>92</x:v>
      </x:c>
      <x:c r="P345" s="8"/>
      <x:c r="Q345" s="1"/>
      <x:c r="R345" s="8" t="s">
        <x:v>4259</x:v>
      </x:c>
      <x:c r="S345" s="3">
        <x:v>45679</x:v>
      </x:c>
      <x:c r="T345" s="8" t="s">
        <x:v>63</x:v>
      </x:c>
      <x:c r="U345" s="1" t="s">
        <x:v>4260</x:v>
      </x:c>
      <x:c r="V345" s="13">
        <x:v>8</x:v>
      </x:c>
      <x:c r="W345" s="1" t="s">
        <x:v>65</x:v>
      </x:c>
      <x:c r="X345" s="8" t="s">
        <x:v>66</x:v>
      </x:c>
      <x:c r="Y345" s="1" t="str">
        <x:v>Проверено автором исследования</x:v>
      </x:c>
      <x:c r="Z345" s="8"/>
      <x:c r="AA345" s="1" t="s">
        <x:v>4261</x:v>
      </x:c>
      <x:c r="AB345" s="13">
        <x:v>2025</x:v>
      </x:c>
      <x:c r="AC345" s="3"/>
      <x:c r="AD345" s="8" t="s">
        <x:v>93</x:v>
      </x:c>
      <x:c r="AE345" s="1"/>
      <x:c r="AF345" s="8" t="s">
        <x:v>118</x:v>
      </x:c>
      <x:c r="AG345" s="1" t="s">
        <x:v>4262</x:v>
      </x:c>
      <x:c r="AH345" s="8" t="str">
        <x:v>Краткая затекстовая ссылка; повторная документальная сверка выполнена</x:v>
      </x:c>
      <x:c r="AI345" s="1"/>
      <x:c r="AJ345" s="17"/>
      <x:c r="AK345" s="1" t="s">
        <x:v>73</x:v>
      </x:c>
      <x:c r="AL345" s="8" t="s">
        <x:v>74</x:v>
      </x:c>
      <x:c r="AM345" s="1"/>
      <x:c r="AN345" s="8" t="s">
        <x:v>95</x:v>
      </x:c>
      <x:c r="AO345" s="1" t="s">
        <x:v>54</x:v>
      </x:c>
      <x:c r="AP345" s="8"/>
      <x:c r="AQ345" s="1" t="s">
        <x:v>77</x:v>
      </x:c>
      <x:c r="AR345" s="8" t="str">
        <x:v>Проверка автором исследования</x:v>
      </x:c>
      <x:c r="AS345" s="1"/>
      <x:c r="AT345" s="8" t="s">
        <x:v>96</x:v>
      </x:c>
      <x:c r="AU345" s="1" t="s">
        <x:v>447</x:v>
      </x:c>
      <x:c r="AV345" s="17">
        <x:v>45679</x:v>
      </x:c>
      <x:c r="AW345" s="1" t="s">
        <x:v>324</x:v>
      </x:c>
      <x:c r="AX345" s="8" t="s">
        <x:v>82</x:v>
      </x:c>
      <x:c r="AY345" s="8"/>
    </x:row>
    <x:row r="346" ht="69.94999694824219" customHeight="1">
      <x:c r="A346" s="1" t="s">
        <x:v>4263</x:v>
      </x:c>
      <x:c r="B346" s="8" t="s">
        <x:v>4264</x:v>
      </x:c>
      <x:c r="C346" s="1" t="s">
        <x:v>4265</x:v>
      </x:c>
      <x:c r="D346" s="8" t="s">
        <x:v>53</x:v>
      </x:c>
      <x:c r="E346" s="1" t="s">
        <x:v>54</x:v>
      </x:c>
      <x:c r="F346" s="8" t="s">
        <x:v>4266</x:v>
      </x:c>
      <x:c r="G346" s="1" t="s">
        <x:v>4267</x:v>
      </x:c>
      <x:c r="H346" s="8" t="s">
        <x:v>4268</x:v>
      </x:c>
      <x:c r="I346" s="4">
        <x:v>2023</x:v>
      </x:c>
      <x:c r="J346" s="8"/>
      <x:c r="K346" s="1" t="s">
        <x:v>416</x:v>
      </x:c>
      <x:c r="L346" s="8" t="s">
        <x:v>4269</x:v>
      </x:c>
      <x:c r="M346" s="1" t="s">
        <x:v>61</x:v>
      </x:c>
      <x:c r="N346" s="8"/>
      <x:c r="O346" s="1"/>
      <x:c r="P346" s="8"/>
      <x:c r="Q346" s="1"/>
      <x:c r="R346" s="8" t="s">
        <x:v>4270</x:v>
      </x:c>
      <x:c r="S346" s="3"/>
      <x:c r="T346" s="8" t="s">
        <x:v>63</x:v>
      </x:c>
      <x:c r="U346" s="1" t="s">
        <x:v>4260</x:v>
      </x:c>
      <x:c r="V346" s="13">
        <x:v>9</x:v>
      </x:c>
      <x:c r="W346" s="1" t="s">
        <x:v>65</x:v>
      </x:c>
      <x:c r="X346" s="8" t="s">
        <x:v>66</x:v>
      </x:c>
      <x:c r="Y346" s="1" t="str">
        <x:v>Проверено автором исследования</x:v>
      </x:c>
      <x:c r="Z346" s="8" t="s">
        <x:v>4271</x:v>
      </x:c>
      <x:c r="AA346" s="1" t="s">
        <x:v>4261</x:v>
      </x:c>
      <x:c r="AB346" s="13">
        <x:v>2025</x:v>
      </x:c>
      <x:c r="AC346" s="3">
        <x:v>46322</x:v>
      </x:c>
      <x:c r="AD346" s="8" t="s">
        <x:v>69</x:v>
      </x:c>
      <x:c r="AE346" s="1" t="s">
        <x:v>4272</x:v>
      </x:c>
      <x:c r="AF346" s="8" t="s">
        <x:v>118</x:v>
      </x:c>
      <x:c r="AG346" s="1" t="s">
        <x:v>4262</x:v>
      </x:c>
      <x:c r="AH346" s="8" t="str">
        <x:v>Краткая затекстовая ссылка; повторная документальная сверка выполнена</x:v>
      </x:c>
      <x:c r="AI346" s="1"/>
      <x:c r="AJ346" s="17"/>
      <x:c r="AK346" s="1" t="s">
        <x:v>73</x:v>
      </x:c>
      <x:c r="AL346" s="8" t="s">
        <x:v>74</x:v>
      </x:c>
      <x:c r="AM346" s="1"/>
      <x:c r="AN346" s="8" t="s">
        <x:v>75</x:v>
      </x:c>
      <x:c r="AO346" s="1" t="s">
        <x:v>76</x:v>
      </x:c>
      <x:c r="AP346" s="8"/>
      <x:c r="AQ346" s="1" t="s">
        <x:v>77</x:v>
      </x:c>
      <x:c r="AR346" s="8" t="str">
        <x:v>Проверка автором исследования</x:v>
      </x:c>
      <x:c r="AS346" s="1" t="s">
        <x:v>4273</x:v>
      </x:c>
      <x:c r="AT346" s="8" t="s">
        <x:v>4274</x:v>
      </x:c>
      <x:c r="AU346" s="1" t="s">
        <x:v>4275</x:v>
      </x:c>
      <x:c r="AV346" s="17">
        <x:v>46321</x:v>
      </x:c>
      <x:c r="AW346" s="1" t="s">
        <x:v>81</x:v>
      </x:c>
      <x:c r="AX346" s="8" t="s">
        <x:v>82</x:v>
      </x:c>
      <x:c r="AY346" s="8"/>
    </x:row>
    <x:row r="347" ht="111.94999694824219" customHeight="1">
      <x:c r="A347" s="1" t="s">
        <x:v>4276</x:v>
      </x:c>
      <x:c r="B347" s="8" t="s">
        <x:v>4277</x:v>
      </x:c>
      <x:c r="C347" s="1" t="s">
        <x:v>4278</x:v>
      </x:c>
      <x:c r="D347" s="8" t="s">
        <x:v>53</x:v>
      </x:c>
      <x:c r="E347" s="1" t="s">
        <x:v>54</x:v>
      </x:c>
      <x:c r="F347" s="8" t="s">
        <x:v>4279</x:v>
      </x:c>
      <x:c r="G347" s="1" t="s">
        <x:v>4280</x:v>
      </x:c>
      <x:c r="H347" s="8" t="s">
        <x:v>4281</x:v>
      </x:c>
      <x:c r="I347" s="4">
        <x:v>2017</x:v>
      </x:c>
      <x:c r="J347" s="8"/>
      <x:c r="K347" s="1" t="s">
        <x:v>182</x:v>
      </x:c>
      <x:c r="L347" s="8" t="s">
        <x:v>4282</x:v>
      </x:c>
      <x:c r="M347" s="1" t="s">
        <x:v>61</x:v>
      </x:c>
      <x:c r="N347" s="8"/>
      <x:c r="O347" s="1"/>
      <x:c r="P347" s="8"/>
      <x:c r="Q347" s="1"/>
      <x:c r="R347" s="8" t="s">
        <x:v>4283</x:v>
      </x:c>
      <x:c r="S347" s="3"/>
      <x:c r="T347" s="8" t="s">
        <x:v>63</x:v>
      </x:c>
      <x:c r="U347" s="1" t="s">
        <x:v>4260</x:v>
      </x:c>
      <x:c r="V347" s="13">
        <x:v>14</x:v>
      </x:c>
      <x:c r="W347" s="1" t="s">
        <x:v>65</x:v>
      </x:c>
      <x:c r="X347" s="8" t="s">
        <x:v>66</x:v>
      </x:c>
      <x:c r="Y347" s="1" t="str">
        <x:v>Проверено автором исследования</x:v>
      </x:c>
      <x:c r="Z347" s="8" t="s">
        <x:v>4284</x:v>
      </x:c>
      <x:c r="AA347" s="1" t="s">
        <x:v>4261</x:v>
      </x:c>
      <x:c r="AB347" s="13">
        <x:v>2025</x:v>
      </x:c>
      <x:c r="AC347" s="3">
        <x:v>46322</x:v>
      </x:c>
      <x:c r="AD347" s="8" t="s">
        <x:v>69</x:v>
      </x:c>
      <x:c r="AE347" s="1"/>
      <x:c r="AF347" s="8" t="s">
        <x:v>118</x:v>
      </x:c>
      <x:c r="AG347" s="1" t="s">
        <x:v>4262</x:v>
      </x:c>
      <x:c r="AH347" s="8" t="str">
        <x:v>Краткая затекстовая ссылка; повторная документальная сверка выполнена</x:v>
      </x:c>
      <x:c r="AI347" s="1"/>
      <x:c r="AJ347" s="17"/>
      <x:c r="AK347" s="1" t="s">
        <x:v>73</x:v>
      </x:c>
      <x:c r="AL347" s="8" t="s">
        <x:v>74</x:v>
      </x:c>
      <x:c r="AM347" s="1"/>
      <x:c r="AN347" s="8" t="s">
        <x:v>75</x:v>
      </x:c>
      <x:c r="AO347" s="1" t="s">
        <x:v>76</x:v>
      </x:c>
      <x:c r="AP347" s="8"/>
      <x:c r="AQ347" s="1" t="s">
        <x:v>77</x:v>
      </x:c>
      <x:c r="AR347" s="8" t="str">
        <x:v>Проверка автором исследования</x:v>
      </x:c>
      <x:c r="AS347" s="1" t="s">
        <x:v>4285</x:v>
      </x:c>
      <x:c r="AT347" s="8" t="s">
        <x:v>4286</x:v>
      </x:c>
      <x:c r="AU347" s="1" t="s">
        <x:v>4287</x:v>
      </x:c>
      <x:c r="AV347" s="17">
        <x:v>46321</x:v>
      </x:c>
      <x:c r="AW347" s="1" t="s">
        <x:v>81</x:v>
      </x:c>
      <x:c r="AX347" s="8" t="s">
        <x:v>82</x:v>
      </x:c>
      <x:c r="AY347" s="8"/>
    </x:row>
    <x:row r="348" ht="140.10000610351562" customHeight="1">
      <x:c r="A348" s="1" t="s">
        <x:v>4288</x:v>
      </x:c>
      <x:c r="B348" s="8" t="s">
        <x:v>4289</x:v>
      </x:c>
      <x:c r="C348" s="1" t="s">
        <x:v>4290</x:v>
      </x:c>
      <x:c r="D348" s="8" t="s">
        <x:v>53</x:v>
      </x:c>
      <x:c r="E348" s="1" t="s">
        <x:v>54</x:v>
      </x:c>
      <x:c r="F348" s="8" t="s">
        <x:v>4291</x:v>
      </x:c>
      <x:c r="G348" s="1" t="s">
        <x:v>4292</x:v>
      </x:c>
      <x:c r="H348" s="8" t="s">
        <x:v>4281</x:v>
      </x:c>
      <x:c r="I348" s="4">
        <x:v>2021</x:v>
      </x:c>
      <x:c r="J348" s="8" t="s">
        <x:v>1044</x:v>
      </x:c>
      <x:c r="K348" s="1" t="s">
        <x:v>239</x:v>
      </x:c>
      <x:c r="L348" s="8" t="s">
        <x:v>4293</x:v>
      </x:c>
      <x:c r="M348" s="1" t="s">
        <x:v>61</x:v>
      </x:c>
      <x:c r="N348" s="8"/>
      <x:c r="O348" s="1"/>
      <x:c r="P348" s="8"/>
      <x:c r="Q348" s="1"/>
      <x:c r="R348" s="8" t="s">
        <x:v>4294</x:v>
      </x:c>
      <x:c r="S348" s="3"/>
      <x:c r="T348" s="8" t="s">
        <x:v>63</x:v>
      </x:c>
      <x:c r="U348" s="1" t="s">
        <x:v>4260</x:v>
      </x:c>
      <x:c r="V348" s="13">
        <x:v>16</x:v>
      </x:c>
      <x:c r="W348" s="1" t="s">
        <x:v>65</x:v>
      </x:c>
      <x:c r="X348" s="8" t="s">
        <x:v>66</x:v>
      </x:c>
      <x:c r="Y348" s="1" t="str">
        <x:v>Проверено автором исследования</x:v>
      </x:c>
      <x:c r="Z348" s="8" t="s">
        <x:v>4295</x:v>
      </x:c>
      <x:c r="AA348" s="1" t="s">
        <x:v>4261</x:v>
      </x:c>
      <x:c r="AB348" s="13">
        <x:v>2025</x:v>
      </x:c>
      <x:c r="AC348" s="3">
        <x:v>46322</x:v>
      </x:c>
      <x:c r="AD348" s="8" t="s">
        <x:v>69</x:v>
      </x:c>
      <x:c r="AE348" s="1"/>
      <x:c r="AF348" s="8" t="s">
        <x:v>118</x:v>
      </x:c>
      <x:c r="AG348" s="1" t="s">
        <x:v>4262</x:v>
      </x:c>
      <x:c r="AH348" s="8" t="str">
        <x:v>Краткая затекстовая ссылка; повторная документальная сверка выполнена</x:v>
      </x:c>
      <x:c r="AI348" s="1"/>
      <x:c r="AJ348" s="17"/>
      <x:c r="AK348" s="1" t="s">
        <x:v>73</x:v>
      </x:c>
      <x:c r="AL348" s="8" t="s">
        <x:v>74</x:v>
      </x:c>
      <x:c r="AM348" s="1"/>
      <x:c r="AN348" s="8" t="s">
        <x:v>75</x:v>
      </x:c>
      <x:c r="AO348" s="1" t="s">
        <x:v>76</x:v>
      </x:c>
      <x:c r="AP348" s="8"/>
      <x:c r="AQ348" s="1" t="s">
        <x:v>77</x:v>
      </x:c>
      <x:c r="AR348" s="8" t="str">
        <x:v>Проверка автором исследования</x:v>
      </x:c>
      <x:c r="AS348" s="1" t="s">
        <x:v>4296</x:v>
      </x:c>
      <x:c r="AT348" s="8" t="s">
        <x:v>4297</x:v>
      </x:c>
      <x:c r="AU348" s="1" t="s">
        <x:v>4298</x:v>
      </x:c>
      <x:c r="AV348" s="17">
        <x:v>46321</x:v>
      </x:c>
      <x:c r="AW348" s="1" t="s">
        <x:v>81</x:v>
      </x:c>
      <x:c r="AX348" s="8" t="s">
        <x:v>82</x:v>
      </x:c>
      <x:c r="AY348" s="8"/>
    </x:row>
    <x:row r="349" ht="69.94999694824219" customHeight="1">
      <x:c r="A349" s="1" t="s">
        <x:v>4299</x:v>
      </x:c>
      <x:c r="B349" s="8" t="s">
        <x:v>4300</x:v>
      </x:c>
      <x:c r="C349" s="1" t="s">
        <x:v>4301</x:v>
      </x:c>
      <x:c r="D349" s="8" t="s">
        <x:v>86</x:v>
      </x:c>
      <x:c r="E349" s="1" t="s">
        <x:v>76</x:v>
      </x:c>
      <x:c r="F349" s="8" t="s">
        <x:v>4302</x:v>
      </x:c>
      <x:c r="G349" s="1" t="s">
        <x:v>4303</x:v>
      </x:c>
      <x:c r="H349" s="8"/>
      <x:c r="I349" s="4">
        <x:v>1962</x:v>
      </x:c>
      <x:c r="J349" s="8"/>
      <x:c r="K349" s="1"/>
      <x:c r="L349" s="8" t="s">
        <x:v>1610</x:v>
      </x:c>
      <x:c r="M349" s="1" t="s">
        <x:v>90</x:v>
      </x:c>
      <x:c r="N349" s="8" t="s">
        <x:v>4304</x:v>
      </x:c>
      <x:c r="O349" s="1" t="s">
        <x:v>92</x:v>
      </x:c>
      <x:c r="P349" s="8"/>
      <x:c r="Q349" s="1"/>
      <x:c r="R349" s="8" t="s">
        <x:v>4305</x:v>
      </x:c>
      <x:c r="S349" s="3">
        <x:v>45708</x:v>
      </x:c>
      <x:c r="T349" s="8" t="s">
        <x:v>63</x:v>
      </x:c>
      <x:c r="U349" s="1" t="s">
        <x:v>4306</x:v>
      </x:c>
      <x:c r="V349" s="13">
        <x:v>9</x:v>
      </x:c>
      <x:c r="W349" s="1" t="s">
        <x:v>65</x:v>
      </x:c>
      <x:c r="X349" s="8" t="s">
        <x:v>66</x:v>
      </x:c>
      <x:c r="Y349" s="1" t="str">
        <x:v>Проверено автором исследования</x:v>
      </x:c>
      <x:c r="Z349" s="8"/>
      <x:c r="AA349" s="1" t="s">
        <x:v>4307</x:v>
      </x:c>
      <x:c r="AB349" s="13">
        <x:v>2025</x:v>
      </x:c>
      <x:c r="AC349" s="3"/>
      <x:c r="AD349" s="8" t="s">
        <x:v>93</x:v>
      </x:c>
      <x:c r="AE349" s="1"/>
      <x:c r="AF349" s="8" t="s">
        <x:v>118</x:v>
      </x:c>
      <x:c r="AG349" s="1" t="s">
        <x:v>4308</x:v>
      </x:c>
      <x:c r="AH349" s="8" t="str">
        <x:v>Краткая затекстовая ссылка; повторная документальная сверка выполнена</x:v>
      </x:c>
      <x:c r="AI349" s="1"/>
      <x:c r="AJ349" s="17"/>
      <x:c r="AK349" s="1" t="s">
        <x:v>73</x:v>
      </x:c>
      <x:c r="AL349" s="8" t="s">
        <x:v>74</x:v>
      </x:c>
      <x:c r="AM349" s="1"/>
      <x:c r="AN349" s="8" t="s">
        <x:v>95</x:v>
      </x:c>
      <x:c r="AO349" s="1" t="s">
        <x:v>54</x:v>
      </x:c>
      <x:c r="AP349" s="8"/>
      <x:c r="AQ349" s="1" t="s">
        <x:v>77</x:v>
      </x:c>
      <x:c r="AR349" s="8" t="str">
        <x:v>Проверка автором исследования</x:v>
      </x:c>
      <x:c r="AS349" s="1"/>
      <x:c r="AT349" s="8" t="s">
        <x:v>96</x:v>
      </x:c>
      <x:c r="AU349" s="1" t="s">
        <x:v>447</x:v>
      </x:c>
      <x:c r="AV349" s="17">
        <x:v>45708</x:v>
      </x:c>
      <x:c r="AW349" s="1" t="s">
        <x:v>324</x:v>
      </x:c>
      <x:c r="AX349" s="8" t="s">
        <x:v>82</x:v>
      </x:c>
      <x:c r="AY349" s="8"/>
    </x:row>
    <x:row r="350" ht="69.94999694824219" customHeight="1">
      <x:c r="A350" s="1" t="s">
        <x:v>4309</x:v>
      </x:c>
      <x:c r="B350" s="8" t="s">
        <x:v>4310</x:v>
      </x:c>
      <x:c r="C350" s="1" t="s">
        <x:v>4311</x:v>
      </x:c>
      <x:c r="D350" s="8" t="s">
        <x:v>86</x:v>
      </x:c>
      <x:c r="E350" s="1" t="s">
        <x:v>76</x:v>
      </x:c>
      <x:c r="F350" s="8" t="s">
        <x:v>4312</x:v>
      </x:c>
      <x:c r="G350" s="1" t="s">
        <x:v>4313</x:v>
      </x:c>
      <x:c r="H350" s="8"/>
      <x:c r="I350" s="4">
        <x:v>1957</x:v>
      </x:c>
      <x:c r="J350" s="8"/>
      <x:c r="K350" s="1"/>
      <x:c r="L350" s="8" t="s">
        <x:v>4314</x:v>
      </x:c>
      <x:c r="M350" s="1" t="s">
        <x:v>90</x:v>
      </x:c>
      <x:c r="N350" s="8" t="s">
        <x:v>4304</x:v>
      </x:c>
      <x:c r="O350" s="1" t="s">
        <x:v>92</x:v>
      </x:c>
      <x:c r="P350" s="8"/>
      <x:c r="Q350" s="1"/>
      <x:c r="R350" s="8"/>
      <x:c r="S350" s="3"/>
      <x:c r="T350" s="8" t="s">
        <x:v>63</x:v>
      </x:c>
      <x:c r="U350" s="1" t="s">
        <x:v>4306</x:v>
      </x:c>
      <x:c r="V350" s="13">
        <x:v>10</x:v>
      </x:c>
      <x:c r="W350" s="1" t="s">
        <x:v>65</x:v>
      </x:c>
      <x:c r="X350" s="8" t="s">
        <x:v>66</x:v>
      </x:c>
      <x:c r="Y350" s="1" t="str">
        <x:v>Проверено автором исследования</x:v>
      </x:c>
      <x:c r="Z350" s="8"/>
      <x:c r="AA350" s="1" t="s">
        <x:v>4307</x:v>
      </x:c>
      <x:c r="AB350" s="13">
        <x:v>2025</x:v>
      </x:c>
      <x:c r="AC350" s="3"/>
      <x:c r="AD350" s="8" t="s">
        <x:v>93</x:v>
      </x:c>
      <x:c r="AE350" s="1"/>
      <x:c r="AF350" s="8" t="s">
        <x:v>118</x:v>
      </x:c>
      <x:c r="AG350" s="1" t="s">
        <x:v>4308</x:v>
      </x:c>
      <x:c r="AH350" s="8" t="str">
        <x:v>Краткая затекстовая ссылка; повторная документальная сверка выполнена</x:v>
      </x:c>
      <x:c r="AI350" s="1"/>
      <x:c r="AJ350" s="17"/>
      <x:c r="AK350" s="1" t="s">
        <x:v>73</x:v>
      </x:c>
      <x:c r="AL350" s="8" t="s">
        <x:v>74</x:v>
      </x:c>
      <x:c r="AM350" s="1"/>
      <x:c r="AN350" s="8" t="s">
        <x:v>95</x:v>
      </x:c>
      <x:c r="AO350" s="1" t="s">
        <x:v>76</x:v>
      </x:c>
      <x:c r="AP350" s="8"/>
      <x:c r="AQ350" s="1" t="s">
        <x:v>77</x:v>
      </x:c>
      <x:c r="AR350" s="8" t="str">
        <x:v>Проверка автором исследования</x:v>
      </x:c>
      <x:c r="AS350" s="1"/>
      <x:c r="AT350" s="8" t="s">
        <x:v>96</x:v>
      </x:c>
      <x:c r="AU350" s="1" t="s">
        <x:v>97</x:v>
      </x:c>
      <x:c r="AV350" s="17"/>
      <x:c r="AW350" s="1" t="s">
        <x:v>98</x:v>
      </x:c>
      <x:c r="AX350" s="8" t="s">
        <x:v>82</x:v>
      </x:c>
      <x:c r="AY350" s="8"/>
    </x:row>
    <x:row r="351" ht="69.94999694824219" customHeight="1">
      <x:c r="A351" s="1" t="s">
        <x:v>4315</x:v>
      </x:c>
      <x:c r="B351" s="8" t="s">
        <x:v>4316</x:v>
      </x:c>
      <x:c r="C351" s="1" t="s">
        <x:v>4317</x:v>
      </x:c>
      <x:c r="D351" s="8" t="s">
        <x:v>86</x:v>
      </x:c>
      <x:c r="E351" s="1" t="s">
        <x:v>76</x:v>
      </x:c>
      <x:c r="F351" s="8" t="s">
        <x:v>4318</x:v>
      </x:c>
      <x:c r="G351" s="1" t="s">
        <x:v>4319</x:v>
      </x:c>
      <x:c r="H351" s="8"/>
      <x:c r="I351" s="4">
        <x:v>1966</x:v>
      </x:c>
      <x:c r="J351" s="8"/>
      <x:c r="K351" s="1"/>
      <x:c r="L351" s="8" t="s">
        <x:v>4320</x:v>
      </x:c>
      <x:c r="M351" s="1" t="s">
        <x:v>90</x:v>
      </x:c>
      <x:c r="N351" s="8" t="s">
        <x:v>388</x:v>
      </x:c>
      <x:c r="O351" s="1" t="s">
        <x:v>92</x:v>
      </x:c>
      <x:c r="P351" s="8"/>
      <x:c r="Q351" s="1"/>
      <x:c r="R351" s="8" t="s">
        <x:v>4321</x:v>
      </x:c>
      <x:c r="S351" s="3">
        <x:v>45708</x:v>
      </x:c>
      <x:c r="T351" s="8" t="s">
        <x:v>63</x:v>
      </x:c>
      <x:c r="U351" s="1" t="s">
        <x:v>4306</x:v>
      </x:c>
      <x:c r="V351" s="13">
        <x:v>11</x:v>
      </x:c>
      <x:c r="W351" s="1" t="s">
        <x:v>65</x:v>
      </x:c>
      <x:c r="X351" s="8" t="s">
        <x:v>66</x:v>
      </x:c>
      <x:c r="Y351" s="1" t="str">
        <x:v>Проверено автором исследования</x:v>
      </x:c>
      <x:c r="Z351" s="8"/>
      <x:c r="AA351" s="1" t="s">
        <x:v>4307</x:v>
      </x:c>
      <x:c r="AB351" s="13">
        <x:v>2025</x:v>
      </x:c>
      <x:c r="AC351" s="3"/>
      <x:c r="AD351" s="8" t="s">
        <x:v>93</x:v>
      </x:c>
      <x:c r="AE351" s="1"/>
      <x:c r="AF351" s="8" t="s">
        <x:v>118</x:v>
      </x:c>
      <x:c r="AG351" s="1" t="s">
        <x:v>4308</x:v>
      </x:c>
      <x:c r="AH351" s="8" t="str">
        <x:v>Краткая затекстовая ссылка; повторная документальная сверка выполнена</x:v>
      </x:c>
      <x:c r="AI351" s="1"/>
      <x:c r="AJ351" s="17"/>
      <x:c r="AK351" s="1" t="s">
        <x:v>73</x:v>
      </x:c>
      <x:c r="AL351" s="8" t="s">
        <x:v>74</x:v>
      </x:c>
      <x:c r="AM351" s="1"/>
      <x:c r="AN351" s="8" t="s">
        <x:v>95</x:v>
      </x:c>
      <x:c r="AO351" s="1" t="s">
        <x:v>76</x:v>
      </x:c>
      <x:c r="AP351" s="8"/>
      <x:c r="AQ351" s="1" t="s">
        <x:v>77</x:v>
      </x:c>
      <x:c r="AR351" s="8" t="str">
        <x:v>Проверка автором исследования</x:v>
      </x:c>
      <x:c r="AS351" s="1"/>
      <x:c r="AT351" s="8" t="s">
        <x:v>96</x:v>
      </x:c>
      <x:c r="AU351" s="1" t="s">
        <x:v>447</x:v>
      </x:c>
      <x:c r="AV351" s="17">
        <x:v>45708</x:v>
      </x:c>
      <x:c r="AW351" s="1" t="s">
        <x:v>4322</x:v>
      </x:c>
      <x:c r="AX351" s="8" t="s">
        <x:v>82</x:v>
      </x:c>
      <x:c r="AY351" s="8"/>
    </x:row>
    <x:row r="352" ht="69.94999694824219" customHeight="1">
      <x:c r="A352" s="1" t="s">
        <x:v>4323</x:v>
      </x:c>
      <x:c r="B352" s="8" t="s">
        <x:v>4324</x:v>
      </x:c>
      <x:c r="C352" s="1" t="s">
        <x:v>4325</x:v>
      </x:c>
      <x:c r="D352" s="8" t="s">
        <x:v>73</x:v>
      </x:c>
      <x:c r="E352" s="1" t="s">
        <x:v>76</x:v>
      </x:c>
      <x:c r="F352" s="8" t="s">
        <x:v>4326</x:v>
      </x:c>
      <x:c r="G352" s="1" t="s">
        <x:v>4327</x:v>
      </x:c>
      <x:c r="H352" s="8" t="s">
        <x:v>4328</x:v>
      </x:c>
      <x:c r="I352" s="4">
        <x:v>1974</x:v>
      </x:c>
      <x:c r="J352" s="8" t="s">
        <x:v>239</x:v>
      </x:c>
      <x:c r="K352" s="1"/>
      <x:c r="L352" s="8" t="s">
        <x:v>4329</x:v>
      </x:c>
      <x:c r="M352" s="1" t="s">
        <x:v>61</x:v>
      </x:c>
      <x:c r="N352" s="8"/>
      <x:c r="O352" s="1"/>
      <x:c r="P352" s="8"/>
      <x:c r="Q352" s="1"/>
      <x:c r="R352" s="8"/>
      <x:c r="S352" s="3"/>
      <x:c r="T352" s="8" t="s">
        <x:v>63</x:v>
      </x:c>
      <x:c r="U352" s="1" t="s">
        <x:v>4306</x:v>
      </x:c>
      <x:c r="V352" s="13">
        <x:v>14</x:v>
      </x:c>
      <x:c r="W352" s="1" t="s">
        <x:v>65</x:v>
      </x:c>
      <x:c r="X352" s="8" t="s">
        <x:v>66</x:v>
      </x:c>
      <x:c r="Y352" s="1" t="str">
        <x:v>Проверено автором исследования</x:v>
      </x:c>
      <x:c r="Z352" s="8"/>
      <x:c r="AA352" s="1" t="s">
        <x:v>4307</x:v>
      </x:c>
      <x:c r="AB352" s="13">
        <x:v>2025</x:v>
      </x:c>
      <x:c r="AC352" s="3"/>
      <x:c r="AD352" s="8" t="s">
        <x:v>93</x:v>
      </x:c>
      <x:c r="AE352" s="1" t="s">
        <x:v>4330</x:v>
      </x:c>
      <x:c r="AF352" s="8" t="s">
        <x:v>118</x:v>
      </x:c>
      <x:c r="AG352" s="1" t="s">
        <x:v>4308</x:v>
      </x:c>
      <x:c r="AH352" s="8" t="str">
        <x:v>Краткая затекстовая ссылка; повторная документальная сверка выполнена</x:v>
      </x:c>
      <x:c r="AI352" s="1"/>
      <x:c r="AJ352" s="17"/>
      <x:c r="AK352" s="1" t="s">
        <x:v>73</x:v>
      </x:c>
      <x:c r="AL352" s="8" t="s">
        <x:v>74</x:v>
      </x:c>
      <x:c r="AM352" s="1"/>
      <x:c r="AN352" s="8" t="s">
        <x:v>95</x:v>
      </x:c>
      <x:c r="AO352" s="1" t="s">
        <x:v>76</x:v>
      </x:c>
      <x:c r="AP352" s="8"/>
      <x:c r="AQ352" s="1" t="s">
        <x:v>77</x:v>
      </x:c>
      <x:c r="AR352" s="8" t="str">
        <x:v>Проверка автором исследования</x:v>
      </x:c>
      <x:c r="AS352" s="1"/>
      <x:c r="AT352" s="8" t="s">
        <x:v>96</x:v>
      </x:c>
      <x:c r="AU352" s="1" t="s">
        <x:v>97</x:v>
      </x:c>
      <x:c r="AV352" s="17"/>
      <x:c r="AW352" s="1" t="s">
        <x:v>98</x:v>
      </x:c>
      <x:c r="AX352" s="8" t="s">
        <x:v>82</x:v>
      </x:c>
      <x:c r="AY352" s="8"/>
    </x:row>
    <x:row r="353" ht="69.94999694824219" customHeight="1">
      <x:c r="A353" s="1" t="s">
        <x:v>4331</x:v>
      </x:c>
      <x:c r="B353" s="8" t="s">
        <x:v>4332</x:v>
      </x:c>
      <x:c r="C353" s="1" t="s">
        <x:v>4333</x:v>
      </x:c>
      <x:c r="D353" s="8" t="s">
        <x:v>73</x:v>
      </x:c>
      <x:c r="E353" s="1" t="s">
        <x:v>76</x:v>
      </x:c>
      <x:c r="F353" s="8" t="s">
        <x:v>4334</x:v>
      </x:c>
      <x:c r="G353" s="1" t="s">
        <x:v>4335</x:v>
      </x:c>
      <x:c r="H353" s="8" t="s">
        <x:v>4336</x:v>
      </x:c>
      <x:c r="I353" s="4">
        <x:v>2019</x:v>
      </x:c>
      <x:c r="J353" s="8"/>
      <x:c r="K353" s="1" t="s">
        <x:v>4337</x:v>
      </x:c>
      <x:c r="L353" s="8" t="s">
        <x:v>4338</x:v>
      </x:c>
      <x:c r="M353" s="1" t="s">
        <x:v>61</x:v>
      </x:c>
      <x:c r="N353" s="8"/>
      <x:c r="O353" s="1"/>
      <x:c r="P353" s="8"/>
      <x:c r="Q353" s="1"/>
      <x:c r="R353" s="8"/>
      <x:c r="S353" s="3"/>
      <x:c r="T353" s="8" t="s">
        <x:v>63</x:v>
      </x:c>
      <x:c r="U353" s="1" t="s">
        <x:v>4339</x:v>
      </x:c>
      <x:c r="V353" s="13">
        <x:v>7</x:v>
      </x:c>
      <x:c r="W353" s="1" t="s">
        <x:v>65</x:v>
      </x:c>
      <x:c r="X353" s="8" t="s">
        <x:v>66</x:v>
      </x:c>
      <x:c r="Y353" s="1" t="str">
        <x:v>Проверено автором исследования</x:v>
      </x:c>
      <x:c r="Z353" s="8"/>
      <x:c r="AA353" s="1" t="s">
        <x:v>4340</x:v>
      </x:c>
      <x:c r="AB353" s="13">
        <x:v>2025</x:v>
      </x:c>
      <x:c r="AC353" s="3"/>
      <x:c r="AD353" s="8" t="s">
        <x:v>93</x:v>
      </x:c>
      <x:c r="AE353" s="1" t="s">
        <x:v>4341</x:v>
      </x:c>
      <x:c r="AF353" s="8" t="s">
        <x:v>118</x:v>
      </x:c>
      <x:c r="AG353" s="1" t="s">
        <x:v>4342</x:v>
      </x:c>
      <x:c r="AH353" s="8" t="str">
        <x:v>Краткая затекстовая ссылка; повторная документальная сверка выполнена</x:v>
      </x:c>
      <x:c r="AI353" s="1"/>
      <x:c r="AJ353" s="17"/>
      <x:c r="AK353" s="1" t="s">
        <x:v>73</x:v>
      </x:c>
      <x:c r="AL353" s="8" t="s">
        <x:v>74</x:v>
      </x:c>
      <x:c r="AM353" s="1"/>
      <x:c r="AN353" s="8" t="s">
        <x:v>95</x:v>
      </x:c>
      <x:c r="AO353" s="1" t="s">
        <x:v>76</x:v>
      </x:c>
      <x:c r="AP353" s="8"/>
      <x:c r="AQ353" s="1" t="s">
        <x:v>77</x:v>
      </x:c>
      <x:c r="AR353" s="8" t="str">
        <x:v>Проверка автором исследования</x:v>
      </x:c>
      <x:c r="AS353" s="1"/>
      <x:c r="AT353" s="8" t="s">
        <x:v>96</x:v>
      </x:c>
      <x:c r="AU353" s="1" t="s">
        <x:v>97</x:v>
      </x:c>
      <x:c r="AV353" s="17"/>
      <x:c r="AW353" s="1" t="s">
        <x:v>98</x:v>
      </x:c>
      <x:c r="AX353" s="8" t="s">
        <x:v>82</x:v>
      </x:c>
      <x:c r="AY353" s="8"/>
    </x:row>
    <x:row r="354" ht="69.94999694824219" customHeight="1">
      <x:c r="A354" s="1" t="s">
        <x:v>4343</x:v>
      </x:c>
      <x:c r="B354" s="8" t="s">
        <x:v>4344</x:v>
      </x:c>
      <x:c r="C354" s="1" t="s">
        <x:v>4345</x:v>
      </x:c>
      <x:c r="D354" s="8" t="s">
        <x:v>86</x:v>
      </x:c>
      <x:c r="E354" s="1" t="s">
        <x:v>76</x:v>
      </x:c>
      <x:c r="F354" s="8" t="s">
        <x:v>4346</x:v>
      </x:c>
      <x:c r="G354" s="1" t="s">
        <x:v>4347</x:v>
      </x:c>
      <x:c r="H354" s="8"/>
      <x:c r="I354" s="4">
        <x:v>1984</x:v>
      </x:c>
      <x:c r="J354" s="8"/>
      <x:c r="K354" s="1"/>
      <x:c r="L354" s="8" t="s">
        <x:v>1419</x:v>
      </x:c>
      <x:c r="M354" s="1" t="s">
        <x:v>90</x:v>
      </x:c>
      <x:c r="N354" s="8" t="s">
        <x:v>4348</x:v>
      </x:c>
      <x:c r="O354" s="1" t="s">
        <x:v>92</x:v>
      </x:c>
      <x:c r="P354" s="8"/>
      <x:c r="Q354" s="1"/>
      <x:c r="R354" s="8" t="s">
        <x:v>4349</x:v>
      </x:c>
      <x:c r="S354" s="3">
        <x:v>45718</x:v>
      </x:c>
      <x:c r="T354" s="8" t="s">
        <x:v>63</x:v>
      </x:c>
      <x:c r="U354" s="1" t="s">
        <x:v>4350</x:v>
      </x:c>
      <x:c r="V354" s="13">
        <x:v>4</x:v>
      </x:c>
      <x:c r="W354" s="1" t="s">
        <x:v>65</x:v>
      </x:c>
      <x:c r="X354" s="8" t="s">
        <x:v>66</x:v>
      </x:c>
      <x:c r="Y354" s="1" t="str">
        <x:v>Проверено автором исследования</x:v>
      </x:c>
      <x:c r="Z354" s="8"/>
      <x:c r="AA354" s="1" t="s">
        <x:v>4351</x:v>
      </x:c>
      <x:c r="AB354" s="13">
        <x:v>2025</x:v>
      </x:c>
      <x:c r="AC354" s="3"/>
      <x:c r="AD354" s="8" t="s">
        <x:v>93</x:v>
      </x:c>
      <x:c r="AE354" s="1"/>
      <x:c r="AF354" s="8" t="s">
        <x:v>71</x:v>
      </x:c>
      <x:c r="AG354" s="1" t="s">
        <x:v>4352</x:v>
      </x:c>
      <x:c r="AH354" s="8" t="str">
        <x:v>Краткая затекстовая ссылка; повторная документальная сверка выполнена</x:v>
      </x:c>
      <x:c r="AI354" s="1"/>
      <x:c r="AJ354" s="17"/>
      <x:c r="AK354" s="1" t="s">
        <x:v>73</x:v>
      </x:c>
      <x:c r="AL354" s="8" t="s">
        <x:v>74</x:v>
      </x:c>
      <x:c r="AM354" s="1"/>
      <x:c r="AN354" s="8" t="s">
        <x:v>95</x:v>
      </x:c>
      <x:c r="AO354" s="1" t="s">
        <x:v>54</x:v>
      </x:c>
      <x:c r="AP354" s="8"/>
      <x:c r="AQ354" s="1" t="s">
        <x:v>77</x:v>
      </x:c>
      <x:c r="AR354" s="8" t="str">
        <x:v>Проверка автором исследования</x:v>
      </x:c>
      <x:c r="AS354" s="1"/>
      <x:c r="AT354" s="8" t="s">
        <x:v>96</x:v>
      </x:c>
      <x:c r="AU354" s="1" t="s">
        <x:v>4353</x:v>
      </x:c>
      <x:c r="AV354" s="17">
        <x:v>45718</x:v>
      </x:c>
      <x:c r="AW354" s="1" t="s">
        <x:v>324</x:v>
      </x:c>
      <x:c r="AX354" s="8" t="s">
        <x:v>82</x:v>
      </x:c>
      <x:c r="AY354" s="8"/>
    </x:row>
    <x:row r="355" ht="69.94999694824219" customHeight="1">
      <x:c r="A355" s="1" t="s">
        <x:v>4354</x:v>
      </x:c>
      <x:c r="B355" s="8" t="s">
        <x:v>4355</x:v>
      </x:c>
      <x:c r="C355" s="1" t="s">
        <x:v>4356</x:v>
      </x:c>
      <x:c r="D355" s="8" t="s">
        <x:v>86</x:v>
      </x:c>
      <x:c r="E355" s="1" t="s">
        <x:v>76</x:v>
      </x:c>
      <x:c r="F355" s="8" t="s">
        <x:v>4357</x:v>
      </x:c>
      <x:c r="G355" s="1" t="s">
        <x:v>4358</x:v>
      </x:c>
      <x:c r="H355" s="8"/>
      <x:c r="I355" s="4">
        <x:v>1982</x:v>
      </x:c>
      <x:c r="J355" s="8"/>
      <x:c r="K355" s="1"/>
      <x:c r="L355" s="8" t="s">
        <x:v>4359</x:v>
      </x:c>
      <x:c r="M355" s="1" t="s">
        <x:v>90</x:v>
      </x:c>
      <x:c r="N355" s="8" t="s">
        <x:v>4360</x:v>
      </x:c>
      <x:c r="O355" s="1" t="s">
        <x:v>92</x:v>
      </x:c>
      <x:c r="P355" s="8"/>
      <x:c r="Q355" s="1"/>
      <x:c r="R355" s="8" t="s">
        <x:v>4361</x:v>
      </x:c>
      <x:c r="S355" s="3">
        <x:v>45718</x:v>
      </x:c>
      <x:c r="T355" s="8" t="s">
        <x:v>63</x:v>
      </x:c>
      <x:c r="U355" s="1" t="s">
        <x:v>4350</x:v>
      </x:c>
      <x:c r="V355" s="13">
        <x:v>8</x:v>
      </x:c>
      <x:c r="W355" s="1" t="s">
        <x:v>65</x:v>
      </x:c>
      <x:c r="X355" s="8" t="s">
        <x:v>66</x:v>
      </x:c>
      <x:c r="Y355" s="1" t="str">
        <x:v>Проверено автором исследования</x:v>
      </x:c>
      <x:c r="Z355" s="8"/>
      <x:c r="AA355" s="1" t="s">
        <x:v>4351</x:v>
      </x:c>
      <x:c r="AB355" s="13">
        <x:v>2025</x:v>
      </x:c>
      <x:c r="AC355" s="3"/>
      <x:c r="AD355" s="8" t="s">
        <x:v>93</x:v>
      </x:c>
      <x:c r="AE355" s="1"/>
      <x:c r="AF355" s="8" t="s">
        <x:v>71</x:v>
      </x:c>
      <x:c r="AG355" s="1" t="s">
        <x:v>4352</x:v>
      </x:c>
      <x:c r="AH355" s="8" t="str">
        <x:v>Краткая затекстовая ссылка; повторная документальная сверка выполнена</x:v>
      </x:c>
      <x:c r="AI355" s="1"/>
      <x:c r="AJ355" s="17"/>
      <x:c r="AK355" s="1" t="s">
        <x:v>73</x:v>
      </x:c>
      <x:c r="AL355" s="8" t="s">
        <x:v>74</x:v>
      </x:c>
      <x:c r="AM355" s="1"/>
      <x:c r="AN355" s="8" t="s">
        <x:v>95</x:v>
      </x:c>
      <x:c r="AO355" s="1" t="s">
        <x:v>54</x:v>
      </x:c>
      <x:c r="AP355" s="8"/>
      <x:c r="AQ355" s="1" t="s">
        <x:v>77</x:v>
      </x:c>
      <x:c r="AR355" s="8" t="str">
        <x:v>Проверка автором исследования</x:v>
      </x:c>
      <x:c r="AS355" s="1"/>
      <x:c r="AT355" s="8" t="s">
        <x:v>96</x:v>
      </x:c>
      <x:c r="AU355" s="1" t="s">
        <x:v>4353</x:v>
      </x:c>
      <x:c r="AV355" s="17">
        <x:v>45718</x:v>
      </x:c>
      <x:c r="AW355" s="1" t="s">
        <x:v>324</x:v>
      </x:c>
      <x:c r="AX355" s="8" t="s">
        <x:v>82</x:v>
      </x:c>
      <x:c r="AY355" s="8"/>
    </x:row>
    <x:row r="356" ht="140.10000610351562" customHeight="1">
      <x:c r="A356" s="1" t="s">
        <x:v>4362</x:v>
      </x:c>
      <x:c r="B356" s="8" t="s">
        <x:v>4363</x:v>
      </x:c>
      <x:c r="C356" s="1" t="s">
        <x:v>4364</x:v>
      </x:c>
      <x:c r="D356" s="8" t="s">
        <x:v>53</x:v>
      </x:c>
      <x:c r="E356" s="1" t="s">
        <x:v>54</x:v>
      </x:c>
      <x:c r="F356" s="8" t="s">
        <x:v>4365</x:v>
      </x:c>
      <x:c r="G356" s="1" t="s">
        <x:v>4366</x:v>
      </x:c>
      <x:c r="H356" s="8" t="s">
        <x:v>4281</x:v>
      </x:c>
      <x:c r="I356" s="4">
        <x:v>2024</x:v>
      </x:c>
      <x:c r="J356" s="8" t="s">
        <x:v>3101</x:v>
      </x:c>
      <x:c r="K356" s="1" t="s">
        <x:v>182</x:v>
      </x:c>
      <x:c r="L356" s="8" t="s">
        <x:v>4367</x:v>
      </x:c>
      <x:c r="M356" s="1" t="s">
        <x:v>61</x:v>
      </x:c>
      <x:c r="N356" s="8"/>
      <x:c r="O356" s="1"/>
      <x:c r="P356" s="8"/>
      <x:c r="Q356" s="1"/>
      <x:c r="R356" s="8" t="s">
        <x:v>4368</x:v>
      </x:c>
      <x:c r="S356" s="3"/>
      <x:c r="T356" s="8" t="s">
        <x:v>63</x:v>
      </x:c>
      <x:c r="U356" s="1" t="s">
        <x:v>4350</x:v>
      </x:c>
      <x:c r="V356" s="13">
        <x:v>10</x:v>
      </x:c>
      <x:c r="W356" s="1" t="s">
        <x:v>65</x:v>
      </x:c>
      <x:c r="X356" s="8" t="s">
        <x:v>66</x:v>
      </x:c>
      <x:c r="Y356" s="1" t="str">
        <x:v>Проверено автором исследования</x:v>
      </x:c>
      <x:c r="Z356" s="8" t="s">
        <x:v>4369</x:v>
      </x:c>
      <x:c r="AA356" s="1" t="s">
        <x:v>4351</x:v>
      </x:c>
      <x:c r="AB356" s="13">
        <x:v>2025</x:v>
      </x:c>
      <x:c r="AC356" s="3">
        <x:v>46322</x:v>
      </x:c>
      <x:c r="AD356" s="8" t="s">
        <x:v>69</x:v>
      </x:c>
      <x:c r="AE356" s="1" t="s">
        <x:v>4370</x:v>
      </x:c>
      <x:c r="AF356" s="8" t="s">
        <x:v>71</x:v>
      </x:c>
      <x:c r="AG356" s="1" t="s">
        <x:v>4352</x:v>
      </x:c>
      <x:c r="AH356" s="8" t="str">
        <x:v>Краткая затекстовая ссылка; повторная документальная сверка выполнена</x:v>
      </x:c>
      <x:c r="AI356" s="1"/>
      <x:c r="AJ356" s="17"/>
      <x:c r="AK356" s="1" t="s">
        <x:v>73</x:v>
      </x:c>
      <x:c r="AL356" s="8" t="s">
        <x:v>74</x:v>
      </x:c>
      <x:c r="AM356" s="1"/>
      <x:c r="AN356" s="8" t="s">
        <x:v>75</x:v>
      </x:c>
      <x:c r="AO356" s="1" t="s">
        <x:v>76</x:v>
      </x:c>
      <x:c r="AP356" s="8"/>
      <x:c r="AQ356" s="1" t="s">
        <x:v>77</x:v>
      </x:c>
      <x:c r="AR356" s="8" t="str">
        <x:v>Проверка автором исследования</x:v>
      </x:c>
      <x:c r="AS356" s="1" t="s">
        <x:v>4371</x:v>
      </x:c>
      <x:c r="AT356" s="8" t="s">
        <x:v>4372</x:v>
      </x:c>
      <x:c r="AU356" s="1" t="s">
        <x:v>4373</x:v>
      </x:c>
      <x:c r="AV356" s="17">
        <x:v>46321</x:v>
      </x:c>
      <x:c r="AW356" s="1" t="s">
        <x:v>81</x:v>
      </x:c>
      <x:c r="AX356" s="8" t="s">
        <x:v>82</x:v>
      </x:c>
      <x:c r="AY356" s="8"/>
    </x:row>
    <x:row r="357" ht="69.94999694824219" customHeight="1">
      <x:c r="A357" s="1" t="s">
        <x:v>4374</x:v>
      </x:c>
      <x:c r="B357" s="8" t="s">
        <x:v>4375</x:v>
      </x:c>
      <x:c r="C357" s="1" t="s">
        <x:v>4376</x:v>
      </x:c>
      <x:c r="D357" s="8" t="s">
        <x:v>86</x:v>
      </x:c>
      <x:c r="E357" s="1" t="s">
        <x:v>76</x:v>
      </x:c>
      <x:c r="F357" s="8" t="s">
        <x:v>4377</x:v>
      </x:c>
      <x:c r="G357" s="1" t="s">
        <x:v>4378</x:v>
      </x:c>
      <x:c r="H357" s="8"/>
      <x:c r="I357" s="4">
        <x:v>2008</x:v>
      </x:c>
      <x:c r="J357" s="8"/>
      <x:c r="K357" s="1"/>
      <x:c r="L357" s="8" t="s">
        <x:v>2066</x:v>
      </x:c>
      <x:c r="M357" s="1" t="s">
        <x:v>90</x:v>
      </x:c>
      <x:c r="N357" s="8" t="s">
        <x:v>2130</x:v>
      </x:c>
      <x:c r="O357" s="1" t="s">
        <x:v>92</x:v>
      </x:c>
      <x:c r="P357" s="8"/>
      <x:c r="Q357" s="1" t="s">
        <x:v>4379</x:v>
      </x:c>
      <x:c r="R357" s="8"/>
      <x:c r="S357" s="3"/>
      <x:c r="T357" s="8" t="s">
        <x:v>63</x:v>
      </x:c>
      <x:c r="U357" s="1" t="s">
        <x:v>4380</x:v>
      </x:c>
      <x:c r="V357" s="13">
        <x:v>13</x:v>
      </x:c>
      <x:c r="W357" s="1" t="s">
        <x:v>65</x:v>
      </x:c>
      <x:c r="X357" s="8" t="s">
        <x:v>66</x:v>
      </x:c>
      <x:c r="Y357" s="1" t="str">
        <x:v>Проверено автором исследования</x:v>
      </x:c>
      <x:c r="Z357" s="8"/>
      <x:c r="AA357" s="1" t="s">
        <x:v>4381</x:v>
      </x:c>
      <x:c r="AB357" s="13">
        <x:v>2025</x:v>
      </x:c>
      <x:c r="AC357" s="3"/>
      <x:c r="AD357" s="8" t="s">
        <x:v>93</x:v>
      </x:c>
      <x:c r="AE357" s="1"/>
      <x:c r="AF357" s="8" t="s">
        <x:v>118</x:v>
      </x:c>
      <x:c r="AG357" s="1" t="s">
        <x:v>4382</x:v>
      </x:c>
      <x:c r="AH357" s="8" t="str">
        <x:v>Краткая затекстовая ссылка; повторная документальная сверка выполнена</x:v>
      </x:c>
      <x:c r="AI357" s="1"/>
      <x:c r="AJ357" s="17"/>
      <x:c r="AK357" s="1" t="s">
        <x:v>73</x:v>
      </x:c>
      <x:c r="AL357" s="8" t="s">
        <x:v>74</x:v>
      </x:c>
      <x:c r="AM357" s="1"/>
      <x:c r="AN357" s="8" t="s">
        <x:v>95</x:v>
      </x:c>
      <x:c r="AO357" s="1" t="s">
        <x:v>76</x:v>
      </x:c>
      <x:c r="AP357" s="8"/>
      <x:c r="AQ357" s="1" t="s">
        <x:v>77</x:v>
      </x:c>
      <x:c r="AR357" s="8" t="str">
        <x:v>Проверка автором исследования</x:v>
      </x:c>
      <x:c r="AS357" s="1"/>
      <x:c r="AT357" s="8" t="s">
        <x:v>96</x:v>
      </x:c>
      <x:c r="AU357" s="1" t="s">
        <x:v>97</x:v>
      </x:c>
      <x:c r="AV357" s="17"/>
      <x:c r="AW357" s="1" t="s">
        <x:v>98</x:v>
      </x:c>
      <x:c r="AX357" s="8" t="s">
        <x:v>82</x:v>
      </x:c>
      <x:c r="AY357" s="8"/>
    </x:row>
    <x:row r="358" ht="111.94999694824219" customHeight="1">
      <x:c r="A358" s="1" t="s">
        <x:v>4383</x:v>
      </x:c>
      <x:c r="B358" s="8" t="s">
        <x:v>4384</x:v>
      </x:c>
      <x:c r="C358" s="1" t="s">
        <x:v>4385</x:v>
      </x:c>
      <x:c r="D358" s="8" t="s">
        <x:v>53</x:v>
      </x:c>
      <x:c r="E358" s="1" t="s">
        <x:v>54</x:v>
      </x:c>
      <x:c r="F358" s="8" t="s">
        <x:v>4386</x:v>
      </x:c>
      <x:c r="G358" s="1" t="s">
        <x:v>4387</x:v>
      </x:c>
      <x:c r="H358" s="8" t="s">
        <x:v>4281</x:v>
      </x:c>
      <x:c r="I358" s="4">
        <x:v>2022</x:v>
      </x:c>
      <x:c r="J358" s="8" t="s">
        <x:v>340</x:v>
      </x:c>
      <x:c r="K358" s="1" t="s">
        <x:v>182</x:v>
      </x:c>
      <x:c r="L358" s="8" t="s">
        <x:v>4388</x:v>
      </x:c>
      <x:c r="M358" s="1" t="s">
        <x:v>61</x:v>
      </x:c>
      <x:c r="N358" s="8"/>
      <x:c r="O358" s="1"/>
      <x:c r="P358" s="8"/>
      <x:c r="Q358" s="1"/>
      <x:c r="R358" s="8" t="s">
        <x:v>4389</x:v>
      </x:c>
      <x:c r="S358" s="3"/>
      <x:c r="T358" s="8" t="s">
        <x:v>63</x:v>
      </x:c>
      <x:c r="U358" s="1" t="s">
        <x:v>4390</x:v>
      </x:c>
      <x:c r="V358" s="13">
        <x:v>12</x:v>
      </x:c>
      <x:c r="W358" s="1" t="s">
        <x:v>65</x:v>
      </x:c>
      <x:c r="X358" s="8" t="s">
        <x:v>66</x:v>
      </x:c>
      <x:c r="Y358" s="1" t="str">
        <x:v>Проверено автором исследования</x:v>
      </x:c>
      <x:c r="Z358" s="8" t="s">
        <x:v>4391</x:v>
      </x:c>
      <x:c r="AA358" s="1" t="s">
        <x:v>4392</x:v>
      </x:c>
      <x:c r="AB358" s="13">
        <x:v>2025</x:v>
      </x:c>
      <x:c r="AC358" s="3">
        <x:v>46322</x:v>
      </x:c>
      <x:c r="AD358" s="8" t="s">
        <x:v>69</x:v>
      </x:c>
      <x:c r="AE358" s="1" t="s">
        <x:v>4393</x:v>
      </x:c>
      <x:c r="AF358" s="8" t="s">
        <x:v>118</x:v>
      </x:c>
      <x:c r="AG358" s="1" t="s">
        <x:v>4394</x:v>
      </x:c>
      <x:c r="AH358" s="8" t="str">
        <x:v>Краткая затекстовая ссылка; повторная документальная сверка выполнена</x:v>
      </x:c>
      <x:c r="AI358" s="1"/>
      <x:c r="AJ358" s="17"/>
      <x:c r="AK358" s="1" t="s">
        <x:v>73</x:v>
      </x:c>
      <x:c r="AL358" s="8" t="s">
        <x:v>74</x:v>
      </x:c>
      <x:c r="AM358" s="1"/>
      <x:c r="AN358" s="8" t="s">
        <x:v>75</x:v>
      </x:c>
      <x:c r="AO358" s="1" t="s">
        <x:v>76</x:v>
      </x:c>
      <x:c r="AP358" s="8"/>
      <x:c r="AQ358" s="1" t="s">
        <x:v>77</x:v>
      </x:c>
      <x:c r="AR358" s="8" t="str">
        <x:v>Проверка автором исследования</x:v>
      </x:c>
      <x:c r="AS358" s="1" t="s">
        <x:v>4395</x:v>
      </x:c>
      <x:c r="AT358" s="8" t="s">
        <x:v>4396</x:v>
      </x:c>
      <x:c r="AU358" s="1" t="s">
        <x:v>4397</x:v>
      </x:c>
      <x:c r="AV358" s="17">
        <x:v>46321</x:v>
      </x:c>
      <x:c r="AW358" s="1" t="s">
        <x:v>81</x:v>
      </x:c>
      <x:c r="AX358" s="8" t="s">
        <x:v>82</x:v>
      </x:c>
      <x:c r="AY358" s="8"/>
    </x:row>
    <x:row r="359" ht="69.94999694824219" customHeight="1">
      <x:c r="A359" s="1" t="s">
        <x:v>4398</x:v>
      </x:c>
      <x:c r="B359" s="8" t="s">
        <x:v>4399</x:v>
      </x:c>
      <x:c r="C359" s="1" t="s">
        <x:v>4400</x:v>
      </x:c>
      <x:c r="D359" s="8" t="s">
        <x:v>73</x:v>
      </x:c>
      <x:c r="E359" s="1" t="s">
        <x:v>76</x:v>
      </x:c>
      <x:c r="F359" s="8" t="s">
        <x:v>4401</x:v>
      </x:c>
      <x:c r="G359" s="1" t="s">
        <x:v>4402</x:v>
      </x:c>
      <x:c r="H359" s="8" t="s">
        <x:v>4281</x:v>
      </x:c>
      <x:c r="I359" s="4">
        <x:v>2020</x:v>
      </x:c>
      <x:c r="J359" s="8" t="s">
        <x:v>740</x:v>
      </x:c>
      <x:c r="K359" s="1" t="s">
        <x:v>190</x:v>
      </x:c>
      <x:c r="L359" s="8" t="s">
        <x:v>2365</x:v>
      </x:c>
      <x:c r="M359" s="1" t="s">
        <x:v>61</x:v>
      </x:c>
      <x:c r="N359" s="8"/>
      <x:c r="O359" s="1"/>
      <x:c r="P359" s="8"/>
      <x:c r="Q359" s="1"/>
      <x:c r="R359" s="8" t="s">
        <x:v>4403</x:v>
      </x:c>
      <x:c r="S359" s="3"/>
      <x:c r="T359" s="8" t="s">
        <x:v>63</x:v>
      </x:c>
      <x:c r="U359" s="1" t="s">
        <x:v>4390</x:v>
      </x:c>
      <x:c r="V359" s="13">
        <x:v>18</x:v>
      </x:c>
      <x:c r="W359" s="1" t="s">
        <x:v>65</x:v>
      </x:c>
      <x:c r="X359" s="8" t="s">
        <x:v>66</x:v>
      </x:c>
      <x:c r="Y359" s="1" t="str">
        <x:v>Проверено автором исследования</x:v>
      </x:c>
      <x:c r="Z359" s="8" t="s">
        <x:v>4404</x:v>
      </x:c>
      <x:c r="AA359" s="1" t="s">
        <x:v>4392</x:v>
      </x:c>
      <x:c r="AB359" s="13">
        <x:v>2025</x:v>
      </x:c>
      <x:c r="AC359" s="3"/>
      <x:c r="AD359" s="8" t="s">
        <x:v>93</x:v>
      </x:c>
      <x:c r="AE359" s="1" t="s">
        <x:v>4405</x:v>
      </x:c>
      <x:c r="AF359" s="8" t="s">
        <x:v>118</x:v>
      </x:c>
      <x:c r="AG359" s="1" t="s">
        <x:v>4394</x:v>
      </x:c>
      <x:c r="AH359" s="8" t="str">
        <x:v>Краткая затекстовая ссылка; повторная документальная сверка выполнена</x:v>
      </x:c>
      <x:c r="AI359" s="1"/>
      <x:c r="AJ359" s="17"/>
      <x:c r="AK359" s="1" t="s">
        <x:v>73</x:v>
      </x:c>
      <x:c r="AL359" s="8" t="s">
        <x:v>74</x:v>
      </x:c>
      <x:c r="AM359" s="1"/>
      <x:c r="AN359" s="8" t="s">
        <x:v>95</x:v>
      </x:c>
      <x:c r="AO359" s="1" t="s">
        <x:v>76</x:v>
      </x:c>
      <x:c r="AP359" s="8"/>
      <x:c r="AQ359" s="1" t="s">
        <x:v>77</x:v>
      </x:c>
      <x:c r="AR359" s="8" t="str">
        <x:v>Проверка автором исследования</x:v>
      </x:c>
      <x:c r="AS359" s="1"/>
      <x:c r="AT359" s="8" t="s">
        <x:v>96</x:v>
      </x:c>
      <x:c r="AU359" s="1" t="s">
        <x:v>4406</x:v>
      </x:c>
      <x:c r="AV359" s="17">
        <x:v>46321</x:v>
      </x:c>
      <x:c r="AW359" s="1" t="s">
        <x:v>81</x:v>
      </x:c>
      <x:c r="AX359" s="8" t="s">
        <x:v>82</x:v>
      </x:c>
      <x:c r="AY359" s="8"/>
    </x:row>
    <x:row r="360" ht="111.94999694824219" customHeight="1">
      <x:c r="A360" s="1" t="s">
        <x:v>4407</x:v>
      </x:c>
      <x:c r="B360" s="8" t="s">
        <x:v>4408</x:v>
      </x:c>
      <x:c r="C360" s="1" t="s">
        <x:v>4409</x:v>
      </x:c>
      <x:c r="D360" s="8" t="s">
        <x:v>53</x:v>
      </x:c>
      <x:c r="E360" s="1" t="s">
        <x:v>54</x:v>
      </x:c>
      <x:c r="F360" s="8" t="s">
        <x:v>4410</x:v>
      </x:c>
      <x:c r="G360" s="1" t="s">
        <x:v>4411</x:v>
      </x:c>
      <x:c r="H360" s="8" t="s">
        <x:v>4412</x:v>
      </x:c>
      <x:c r="I360" s="4">
        <x:v>2023</x:v>
      </x:c>
      <x:c r="J360" s="8" t="s">
        <x:v>771</x:v>
      </x:c>
      <x:c r="K360" s="1" t="s">
        <x:v>182</x:v>
      </x:c>
      <x:c r="L360" s="8" t="s">
        <x:v>1720</x:v>
      </x:c>
      <x:c r="M360" s="1" t="s">
        <x:v>61</x:v>
      </x:c>
      <x:c r="N360" s="8"/>
      <x:c r="O360" s="1"/>
      <x:c r="P360" s="8"/>
      <x:c r="Q360" s="1"/>
      <x:c r="R360" s="8" t="s">
        <x:v>4413</x:v>
      </x:c>
      <x:c r="S360" s="3"/>
      <x:c r="T360" s="8" t="s">
        <x:v>63</x:v>
      </x:c>
      <x:c r="U360" s="1" t="s">
        <x:v>4390</x:v>
      </x:c>
      <x:c r="V360" s="13">
        <x:v>28</x:v>
      </x:c>
      <x:c r="W360" s="1" t="s">
        <x:v>65</x:v>
      </x:c>
      <x:c r="X360" s="8" t="s">
        <x:v>66</x:v>
      </x:c>
      <x:c r="Y360" s="1" t="str">
        <x:v>Проверено автором исследования</x:v>
      </x:c>
      <x:c r="Z360" s="8" t="s">
        <x:v>4414</x:v>
      </x:c>
      <x:c r="AA360" s="1" t="s">
        <x:v>4392</x:v>
      </x:c>
      <x:c r="AB360" s="13">
        <x:v>2025</x:v>
      </x:c>
      <x:c r="AC360" s="3">
        <x:v>46322</x:v>
      </x:c>
      <x:c r="AD360" s="8" t="s">
        <x:v>69</x:v>
      </x:c>
      <x:c r="AE360" s="1" t="s">
        <x:v>4415</x:v>
      </x:c>
      <x:c r="AF360" s="8" t="s">
        <x:v>118</x:v>
      </x:c>
      <x:c r="AG360" s="1" t="s">
        <x:v>4394</x:v>
      </x:c>
      <x:c r="AH360" s="8" t="str">
        <x:v>Краткая затекстовая ссылка; повторная документальная сверка выполнена</x:v>
      </x:c>
      <x:c r="AI360" s="1"/>
      <x:c r="AJ360" s="17"/>
      <x:c r="AK360" s="1" t="s">
        <x:v>73</x:v>
      </x:c>
      <x:c r="AL360" s="8" t="s">
        <x:v>74</x:v>
      </x:c>
      <x:c r="AM360" s="1"/>
      <x:c r="AN360" s="8" t="s">
        <x:v>75</x:v>
      </x:c>
      <x:c r="AO360" s="1" t="s">
        <x:v>76</x:v>
      </x:c>
      <x:c r="AP360" s="8"/>
      <x:c r="AQ360" s="1" t="s">
        <x:v>77</x:v>
      </x:c>
      <x:c r="AR360" s="8" t="str">
        <x:v>Проверка автором исследования</x:v>
      </x:c>
      <x:c r="AS360" s="1" t="s">
        <x:v>4416</x:v>
      </x:c>
      <x:c r="AT360" s="8" t="s">
        <x:v>4417</x:v>
      </x:c>
      <x:c r="AU360" s="1" t="s">
        <x:v>4418</x:v>
      </x:c>
      <x:c r="AV360" s="17">
        <x:v>46321</x:v>
      </x:c>
      <x:c r="AW360" s="1" t="s">
        <x:v>81</x:v>
      </x:c>
      <x:c r="AX360" s="8" t="s">
        <x:v>82</x:v>
      </x:c>
      <x:c r="AY360" s="8"/>
    </x:row>
    <x:row r="361" ht="69.94999694824219" customHeight="1">
      <x:c r="A361" s="1" t="s">
        <x:v>4419</x:v>
      </x:c>
      <x:c r="B361" s="8" t="s">
        <x:v>4420</x:v>
      </x:c>
      <x:c r="C361" s="1" t="s">
        <x:v>4421</x:v>
      </x:c>
      <x:c r="D361" s="8" t="s">
        <x:v>86</x:v>
      </x:c>
      <x:c r="E361" s="1" t="s">
        <x:v>76</x:v>
      </x:c>
      <x:c r="F361" s="8" t="s">
        <x:v>4422</x:v>
      </x:c>
      <x:c r="G361" s="1" t="s">
        <x:v>4423</x:v>
      </x:c>
      <x:c r="H361" s="8"/>
      <x:c r="I361" s="4">
        <x:v>1997</x:v>
      </x:c>
      <x:c r="J361" s="8"/>
      <x:c r="K361" s="1"/>
      <x:c r="L361" s="8" t="s">
        <x:v>1285</x:v>
      </x:c>
      <x:c r="M361" s="1" t="s">
        <x:v>90</x:v>
      </x:c>
      <x:c r="N361" s="8" t="s">
        <x:v>4424</x:v>
      </x:c>
      <x:c r="O361" s="1" t="s">
        <x:v>92</x:v>
      </x:c>
      <x:c r="P361" s="8"/>
      <x:c r="Q361" s="1" t="s">
        <x:v>4425</x:v>
      </x:c>
      <x:c r="R361" s="8" t="s">
        <x:v>4426</x:v>
      </x:c>
      <x:c r="S361" s="3">
        <x:v>45669</x:v>
      </x:c>
      <x:c r="T361" s="8" t="s">
        <x:v>63</x:v>
      </x:c>
      <x:c r="U361" s="1" t="s">
        <x:v>4427</x:v>
      </x:c>
      <x:c r="V361" s="13">
        <x:v>16</x:v>
      </x:c>
      <x:c r="W361" s="1" t="s">
        <x:v>65</x:v>
      </x:c>
      <x:c r="X361" s="8" t="s">
        <x:v>66</x:v>
      </x:c>
      <x:c r="Y361" s="1" t="str">
        <x:v>Проверено автором исследования</x:v>
      </x:c>
      <x:c r="Z361" s="8"/>
      <x:c r="AA361" s="1" t="s">
        <x:v>4428</x:v>
      </x:c>
      <x:c r="AB361" s="13">
        <x:v>2025</x:v>
      </x:c>
      <x:c r="AC361" s="3"/>
      <x:c r="AD361" s="8" t="s">
        <x:v>93</x:v>
      </x:c>
      <x:c r="AE361" s="1"/>
      <x:c r="AF361" s="8" t="s">
        <x:v>118</x:v>
      </x:c>
      <x:c r="AG361" s="1" t="s">
        <x:v>4429</x:v>
      </x:c>
      <x:c r="AH361" s="8" t="str">
        <x:v>Краткая затекстовая ссылка; повторная документальная сверка выполнена</x:v>
      </x:c>
      <x:c r="AI361" s="1"/>
      <x:c r="AJ361" s="17"/>
      <x:c r="AK361" s="1" t="s">
        <x:v>73</x:v>
      </x:c>
      <x:c r="AL361" s="8" t="s">
        <x:v>74</x:v>
      </x:c>
      <x:c r="AM361" s="1"/>
      <x:c r="AN361" s="8" t="s">
        <x:v>95</x:v>
      </x:c>
      <x:c r="AO361" s="1" t="s">
        <x:v>54</x:v>
      </x:c>
      <x:c r="AP361" s="8"/>
      <x:c r="AQ361" s="1" t="s">
        <x:v>77</x:v>
      </x:c>
      <x:c r="AR361" s="8" t="str">
        <x:v>Проверка автором исследования</x:v>
      </x:c>
      <x:c r="AS361" s="1"/>
      <x:c r="AT361" s="8" t="s">
        <x:v>96</x:v>
      </x:c>
      <x:c r="AU361" s="1" t="s">
        <x:v>447</x:v>
      </x:c>
      <x:c r="AV361" s="17">
        <x:v>45669</x:v>
      </x:c>
      <x:c r="AW361" s="1" t="s">
        <x:v>324</x:v>
      </x:c>
      <x:c r="AX361" s="8" t="s">
        <x:v>82</x:v>
      </x:c>
      <x:c r="AY361" s="8"/>
    </x:row>
    <x:row r="362" ht="69.94999694824219" customHeight="1">
      <x:c r="A362" s="1" t="s">
        <x:v>4430</x:v>
      </x:c>
      <x:c r="B362" s="8" t="s">
        <x:v>4431</x:v>
      </x:c>
      <x:c r="C362" s="1" t="s">
        <x:v>4432</x:v>
      </x:c>
      <x:c r="D362" s="8" t="s">
        <x:v>86</x:v>
      </x:c>
      <x:c r="E362" s="1" t="s">
        <x:v>76</x:v>
      </x:c>
      <x:c r="F362" s="8" t="s">
        <x:v>4433</x:v>
      </x:c>
      <x:c r="G362" s="1" t="s">
        <x:v>4434</x:v>
      </x:c>
      <x:c r="H362" s="8"/>
      <x:c r="I362" s="4">
        <x:v>2011</x:v>
      </x:c>
      <x:c r="J362" s="8"/>
      <x:c r="K362" s="1"/>
      <x:c r="L362" s="8" t="s">
        <x:v>4435</x:v>
      </x:c>
      <x:c r="M362" s="1" t="s">
        <x:v>90</x:v>
      </x:c>
      <x:c r="N362" s="8" t="s">
        <x:v>4436</x:v>
      </x:c>
      <x:c r="O362" s="1" t="s">
        <x:v>92</x:v>
      </x:c>
      <x:c r="P362" s="8"/>
      <x:c r="Q362" s="1"/>
      <x:c r="R362" s="8"/>
      <x:c r="S362" s="3"/>
      <x:c r="T362" s="8" t="s">
        <x:v>63</x:v>
      </x:c>
      <x:c r="U362" s="1" t="s">
        <x:v>4437</x:v>
      </x:c>
      <x:c r="V362" s="13">
        <x:v>6</x:v>
      </x:c>
      <x:c r="W362" s="1" t="s">
        <x:v>65</x:v>
      </x:c>
      <x:c r="X362" s="8" t="s">
        <x:v>66</x:v>
      </x:c>
      <x:c r="Y362" s="1" t="str">
        <x:v>Проверено автором исследования</x:v>
      </x:c>
      <x:c r="Z362" s="8"/>
      <x:c r="AA362" s="1" t="s">
        <x:v>4438</x:v>
      </x:c>
      <x:c r="AB362" s="13">
        <x:v>2025</x:v>
      </x:c>
      <x:c r="AC362" s="3"/>
      <x:c r="AD362" s="8" t="s">
        <x:v>93</x:v>
      </x:c>
      <x:c r="AE362" s="1"/>
      <x:c r="AF362" s="8" t="s">
        <x:v>118</x:v>
      </x:c>
      <x:c r="AG362" s="1" t="s">
        <x:v>4439</x:v>
      </x:c>
      <x:c r="AH362" s="8" t="str">
        <x:v>Краткая затекстовая ссылка; повторная документальная сверка выполнена</x:v>
      </x:c>
      <x:c r="AI362" s="1"/>
      <x:c r="AJ362" s="17"/>
      <x:c r="AK362" s="1" t="s">
        <x:v>73</x:v>
      </x:c>
      <x:c r="AL362" s="8" t="s">
        <x:v>74</x:v>
      </x:c>
      <x:c r="AM362" s="1"/>
      <x:c r="AN362" s="8" t="s">
        <x:v>95</x:v>
      </x:c>
      <x:c r="AO362" s="1" t="s">
        <x:v>76</x:v>
      </x:c>
      <x:c r="AP362" s="8"/>
      <x:c r="AQ362" s="1" t="s">
        <x:v>77</x:v>
      </x:c>
      <x:c r="AR362" s="8" t="str">
        <x:v>Проверка автором исследования</x:v>
      </x:c>
      <x:c r="AS362" s="1"/>
      <x:c r="AT362" s="8" t="s">
        <x:v>96</x:v>
      </x:c>
      <x:c r="AU362" s="1" t="s">
        <x:v>97</x:v>
      </x:c>
      <x:c r="AV362" s="17"/>
      <x:c r="AW362" s="1" t="s">
        <x:v>98</x:v>
      </x:c>
      <x:c r="AX362" s="8" t="s">
        <x:v>82</x:v>
      </x:c>
      <x:c r="AY362" s="8"/>
    </x:row>
    <x:row r="363" ht="69.94999694824219" customHeight="1">
      <x:c r="A363" s="1" t="s">
        <x:v>4440</x:v>
      </x:c>
      <x:c r="B363" s="8" t="s">
        <x:v>4441</x:v>
      </x:c>
      <x:c r="C363" s="1" t="s">
        <x:v>4442</x:v>
      </x:c>
      <x:c r="D363" s="8" t="s">
        <x:v>86</x:v>
      </x:c>
      <x:c r="E363" s="1" t="s">
        <x:v>76</x:v>
      </x:c>
      <x:c r="F363" s="8" t="s">
        <x:v>4443</x:v>
      </x:c>
      <x:c r="G363" s="1" t="s">
        <x:v>4444</x:v>
      </x:c>
      <x:c r="H363" s="8"/>
      <x:c r="I363" s="4">
        <x:v>2000</x:v>
      </x:c>
      <x:c r="J363" s="8"/>
      <x:c r="K363" s="1"/>
      <x:c r="L363" s="8" t="s">
        <x:v>4445</x:v>
      </x:c>
      <x:c r="M363" s="1" t="s">
        <x:v>90</x:v>
      </x:c>
      <x:c r="N363" s="8" t="s">
        <x:v>4446</x:v>
      </x:c>
      <x:c r="O363" s="1" t="s">
        <x:v>1822</x:v>
      </x:c>
      <x:c r="P363" s="8"/>
      <x:c r="Q363" s="1"/>
      <x:c r="R363" s="8" t="s">
        <x:v>4447</x:v>
      </x:c>
      <x:c r="S363" s="3">
        <x:v>45767</x:v>
      </x:c>
      <x:c r="T363" s="8" t="s">
        <x:v>63</x:v>
      </x:c>
      <x:c r="U363" s="1" t="s">
        <x:v>4437</x:v>
      </x:c>
      <x:c r="V363" s="13">
        <x:v>14</x:v>
      </x:c>
      <x:c r="W363" s="1" t="s">
        <x:v>140</x:v>
      </x:c>
      <x:c r="X363" s="8" t="s">
        <x:v>66</x:v>
      </x:c>
      <x:c r="Y363" s="1" t="str">
        <x:v>Проверено автором; дополнительно проверено Михаилом Саяпиным</x:v>
      </x:c>
      <x:c r="Z363" s="8"/>
      <x:c r="AA363" s="1" t="s">
        <x:v>4438</x:v>
      </x:c>
      <x:c r="AB363" s="13">
        <x:v>2025</x:v>
      </x:c>
      <x:c r="AC363" s="3"/>
      <x:c r="AD363" s="8" t="s">
        <x:v>93</x:v>
      </x:c>
      <x:c r="AE363" s="1"/>
      <x:c r="AF363" s="8" t="s">
        <x:v>118</x:v>
      </x:c>
      <x:c r="AG363" s="1" t="s">
        <x:v>4439</x:v>
      </x:c>
      <x:c r="AH363" s="8" t="s">
        <x:v>144</x:v>
      </x:c>
      <x:c r="AI363" s="1" t="s">
        <x:v>145</x:v>
      </x:c>
      <x:c r="AJ363" s="17">
        <x:v>46323</x:v>
      </x:c>
      <x:c r="AK363" s="1" t="s">
        <x:v>73</x:v>
      </x:c>
      <x:c r="AL363" s="8" t="s">
        <x:v>74</x:v>
      </x:c>
      <x:c r="AM363" s="1"/>
      <x:c r="AN363" s="8" t="s">
        <x:v>95</x:v>
      </x:c>
      <x:c r="AO363" s="1" t="s">
        <x:v>54</x:v>
      </x:c>
      <x:c r="AP363" s="8"/>
      <x:c r="AQ363" s="1" t="s">
        <x:v>77</x:v>
      </x:c>
      <x:c r="AR363" s="8" t="str">
        <x:v>Проверка автором исследования; дополнительная проверка Михаилом Саяпиным; согласование 28.10.2026</x:v>
      </x:c>
      <x:c r="AS363" s="1"/>
      <x:c r="AT363" s="8" t="s">
        <x:v>96</x:v>
      </x:c>
      <x:c r="AU363" s="1" t="s">
        <x:v>447</x:v>
      </x:c>
      <x:c r="AV363" s="17">
        <x:v>45767</x:v>
      </x:c>
      <x:c r="AW363" s="1" t="s">
        <x:v>324</x:v>
      </x:c>
      <x:c r="AX363" s="8" t="s">
        <x:v>146</x:v>
      </x:c>
      <x:c r="AY363" s="8" t="s">
        <x:v>4448</x:v>
      </x:c>
    </x:row>
    <x:row r="364" ht="69.94999694824219" customHeight="1">
      <x:c r="A364" s="1" t="s">
        <x:v>4449</x:v>
      </x:c>
      <x:c r="B364" s="8" t="s">
        <x:v>4450</x:v>
      </x:c>
      <x:c r="C364" s="1" t="s">
        <x:v>4451</x:v>
      </x:c>
      <x:c r="D364" s="8" t="s">
        <x:v>86</x:v>
      </x:c>
      <x:c r="E364" s="1" t="s">
        <x:v>76</x:v>
      </x:c>
      <x:c r="F364" s="8" t="s">
        <x:v>4452</x:v>
      </x:c>
      <x:c r="G364" s="1" t="s">
        <x:v>4453</x:v>
      </x:c>
      <x:c r="H364" s="8"/>
      <x:c r="I364" s="4">
        <x:v>2004</x:v>
      </x:c>
      <x:c r="J364" s="8"/>
      <x:c r="K364" s="1"/>
      <x:c r="L364" s="8" t="s">
        <x:v>4454</x:v>
      </x:c>
      <x:c r="M364" s="1" t="s">
        <x:v>90</x:v>
      </x:c>
      <x:c r="N364" s="8" t="s">
        <x:v>4455</x:v>
      </x:c>
      <x:c r="O364" s="1" t="s">
        <x:v>3838</x:v>
      </x:c>
      <x:c r="P364" s="8"/>
      <x:c r="Q364" s="1" t="s">
        <x:v>4456</x:v>
      </x:c>
      <x:c r="R364" s="8"/>
      <x:c r="S364" s="3"/>
      <x:c r="T364" s="8" t="s">
        <x:v>63</x:v>
      </x:c>
      <x:c r="U364" s="1" t="s">
        <x:v>4437</x:v>
      </x:c>
      <x:c r="V364" s="13">
        <x:v>20</x:v>
      </x:c>
      <x:c r="W364" s="1" t="s">
        <x:v>65</x:v>
      </x:c>
      <x:c r="X364" s="8" t="s">
        <x:v>66</x:v>
      </x:c>
      <x:c r="Y364" s="1" t="str">
        <x:v>Проверено автором исследования</x:v>
      </x:c>
      <x:c r="Z364" s="8"/>
      <x:c r="AA364" s="1" t="s">
        <x:v>4438</x:v>
      </x:c>
      <x:c r="AB364" s="13">
        <x:v>2025</x:v>
      </x:c>
      <x:c r="AC364" s="3"/>
      <x:c r="AD364" s="8" t="s">
        <x:v>93</x:v>
      </x:c>
      <x:c r="AE364" s="1" t="s">
        <x:v>4457</x:v>
      </x:c>
      <x:c r="AF364" s="8" t="s">
        <x:v>118</x:v>
      </x:c>
      <x:c r="AG364" s="1" t="s">
        <x:v>4439</x:v>
      </x:c>
      <x:c r="AH364" s="8" t="str">
        <x:v>Краткая затекстовая ссылка; повторная документальная сверка выполнена</x:v>
      </x:c>
      <x:c r="AI364" s="1"/>
      <x:c r="AJ364" s="17"/>
      <x:c r="AK364" s="1" t="s">
        <x:v>73</x:v>
      </x:c>
      <x:c r="AL364" s="8" t="s">
        <x:v>74</x:v>
      </x:c>
      <x:c r="AM364" s="1"/>
      <x:c r="AN364" s="8" t="s">
        <x:v>95</x:v>
      </x:c>
      <x:c r="AO364" s="1" t="s">
        <x:v>76</x:v>
      </x:c>
      <x:c r="AP364" s="8"/>
      <x:c r="AQ364" s="1" t="s">
        <x:v>77</x:v>
      </x:c>
      <x:c r="AR364" s="8" t="str">
        <x:v>Проверка автором исследования</x:v>
      </x:c>
      <x:c r="AS364" s="1"/>
      <x:c r="AT364" s="8" t="s">
        <x:v>96</x:v>
      </x:c>
      <x:c r="AU364" s="1" t="s">
        <x:v>97</x:v>
      </x:c>
      <x:c r="AV364" s="17"/>
      <x:c r="AW364" s="1" t="s">
        <x:v>98</x:v>
      </x:c>
      <x:c r="AX364" s="8" t="s">
        <x:v>82</x:v>
      </x:c>
      <x:c r="AY364" s="8"/>
    </x:row>
    <x:row r="365" ht="98.0999984741211" customHeight="1">
      <x:c r="A365" s="1" t="s">
        <x:v>4458</x:v>
      </x:c>
      <x:c r="B365" s="8" t="s">
        <x:v>4459</x:v>
      </x:c>
      <x:c r="C365" s="1" t="s">
        <x:v>4460</x:v>
      </x:c>
      <x:c r="D365" s="8" t="s">
        <x:v>53</x:v>
      </x:c>
      <x:c r="E365" s="1" t="s">
        <x:v>54</x:v>
      </x:c>
      <x:c r="F365" s="8" t="s">
        <x:v>4461</x:v>
      </x:c>
      <x:c r="G365" s="1" t="s">
        <x:v>4462</x:v>
      </x:c>
      <x:c r="H365" s="8" t="s">
        <x:v>4463</x:v>
      </x:c>
      <x:c r="I365" s="4">
        <x:v>2024</x:v>
      </x:c>
      <x:c r="J365" s="8" t="s">
        <x:v>536</x:v>
      </x:c>
      <x:c r="K365" s="1" t="s">
        <x:v>190</x:v>
      </x:c>
      <x:c r="L365" s="8" t="s">
        <x:v>4464</x:v>
      </x:c>
      <x:c r="M365" s="1" t="s">
        <x:v>61</x:v>
      </x:c>
      <x:c r="N365" s="8"/>
      <x:c r="O365" s="1"/>
      <x:c r="P365" s="8"/>
      <x:c r="Q365" s="1"/>
      <x:c r="R365" s="8" t="s">
        <x:v>4465</x:v>
      </x:c>
      <x:c r="S365" s="3"/>
      <x:c r="T365" s="8" t="s">
        <x:v>63</x:v>
      </x:c>
      <x:c r="U365" s="1" t="s">
        <x:v>4466</x:v>
      </x:c>
      <x:c r="V365" s="13">
        <x:v>17</x:v>
      </x:c>
      <x:c r="W365" s="1" t="s">
        <x:v>65</x:v>
      </x:c>
      <x:c r="X365" s="8" t="s">
        <x:v>66</x:v>
      </x:c>
      <x:c r="Y365" s="1" t="str">
        <x:v>Проверено автором исследования</x:v>
      </x:c>
      <x:c r="Z365" s="8" t="s">
        <x:v>4467</x:v>
      </x:c>
      <x:c r="AA365" s="1" t="s">
        <x:v>4468</x:v>
      </x:c>
      <x:c r="AB365" s="13">
        <x:v>2025</x:v>
      </x:c>
      <x:c r="AC365" s="3">
        <x:v>46322</x:v>
      </x:c>
      <x:c r="AD365" s="8" t="s">
        <x:v>69</x:v>
      </x:c>
      <x:c r="AE365" s="1" t="s">
        <x:v>4469</x:v>
      </x:c>
      <x:c r="AF365" s="8" t="s">
        <x:v>118</x:v>
      </x:c>
      <x:c r="AG365" s="1" t="s">
        <x:v>4470</x:v>
      </x:c>
      <x:c r="AH365" s="8" t="str">
        <x:v>Краткая затекстовая ссылка; повторная документальная сверка выполнена</x:v>
      </x:c>
      <x:c r="AI365" s="1"/>
      <x:c r="AJ365" s="17"/>
      <x:c r="AK365" s="1" t="s">
        <x:v>73</x:v>
      </x:c>
      <x:c r="AL365" s="8" t="s">
        <x:v>74</x:v>
      </x:c>
      <x:c r="AM365" s="1"/>
      <x:c r="AN365" s="8" t="s">
        <x:v>75</x:v>
      </x:c>
      <x:c r="AO365" s="1" t="s">
        <x:v>76</x:v>
      </x:c>
      <x:c r="AP365" s="8"/>
      <x:c r="AQ365" s="1" t="s">
        <x:v>77</x:v>
      </x:c>
      <x:c r="AR365" s="8" t="str">
        <x:v>Проверка автором исследования</x:v>
      </x:c>
      <x:c r="AS365" s="1" t="s">
        <x:v>4471</x:v>
      </x:c>
      <x:c r="AT365" s="8" t="s">
        <x:v>4472</x:v>
      </x:c>
      <x:c r="AU365" s="1" t="s">
        <x:v>4473</x:v>
      </x:c>
      <x:c r="AV365" s="17">
        <x:v>46321</x:v>
      </x:c>
      <x:c r="AW365" s="1" t="s">
        <x:v>81</x:v>
      </x:c>
      <x:c r="AX365" s="8" t="s">
        <x:v>82</x:v>
      </x:c>
      <x:c r="AY365" s="8"/>
    </x:row>
    <x:row r="366" ht="98.0999984741211" customHeight="1">
      <x:c r="A366" s="1" t="s">
        <x:v>4474</x:v>
      </x:c>
      <x:c r="B366" s="8" t="s">
        <x:v>4475</x:v>
      </x:c>
      <x:c r="C366" s="1" t="s">
        <x:v>4476</x:v>
      </x:c>
      <x:c r="D366" s="8" t="s">
        <x:v>53</x:v>
      </x:c>
      <x:c r="E366" s="1" t="s">
        <x:v>54</x:v>
      </x:c>
      <x:c r="F366" s="8" t="s">
        <x:v>4477</x:v>
      </x:c>
      <x:c r="G366" s="1" t="s">
        <x:v>4478</x:v>
      </x:c>
      <x:c r="H366" s="8" t="s">
        <x:v>4479</x:v>
      </x:c>
      <x:c r="I366" s="4">
        <x:v>2019</x:v>
      </x:c>
      <x:c r="J366" s="8"/>
      <x:c r="K366" s="1" t="s">
        <x:v>182</x:v>
      </x:c>
      <x:c r="L366" s="8" t="s">
        <x:v>4480</x:v>
      </x:c>
      <x:c r="M366" s="1" t="s">
        <x:v>61</x:v>
      </x:c>
      <x:c r="N366" s="8"/>
      <x:c r="O366" s="1"/>
      <x:c r="P366" s="8"/>
      <x:c r="Q366" s="1"/>
      <x:c r="R366" s="8" t="s">
        <x:v>4481</x:v>
      </x:c>
      <x:c r="S366" s="3"/>
      <x:c r="T366" s="8" t="s">
        <x:v>63</x:v>
      </x:c>
      <x:c r="U366" s="1" t="s">
        <x:v>4482</x:v>
      </x:c>
      <x:c r="V366" s="13">
        <x:v>11</x:v>
      </x:c>
      <x:c r="W366" s="1" t="s">
        <x:v>65</x:v>
      </x:c>
      <x:c r="X366" s="8" t="s">
        <x:v>66</x:v>
      </x:c>
      <x:c r="Y366" s="1" t="str">
        <x:v>Проверено автором исследования</x:v>
      </x:c>
      <x:c r="Z366" s="8" t="s">
        <x:v>4483</x:v>
      </x:c>
      <x:c r="AA366" s="1" t="s">
        <x:v>4484</x:v>
      </x:c>
      <x:c r="AB366" s="13">
        <x:v>2025</x:v>
      </x:c>
      <x:c r="AC366" s="3">
        <x:v>46322</x:v>
      </x:c>
      <x:c r="AD366" s="8" t="s">
        <x:v>69</x:v>
      </x:c>
      <x:c r="AE366" s="1" t="s">
        <x:v>4485</x:v>
      </x:c>
      <x:c r="AF366" s="8" t="s">
        <x:v>118</x:v>
      </x:c>
      <x:c r="AG366" s="1" t="s">
        <x:v>4486</x:v>
      </x:c>
      <x:c r="AH366" s="8" t="str">
        <x:v>Краткая затекстовая ссылка; повторная документальная сверка выполнена</x:v>
      </x:c>
      <x:c r="AI366" s="1"/>
      <x:c r="AJ366" s="17"/>
      <x:c r="AK366" s="1" t="s">
        <x:v>73</x:v>
      </x:c>
      <x:c r="AL366" s="8" t="s">
        <x:v>74</x:v>
      </x:c>
      <x:c r="AM366" s="1"/>
      <x:c r="AN366" s="8" t="s">
        <x:v>75</x:v>
      </x:c>
      <x:c r="AO366" s="1" t="s">
        <x:v>76</x:v>
      </x:c>
      <x:c r="AP366" s="8"/>
      <x:c r="AQ366" s="1" t="s">
        <x:v>77</x:v>
      </x:c>
      <x:c r="AR366" s="8" t="str">
        <x:v>Проверка автором исследования</x:v>
      </x:c>
      <x:c r="AS366" s="1" t="s">
        <x:v>4487</x:v>
      </x:c>
      <x:c r="AT366" s="8" t="s">
        <x:v>4488</x:v>
      </x:c>
      <x:c r="AU366" s="1" t="s">
        <x:v>4489</x:v>
      </x:c>
      <x:c r="AV366" s="17">
        <x:v>46321</x:v>
      </x:c>
      <x:c r="AW366" s="1" t="s">
        <x:v>81</x:v>
      </x:c>
      <x:c r="AX366" s="8" t="s">
        <x:v>82</x:v>
      </x:c>
      <x:c r="AY366" s="8"/>
    </x:row>
    <x:row r="367" ht="69.94999694824219" customHeight="1">
      <x:c r="A367" s="1" t="s">
        <x:v>4490</x:v>
      </x:c>
      <x:c r="B367" s="8" t="s">
        <x:v>4491</x:v>
      </x:c>
      <x:c r="C367" s="1" t="s">
        <x:v>4492</x:v>
      </x:c>
      <x:c r="D367" s="8" t="s">
        <x:v>53</x:v>
      </x:c>
      <x:c r="E367" s="1" t="s">
        <x:v>54</x:v>
      </x:c>
      <x:c r="F367" s="8" t="s">
        <x:v>4493</x:v>
      </x:c>
      <x:c r="G367" s="1" t="s">
        <x:v>4494</x:v>
      </x:c>
      <x:c r="H367" s="8" t="s">
        <x:v>4495</x:v>
      </x:c>
      <x:c r="I367" s="4">
        <x:v>2021</x:v>
      </x:c>
      <x:c r="J367" s="8"/>
      <x:c r="K367" s="1" t="s">
        <x:v>4496</x:v>
      </x:c>
      <x:c r="L367" s="8" t="s">
        <x:v>4497</x:v>
      </x:c>
      <x:c r="M367" s="1" t="s">
        <x:v>61</x:v>
      </x:c>
      <x:c r="N367" s="8"/>
      <x:c r="O367" s="1"/>
      <x:c r="P367" s="8"/>
      <x:c r="Q367" s="1"/>
      <x:c r="R367" s="8" t="s">
        <x:v>4498</x:v>
      </x:c>
      <x:c r="S367" s="3"/>
      <x:c r="T367" s="8" t="s">
        <x:v>63</x:v>
      </x:c>
      <x:c r="U367" s="1" t="s">
        <x:v>4482</x:v>
      </x:c>
      <x:c r="V367" s="13">
        <x:v>30</x:v>
      </x:c>
      <x:c r="W367" s="1" t="s">
        <x:v>65</x:v>
      </x:c>
      <x:c r="X367" s="8" t="s">
        <x:v>66</x:v>
      </x:c>
      <x:c r="Y367" s="1" t="str">
        <x:v>Проверено автором исследования</x:v>
      </x:c>
      <x:c r="Z367" s="8" t="s">
        <x:v>4499</x:v>
      </x:c>
      <x:c r="AA367" s="1" t="s">
        <x:v>4484</x:v>
      </x:c>
      <x:c r="AB367" s="13">
        <x:v>2025</x:v>
      </x:c>
      <x:c r="AC367" s="3">
        <x:v>46322</x:v>
      </x:c>
      <x:c r="AD367" s="8" t="s">
        <x:v>69</x:v>
      </x:c>
      <x:c r="AE367" s="1" t="s">
        <x:v>4500</x:v>
      </x:c>
      <x:c r="AF367" s="8" t="s">
        <x:v>118</x:v>
      </x:c>
      <x:c r="AG367" s="1" t="s">
        <x:v>4486</x:v>
      </x:c>
      <x:c r="AH367" s="8" t="str">
        <x:v>Краткая затекстовая ссылка; повторная документальная сверка выполнена</x:v>
      </x:c>
      <x:c r="AI367" s="1"/>
      <x:c r="AJ367" s="17"/>
      <x:c r="AK367" s="1" t="s">
        <x:v>73</x:v>
      </x:c>
      <x:c r="AL367" s="8" t="s">
        <x:v>74</x:v>
      </x:c>
      <x:c r="AM367" s="1"/>
      <x:c r="AN367" s="8" t="s">
        <x:v>75</x:v>
      </x:c>
      <x:c r="AO367" s="1" t="s">
        <x:v>76</x:v>
      </x:c>
      <x:c r="AP367" s="8"/>
      <x:c r="AQ367" s="1" t="s">
        <x:v>77</x:v>
      </x:c>
      <x:c r="AR367" s="8" t="str">
        <x:v>Проверка автором исследования</x:v>
      </x:c>
      <x:c r="AS367" s="1" t="s">
        <x:v>4501</x:v>
      </x:c>
      <x:c r="AT367" s="8" t="s">
        <x:v>4502</x:v>
      </x:c>
      <x:c r="AU367" s="1" t="s">
        <x:v>4503</x:v>
      </x:c>
      <x:c r="AV367" s="17">
        <x:v>46321</x:v>
      </x:c>
      <x:c r="AW367" s="1" t="s">
        <x:v>81</x:v>
      </x:c>
      <x:c r="AX367" s="8" t="s">
        <x:v>82</x:v>
      </x:c>
      <x:c r="AY367" s="8"/>
    </x:row>
    <x:row r="368" ht="111.94999694824219" customHeight="1">
      <x:c r="A368" s="1" t="s">
        <x:v>4504</x:v>
      </x:c>
      <x:c r="B368" s="8" t="s">
        <x:v>4505</x:v>
      </x:c>
      <x:c r="C368" s="1" t="s">
        <x:v>4506</x:v>
      </x:c>
      <x:c r="D368" s="8" t="s">
        <x:v>53</x:v>
      </x:c>
      <x:c r="E368" s="1" t="s">
        <x:v>54</x:v>
      </x:c>
      <x:c r="F368" s="8" t="s">
        <x:v>4507</x:v>
      </x:c>
      <x:c r="G368" s="1" t="s">
        <x:v>4508</x:v>
      </x:c>
      <x:c r="H368" s="8" t="s">
        <x:v>4281</x:v>
      </x:c>
      <x:c r="I368" s="4">
        <x:v>2024</x:v>
      </x:c>
      <x:c r="J368" s="8" t="s">
        <x:v>3101</x:v>
      </x:c>
      <x:c r="K368" s="1" t="s">
        <x:v>975</x:v>
      </x:c>
      <x:c r="L368" s="8" t="s">
        <x:v>4509</x:v>
      </x:c>
      <x:c r="M368" s="1" t="s">
        <x:v>61</x:v>
      </x:c>
      <x:c r="N368" s="8"/>
      <x:c r="O368" s="1"/>
      <x:c r="P368" s="8"/>
      <x:c r="Q368" s="1"/>
      <x:c r="R368" s="8" t="s">
        <x:v>4510</x:v>
      </x:c>
      <x:c r="S368" s="3"/>
      <x:c r="T368" s="8" t="s">
        <x:v>63</x:v>
      </x:c>
      <x:c r="U368" s="1" t="s">
        <x:v>4511</x:v>
      </x:c>
      <x:c r="V368" s="13">
        <x:v>32</x:v>
      </x:c>
      <x:c r="W368" s="1" t="s">
        <x:v>65</x:v>
      </x:c>
      <x:c r="X368" s="8" t="s">
        <x:v>66</x:v>
      </x:c>
      <x:c r="Y368" s="1" t="str">
        <x:v>Проверено автором исследования</x:v>
      </x:c>
      <x:c r="Z368" s="8" t="s">
        <x:v>4512</x:v>
      </x:c>
      <x:c r="AA368" s="1" t="s">
        <x:v>4513</x:v>
      </x:c>
      <x:c r="AB368" s="13">
        <x:v>2025</x:v>
      </x:c>
      <x:c r="AC368" s="3">
        <x:v>46322</x:v>
      </x:c>
      <x:c r="AD368" s="8" t="s">
        <x:v>69</x:v>
      </x:c>
      <x:c r="AE368" s="1" t="s">
        <x:v>4514</x:v>
      </x:c>
      <x:c r="AF368" s="8" t="s">
        <x:v>71</x:v>
      </x:c>
      <x:c r="AG368" s="1" t="s">
        <x:v>4515</x:v>
      </x:c>
      <x:c r="AH368" s="8" t="str">
        <x:v>Краткая затекстовая ссылка; повторная документальная сверка выполнена</x:v>
      </x:c>
      <x:c r="AI368" s="1"/>
      <x:c r="AJ368" s="17"/>
      <x:c r="AK368" s="1" t="s">
        <x:v>73</x:v>
      </x:c>
      <x:c r="AL368" s="8" t="s">
        <x:v>74</x:v>
      </x:c>
      <x:c r="AM368" s="1"/>
      <x:c r="AN368" s="8" t="s">
        <x:v>75</x:v>
      </x:c>
      <x:c r="AO368" s="1" t="s">
        <x:v>76</x:v>
      </x:c>
      <x:c r="AP368" s="8"/>
      <x:c r="AQ368" s="1" t="s">
        <x:v>77</x:v>
      </x:c>
      <x:c r="AR368" s="8" t="str">
        <x:v>Проверка автором исследования</x:v>
      </x:c>
      <x:c r="AS368" s="1" t="s">
        <x:v>4516</x:v>
      </x:c>
      <x:c r="AT368" s="8" t="s">
        <x:v>4517</x:v>
      </x:c>
      <x:c r="AU368" s="1" t="s">
        <x:v>4518</x:v>
      </x:c>
      <x:c r="AV368" s="17">
        <x:v>46321</x:v>
      </x:c>
      <x:c r="AW368" s="1" t="s">
        <x:v>81</x:v>
      </x:c>
      <x:c r="AX368" s="8" t="s">
        <x:v>82</x:v>
      </x:c>
      <x:c r="AY368" s="8"/>
    </x:row>
    <x:row r="369" ht="69.94999694824219" customHeight="1">
      <x:c r="A369" s="1" t="s">
        <x:v>4519</x:v>
      </x:c>
      <x:c r="B369" s="8" t="s">
        <x:v>4520</x:v>
      </x:c>
      <x:c r="C369" s="1" t="s">
        <x:v>4521</x:v>
      </x:c>
      <x:c r="D369" s="8" t="s">
        <x:v>73</x:v>
      </x:c>
      <x:c r="E369" s="1" t="s">
        <x:v>76</x:v>
      </x:c>
      <x:c r="F369" s="8" t="s">
        <x:v>4522</x:v>
      </x:c>
      <x:c r="G369" s="1" t="s">
        <x:v>4523</x:v>
      </x:c>
      <x:c r="H369" s="8" t="s">
        <x:v>4524</x:v>
      </x:c>
      <x:c r="I369" s="4">
        <x:v>2015</x:v>
      </x:c>
      <x:c r="J369" s="8"/>
      <x:c r="K369" s="1" t="s">
        <x:v>4525</x:v>
      </x:c>
      <x:c r="L369" s="8" t="s">
        <x:v>4526</x:v>
      </x:c>
      <x:c r="M369" s="1" t="s">
        <x:v>61</x:v>
      </x:c>
      <x:c r="N369" s="8"/>
      <x:c r="O369" s="1"/>
      <x:c r="P369" s="8"/>
      <x:c r="Q369" s="1"/>
      <x:c r="R369" s="8"/>
      <x:c r="S369" s="3"/>
      <x:c r="T369" s="8" t="s">
        <x:v>63</x:v>
      </x:c>
      <x:c r="U369" s="1" t="s">
        <x:v>4527</x:v>
      </x:c>
      <x:c r="V369" s="13">
        <x:v>7</x:v>
      </x:c>
      <x:c r="W369" s="1" t="s">
        <x:v>65</x:v>
      </x:c>
      <x:c r="X369" s="8" t="s">
        <x:v>66</x:v>
      </x:c>
      <x:c r="Y369" s="1" t="str">
        <x:v>Проверено автором исследования</x:v>
      </x:c>
      <x:c r="Z369" s="8"/>
      <x:c r="AA369" s="1" t="s">
        <x:v>4528</x:v>
      </x:c>
      <x:c r="AB369" s="13">
        <x:v>2025</x:v>
      </x:c>
      <x:c r="AC369" s="3"/>
      <x:c r="AD369" s="8" t="s">
        <x:v>93</x:v>
      </x:c>
      <x:c r="AE369" s="1" t="s">
        <x:v>4529</x:v>
      </x:c>
      <x:c r="AF369" s="8" t="s">
        <x:v>118</x:v>
      </x:c>
      <x:c r="AG369" s="1" t="s">
        <x:v>4530</x:v>
      </x:c>
      <x:c r="AH369" s="8" t="str">
        <x:v>Краткая затекстовая ссылка; повторная документальная сверка выполнена</x:v>
      </x:c>
      <x:c r="AI369" s="1"/>
      <x:c r="AJ369" s="17"/>
      <x:c r="AK369" s="1" t="s">
        <x:v>73</x:v>
      </x:c>
      <x:c r="AL369" s="8" t="s">
        <x:v>74</x:v>
      </x:c>
      <x:c r="AM369" s="1"/>
      <x:c r="AN369" s="8" t="s">
        <x:v>95</x:v>
      </x:c>
      <x:c r="AO369" s="1" t="s">
        <x:v>76</x:v>
      </x:c>
      <x:c r="AP369" s="8"/>
      <x:c r="AQ369" s="1" t="s">
        <x:v>77</x:v>
      </x:c>
      <x:c r="AR369" s="8" t="str">
        <x:v>Проверка автором исследования</x:v>
      </x:c>
      <x:c r="AS369" s="1"/>
      <x:c r="AT369" s="8" t="s">
        <x:v>96</x:v>
      </x:c>
      <x:c r="AU369" s="1" t="s">
        <x:v>97</x:v>
      </x:c>
      <x:c r="AV369" s="17"/>
      <x:c r="AW369" s="1" t="s">
        <x:v>98</x:v>
      </x:c>
      <x:c r="AX369" s="8" t="s">
        <x:v>82</x:v>
      </x:c>
      <x:c r="AY369" s="8"/>
    </x:row>
    <x:row r="370" ht="69.94999694824219" customHeight="1">
      <x:c r="A370" s="1" t="s">
        <x:v>4531</x:v>
      </x:c>
      <x:c r="B370" s="8" t="s">
        <x:v>4532</x:v>
      </x:c>
      <x:c r="C370" s="1" t="s">
        <x:v>4533</x:v>
      </x:c>
      <x:c r="D370" s="8" t="s">
        <x:v>73</x:v>
      </x:c>
      <x:c r="E370" s="1" t="s">
        <x:v>76</x:v>
      </x:c>
      <x:c r="F370" s="8" t="s">
        <x:v>4534</x:v>
      </x:c>
      <x:c r="G370" s="1" t="s">
        <x:v>4535</x:v>
      </x:c>
      <x:c r="H370" s="8" t="s">
        <x:v>4536</x:v>
      </x:c>
      <x:c r="I370" s="4">
        <x:v>2005</x:v>
      </x:c>
      <x:c r="J370" s="8"/>
      <x:c r="K370" s="1" t="s">
        <x:v>4537</x:v>
      </x:c>
      <x:c r="L370" s="8" t="s">
        <x:v>4538</x:v>
      </x:c>
      <x:c r="M370" s="1" t="s">
        <x:v>61</x:v>
      </x:c>
      <x:c r="N370" s="8"/>
      <x:c r="O370" s="1"/>
      <x:c r="P370" s="8"/>
      <x:c r="Q370" s="1"/>
      <x:c r="R370" s="8"/>
      <x:c r="S370" s="3"/>
      <x:c r="T370" s="8" t="s">
        <x:v>63</x:v>
      </x:c>
      <x:c r="U370" s="1" t="s">
        <x:v>4527</x:v>
      </x:c>
      <x:c r="V370" s="13">
        <x:v>28</x:v>
      </x:c>
      <x:c r="W370" s="1" t="s">
        <x:v>65</x:v>
      </x:c>
      <x:c r="X370" s="8" t="s">
        <x:v>66</x:v>
      </x:c>
      <x:c r="Y370" s="1" t="str">
        <x:v>Проверено автором исследования</x:v>
      </x:c>
      <x:c r="Z370" s="8"/>
      <x:c r="AA370" s="1" t="s">
        <x:v>4528</x:v>
      </x:c>
      <x:c r="AB370" s="13">
        <x:v>2025</x:v>
      </x:c>
      <x:c r="AC370" s="3"/>
      <x:c r="AD370" s="8" t="s">
        <x:v>93</x:v>
      </x:c>
      <x:c r="AE370" s="1" t="s">
        <x:v>4539</x:v>
      </x:c>
      <x:c r="AF370" s="8" t="s">
        <x:v>118</x:v>
      </x:c>
      <x:c r="AG370" s="1" t="s">
        <x:v>4530</x:v>
      </x:c>
      <x:c r="AH370" s="8" t="str">
        <x:v>Краткая затекстовая ссылка; повторная документальная сверка выполнена</x:v>
      </x:c>
      <x:c r="AI370" s="1"/>
      <x:c r="AJ370" s="17"/>
      <x:c r="AK370" s="1" t="s">
        <x:v>73</x:v>
      </x:c>
      <x:c r="AL370" s="8" t="s">
        <x:v>74</x:v>
      </x:c>
      <x:c r="AM370" s="1"/>
      <x:c r="AN370" s="8" t="s">
        <x:v>95</x:v>
      </x:c>
      <x:c r="AO370" s="1" t="s">
        <x:v>76</x:v>
      </x:c>
      <x:c r="AP370" s="8"/>
      <x:c r="AQ370" s="1" t="s">
        <x:v>77</x:v>
      </x:c>
      <x:c r="AR370" s="8" t="str">
        <x:v>Проверка автором исследования</x:v>
      </x:c>
      <x:c r="AS370" s="1"/>
      <x:c r="AT370" s="8" t="s">
        <x:v>96</x:v>
      </x:c>
      <x:c r="AU370" s="1" t="s">
        <x:v>97</x:v>
      </x:c>
      <x:c r="AV370" s="17"/>
      <x:c r="AW370" s="1" t="s">
        <x:v>98</x:v>
      </x:c>
      <x:c r="AX370" s="8" t="s">
        <x:v>82</x:v>
      </x:c>
      <x:c r="AY370" s="8"/>
    </x:row>
    <x:row r="371" ht="111.94999694824219" customHeight="1">
      <x:c r="A371" s="1" t="s">
        <x:v>4540</x:v>
      </x:c>
      <x:c r="B371" s="8" t="s">
        <x:v>4541</x:v>
      </x:c>
      <x:c r="C371" s="1" t="s">
        <x:v>4542</x:v>
      </x:c>
      <x:c r="D371" s="8" t="s">
        <x:v>53</x:v>
      </x:c>
      <x:c r="E371" s="1" t="s">
        <x:v>54</x:v>
      </x:c>
      <x:c r="F371" s="8" t="s">
        <x:v>4543</x:v>
      </x:c>
      <x:c r="G371" s="1" t="s">
        <x:v>4544</x:v>
      </x:c>
      <x:c r="H371" s="8" t="s">
        <x:v>4545</x:v>
      </x:c>
      <x:c r="I371" s="4">
        <x:v>2024</x:v>
      </x:c>
      <x:c r="J371" s="8"/>
      <x:c r="K371" s="1" t="s">
        <x:v>416</x:v>
      </x:c>
      <x:c r="L371" s="8" t="s">
        <x:v>4546</x:v>
      </x:c>
      <x:c r="M371" s="1" t="s">
        <x:v>61</x:v>
      </x:c>
      <x:c r="N371" s="8"/>
      <x:c r="O371" s="1"/>
      <x:c r="P371" s="8"/>
      <x:c r="Q371" s="1"/>
      <x:c r="R371" s="8" t="s">
        <x:v>4547</x:v>
      </x:c>
      <x:c r="S371" s="3"/>
      <x:c r="T371" s="8" t="s">
        <x:v>63</x:v>
      </x:c>
      <x:c r="U371" s="1" t="s">
        <x:v>4548</x:v>
      </x:c>
      <x:c r="V371" s="13">
        <x:v>3</x:v>
      </x:c>
      <x:c r="W371" s="1" t="s">
        <x:v>65</x:v>
      </x:c>
      <x:c r="X371" s="8" t="s">
        <x:v>66</x:v>
      </x:c>
      <x:c r="Y371" s="1" t="str">
        <x:v>Проверено автором исследования</x:v>
      </x:c>
      <x:c r="Z371" s="8" t="s">
        <x:v>4549</x:v>
      </x:c>
      <x:c r="AA371" s="1" t="s">
        <x:v>4550</x:v>
      </x:c>
      <x:c r="AB371" s="13">
        <x:v>2025</x:v>
      </x:c>
      <x:c r="AC371" s="3">
        <x:v>46322</x:v>
      </x:c>
      <x:c r="AD371" s="8" t="s">
        <x:v>69</x:v>
      </x:c>
      <x:c r="AE371" s="1" t="s">
        <x:v>4551</x:v>
      </x:c>
      <x:c r="AF371" s="8" t="s">
        <x:v>118</x:v>
      </x:c>
      <x:c r="AG371" s="1" t="s">
        <x:v>4552</x:v>
      </x:c>
      <x:c r="AH371" s="8" t="str">
        <x:v>Краткая затекстовая ссылка; повторная документальная сверка выполнена</x:v>
      </x:c>
      <x:c r="AI371" s="1"/>
      <x:c r="AJ371" s="17"/>
      <x:c r="AK371" s="1" t="s">
        <x:v>73</x:v>
      </x:c>
      <x:c r="AL371" s="8" t="s">
        <x:v>74</x:v>
      </x:c>
      <x:c r="AM371" s="1"/>
      <x:c r="AN371" s="8" t="s">
        <x:v>75</x:v>
      </x:c>
      <x:c r="AO371" s="1" t="s">
        <x:v>76</x:v>
      </x:c>
      <x:c r="AP371" s="8"/>
      <x:c r="AQ371" s="1" t="s">
        <x:v>77</x:v>
      </x:c>
      <x:c r="AR371" s="8" t="str">
        <x:v>Проверка автором исследования</x:v>
      </x:c>
      <x:c r="AS371" s="1" t="s">
        <x:v>4553</x:v>
      </x:c>
      <x:c r="AT371" s="8" t="s">
        <x:v>4554</x:v>
      </x:c>
      <x:c r="AU371" s="1" t="s">
        <x:v>4555</x:v>
      </x:c>
      <x:c r="AV371" s="17">
        <x:v>46321</x:v>
      </x:c>
      <x:c r="AW371" s="1" t="s">
        <x:v>81</x:v>
      </x:c>
      <x:c r="AX371" s="8" t="s">
        <x:v>82</x:v>
      </x:c>
      <x:c r="AY371" s="8"/>
    </x:row>
    <x:row r="372" ht="69.94999694824219" customHeight="1">
      <x:c r="A372" s="1" t="s">
        <x:v>4556</x:v>
      </x:c>
      <x:c r="B372" s="8" t="s">
        <x:v>4557</x:v>
      </x:c>
      <x:c r="C372" s="1" t="s">
        <x:v>4558</x:v>
      </x:c>
      <x:c r="D372" s="8" t="s">
        <x:v>73</x:v>
      </x:c>
      <x:c r="E372" s="1" t="s">
        <x:v>76</x:v>
      </x:c>
      <x:c r="F372" s="8" t="s">
        <x:v>4559</x:v>
      </x:c>
      <x:c r="G372" s="1" t="s">
        <x:v>4560</x:v>
      </x:c>
      <x:c r="H372" s="8" t="s">
        <x:v>4561</x:v>
      </x:c>
      <x:c r="I372" s="4">
        <x:v>2012</x:v>
      </x:c>
      <x:c r="J372" s="8"/>
      <x:c r="K372" s="1" t="s">
        <x:v>1346</x:v>
      </x:c>
      <x:c r="L372" s="8" t="s">
        <x:v>4562</x:v>
      </x:c>
      <x:c r="M372" s="1" t="s">
        <x:v>61</x:v>
      </x:c>
      <x:c r="N372" s="8"/>
      <x:c r="O372" s="1"/>
      <x:c r="P372" s="8"/>
      <x:c r="Q372" s="1"/>
      <x:c r="R372" s="8"/>
      <x:c r="S372" s="3"/>
      <x:c r="T372" s="8" t="s">
        <x:v>63</x:v>
      </x:c>
      <x:c r="U372" s="1" t="s">
        <x:v>4548</x:v>
      </x:c>
      <x:c r="V372" s="13">
        <x:v>6</x:v>
      </x:c>
      <x:c r="W372" s="1" t="s">
        <x:v>65</x:v>
      </x:c>
      <x:c r="X372" s="8" t="s">
        <x:v>66</x:v>
      </x:c>
      <x:c r="Y372" s="1" t="str">
        <x:v>Проверено автором исследования</x:v>
      </x:c>
      <x:c r="Z372" s="8"/>
      <x:c r="AA372" s="1" t="s">
        <x:v>4550</x:v>
      </x:c>
      <x:c r="AB372" s="13">
        <x:v>2025</x:v>
      </x:c>
      <x:c r="AC372" s="3"/>
      <x:c r="AD372" s="8" t="s">
        <x:v>93</x:v>
      </x:c>
      <x:c r="AE372" s="1" t="s">
        <x:v>4563</x:v>
      </x:c>
      <x:c r="AF372" s="8" t="s">
        <x:v>118</x:v>
      </x:c>
      <x:c r="AG372" s="1" t="s">
        <x:v>4552</x:v>
      </x:c>
      <x:c r="AH372" s="8" t="str">
        <x:v>Краткая затекстовая ссылка; повторная документальная сверка выполнена</x:v>
      </x:c>
      <x:c r="AI372" s="1"/>
      <x:c r="AJ372" s="17"/>
      <x:c r="AK372" s="1" t="s">
        <x:v>73</x:v>
      </x:c>
      <x:c r="AL372" s="8" t="s">
        <x:v>74</x:v>
      </x:c>
      <x:c r="AM372" s="1"/>
      <x:c r="AN372" s="8" t="s">
        <x:v>95</x:v>
      </x:c>
      <x:c r="AO372" s="1" t="s">
        <x:v>76</x:v>
      </x:c>
      <x:c r="AP372" s="8"/>
      <x:c r="AQ372" s="1" t="s">
        <x:v>77</x:v>
      </x:c>
      <x:c r="AR372" s="8" t="str">
        <x:v>Проверка автором исследования</x:v>
      </x:c>
      <x:c r="AS372" s="1"/>
      <x:c r="AT372" s="8" t="s">
        <x:v>96</x:v>
      </x:c>
      <x:c r="AU372" s="1" t="s">
        <x:v>97</x:v>
      </x:c>
      <x:c r="AV372" s="17"/>
      <x:c r="AW372" s="1" t="s">
        <x:v>98</x:v>
      </x:c>
      <x:c r="AX372" s="8" t="s">
        <x:v>82</x:v>
      </x:c>
      <x:c r="AY372" s="8"/>
    </x:row>
    <x:row r="373" ht="111.94999694824219" customHeight="1">
      <x:c r="A373" s="1" t="s">
        <x:v>4564</x:v>
      </x:c>
      <x:c r="B373" s="8" t="s">
        <x:v>4565</x:v>
      </x:c>
      <x:c r="C373" s="1" t="s">
        <x:v>4566</x:v>
      </x:c>
      <x:c r="D373" s="8" t="s">
        <x:v>53</x:v>
      </x:c>
      <x:c r="E373" s="1" t="s">
        <x:v>54</x:v>
      </x:c>
      <x:c r="F373" s="8" t="s">
        <x:v>4567</x:v>
      </x:c>
      <x:c r="G373" s="1" t="s">
        <x:v>4568</x:v>
      </x:c>
      <x:c r="H373" s="8" t="s">
        <x:v>4569</x:v>
      </x:c>
      <x:c r="I373" s="4">
        <x:v>2024</x:v>
      </x:c>
      <x:c r="J373" s="8" t="s">
        <x:v>754</x:v>
      </x:c>
      <x:c r="K373" s="1" t="s">
        <x:v>416</x:v>
      </x:c>
      <x:c r="L373" s="8" t="s">
        <x:v>4570</x:v>
      </x:c>
      <x:c r="M373" s="1" t="s">
        <x:v>61</x:v>
      </x:c>
      <x:c r="N373" s="8"/>
      <x:c r="O373" s="1"/>
      <x:c r="P373" s="8"/>
      <x:c r="Q373" s="1"/>
      <x:c r="R373" s="8" t="s">
        <x:v>4571</x:v>
      </x:c>
      <x:c r="S373" s="3"/>
      <x:c r="T373" s="8" t="s">
        <x:v>63</x:v>
      </x:c>
      <x:c r="U373" s="1" t="s">
        <x:v>4548</x:v>
      </x:c>
      <x:c r="V373" s="13">
        <x:v>16</x:v>
      </x:c>
      <x:c r="W373" s="1" t="s">
        <x:v>65</x:v>
      </x:c>
      <x:c r="X373" s="8" t="s">
        <x:v>66</x:v>
      </x:c>
      <x:c r="Y373" s="1" t="str">
        <x:v>Проверено автором исследования</x:v>
      </x:c>
      <x:c r="Z373" s="8" t="s">
        <x:v>4572</x:v>
      </x:c>
      <x:c r="AA373" s="1" t="s">
        <x:v>4550</x:v>
      </x:c>
      <x:c r="AB373" s="13">
        <x:v>2025</x:v>
      </x:c>
      <x:c r="AC373" s="3">
        <x:v>46322</x:v>
      </x:c>
      <x:c r="AD373" s="8" t="s">
        <x:v>69</x:v>
      </x:c>
      <x:c r="AE373" s="1" t="s">
        <x:v>4573</x:v>
      </x:c>
      <x:c r="AF373" s="8" t="s">
        <x:v>118</x:v>
      </x:c>
      <x:c r="AG373" s="1" t="s">
        <x:v>4552</x:v>
      </x:c>
      <x:c r="AH373" s="8" t="str">
        <x:v>Краткая затекстовая ссылка; повторная документальная сверка выполнена</x:v>
      </x:c>
      <x:c r="AI373" s="1"/>
      <x:c r="AJ373" s="17"/>
      <x:c r="AK373" s="1" t="s">
        <x:v>73</x:v>
      </x:c>
      <x:c r="AL373" s="8" t="s">
        <x:v>74</x:v>
      </x:c>
      <x:c r="AM373" s="1"/>
      <x:c r="AN373" s="8" t="s">
        <x:v>75</x:v>
      </x:c>
      <x:c r="AO373" s="1" t="s">
        <x:v>76</x:v>
      </x:c>
      <x:c r="AP373" s="8"/>
      <x:c r="AQ373" s="1" t="s">
        <x:v>77</x:v>
      </x:c>
      <x:c r="AR373" s="8" t="str">
        <x:v>Проверка автором исследования</x:v>
      </x:c>
      <x:c r="AS373" s="1" t="s">
        <x:v>4574</x:v>
      </x:c>
      <x:c r="AT373" s="8" t="s">
        <x:v>4575</x:v>
      </x:c>
      <x:c r="AU373" s="1" t="s">
        <x:v>4576</x:v>
      </x:c>
      <x:c r="AV373" s="17">
        <x:v>46321</x:v>
      </x:c>
      <x:c r="AW373" s="1" t="s">
        <x:v>81</x:v>
      </x:c>
      <x:c r="AX373" s="8" t="s">
        <x:v>82</x:v>
      </x:c>
      <x:c r="AY373" s="8"/>
    </x:row>
    <x:row r="374" ht="69.94999694824219" customHeight="1">
      <x:c r="A374" s="1" t="s">
        <x:v>4577</x:v>
      </x:c>
      <x:c r="B374" s="8" t="s">
        <x:v>4578</x:v>
      </x:c>
      <x:c r="C374" s="1" t="s">
        <x:v>4579</x:v>
      </x:c>
      <x:c r="D374" s="8" t="s">
        <x:v>86</x:v>
      </x:c>
      <x:c r="E374" s="1" t="s">
        <x:v>76</x:v>
      </x:c>
      <x:c r="F374" s="8" t="s">
        <x:v>4580</x:v>
      </x:c>
      <x:c r="G374" s="1" t="s">
        <x:v>4581</x:v>
      </x:c>
      <x:c r="H374" s="8"/>
      <x:c r="I374" s="4">
        <x:v>1993</x:v>
      </x:c>
      <x:c r="J374" s="8"/>
      <x:c r="K374" s="1"/>
      <x:c r="L374" s="8" t="s">
        <x:v>4582</x:v>
      </x:c>
      <x:c r="M374" s="1" t="s">
        <x:v>90</x:v>
      </x:c>
      <x:c r="N374" s="8" t="s">
        <x:v>4360</x:v>
      </x:c>
      <x:c r="O374" s="1" t="s">
        <x:v>92</x:v>
      </x:c>
      <x:c r="P374" s="8"/>
      <x:c r="Q374" s="1" t="s">
        <x:v>4583</x:v>
      </x:c>
      <x:c r="R374" s="8"/>
      <x:c r="S374" s="3"/>
      <x:c r="T374" s="8" t="s">
        <x:v>63</x:v>
      </x:c>
      <x:c r="U374" s="1" t="s">
        <x:v>4584</x:v>
      </x:c>
      <x:c r="V374" s="13">
        <x:v>4</x:v>
      </x:c>
      <x:c r="W374" s="1" t="s">
        <x:v>65</x:v>
      </x:c>
      <x:c r="X374" s="8" t="s">
        <x:v>66</x:v>
      </x:c>
      <x:c r="Y374" s="1" t="str">
        <x:v>Проверено автором исследования</x:v>
      </x:c>
      <x:c r="Z374" s="8"/>
      <x:c r="AA374" s="1" t="s">
        <x:v>4585</x:v>
      </x:c>
      <x:c r="AB374" s="13">
        <x:v>2025</x:v>
      </x:c>
      <x:c r="AC374" s="3"/>
      <x:c r="AD374" s="8" t="s">
        <x:v>93</x:v>
      </x:c>
      <x:c r="AE374" s="1"/>
      <x:c r="AF374" s="8" t="s">
        <x:v>71</x:v>
      </x:c>
      <x:c r="AG374" s="1" t="s">
        <x:v>4586</x:v>
      </x:c>
      <x:c r="AH374" s="8" t="str">
        <x:v>Краткая затекстовая ссылка; повторная документальная сверка выполнена</x:v>
      </x:c>
      <x:c r="AI374" s="1"/>
      <x:c r="AJ374" s="17"/>
      <x:c r="AK374" s="1" t="s">
        <x:v>73</x:v>
      </x:c>
      <x:c r="AL374" s="8" t="s">
        <x:v>74</x:v>
      </x:c>
      <x:c r="AM374" s="1"/>
      <x:c r="AN374" s="8" t="s">
        <x:v>95</x:v>
      </x:c>
      <x:c r="AO374" s="1" t="s">
        <x:v>76</x:v>
      </x:c>
      <x:c r="AP374" s="8"/>
      <x:c r="AQ374" s="1" t="s">
        <x:v>77</x:v>
      </x:c>
      <x:c r="AR374" s="8" t="str">
        <x:v>Проверка автором исследования</x:v>
      </x:c>
      <x:c r="AS374" s="1"/>
      <x:c r="AT374" s="8" t="s">
        <x:v>96</x:v>
      </x:c>
      <x:c r="AU374" s="1" t="s">
        <x:v>97</x:v>
      </x:c>
      <x:c r="AV374" s="17"/>
      <x:c r="AW374" s="1" t="s">
        <x:v>98</x:v>
      </x:c>
      <x:c r="AX374" s="8" t="s">
        <x:v>82</x:v>
      </x:c>
      <x:c r="AY374" s="8"/>
    </x:row>
    <x:row r="375" ht="69.94999694824219" customHeight="1">
      <x:c r="A375" s="1" t="s">
        <x:v>4587</x:v>
      </x:c>
      <x:c r="B375" s="8" t="s">
        <x:v>4588</x:v>
      </x:c>
      <x:c r="C375" s="1" t="s">
        <x:v>4589</x:v>
      </x:c>
      <x:c r="D375" s="8" t="s">
        <x:v>73</x:v>
      </x:c>
      <x:c r="E375" s="1" t="s">
        <x:v>76</x:v>
      </x:c>
      <x:c r="F375" s="8" t="s">
        <x:v>4590</x:v>
      </x:c>
      <x:c r="G375" s="1" t="s">
        <x:v>4591</x:v>
      </x:c>
      <x:c r="H375" s="8" t="s">
        <x:v>4592</x:v>
      </x:c>
      <x:c r="I375" s="4">
        <x:v>2018</x:v>
      </x:c>
      <x:c r="J375" s="8"/>
      <x:c r="K375" s="1" t="s">
        <x:v>4593</x:v>
      </x:c>
      <x:c r="L375" s="8" t="s">
        <x:v>239</x:v>
      </x:c>
      <x:c r="M375" s="1" t="s">
        <x:v>4594</x:v>
      </x:c>
      <x:c r="N375" s="8"/>
      <x:c r="O375" s="1"/>
      <x:c r="P375" s="8"/>
      <x:c r="Q375" s="1"/>
      <x:c r="R375" s="8"/>
      <x:c r="S375" s="3"/>
      <x:c r="T375" s="8" t="s">
        <x:v>63</x:v>
      </x:c>
      <x:c r="U375" s="1" t="s">
        <x:v>4584</x:v>
      </x:c>
      <x:c r="V375" s="13">
        <x:v>8</x:v>
      </x:c>
      <x:c r="W375" s="1" t="s">
        <x:v>4595</x:v>
      </x:c>
      <x:c r="X375" s="8" t="s">
        <x:v>66</x:v>
      </x:c>
      <x:c r="Y375" s="1" t="str">
        <x:v>Проверено автором; дополнительно проверено Михаилом Саяпиным</x:v>
      </x:c>
      <x:c r="Z375" s="8"/>
      <x:c r="AA375" s="1" t="s">
        <x:v>4585</x:v>
      </x:c>
      <x:c r="AB375" s="13">
        <x:v>2025</x:v>
      </x:c>
      <x:c r="AC375" s="3"/>
      <x:c r="AD375" s="8" t="s">
        <x:v>93</x:v>
      </x:c>
      <x:c r="AE375" s="1" t="s">
        <x:v>4596</x:v>
      </x:c>
      <x:c r="AF375" s="8" t="s">
        <x:v>71</x:v>
      </x:c>
      <x:c r="AG375" s="1" t="s">
        <x:v>4586</x:v>
      </x:c>
      <x:c r="AH375" s="8" t="s">
        <x:v>1375</x:v>
      </x:c>
      <x:c r="AI375" s="1" t="s">
        <x:v>145</x:v>
      </x:c>
      <x:c r="AJ375" s="17">
        <x:v>46323</x:v>
      </x:c>
      <x:c r="AK375" s="1" t="s">
        <x:v>73</x:v>
      </x:c>
      <x:c r="AL375" s="8" t="s">
        <x:v>74</x:v>
      </x:c>
      <x:c r="AM375" s="1"/>
      <x:c r="AN375" s="8" t="s">
        <x:v>95</x:v>
      </x:c>
      <x:c r="AO375" s="1" t="s">
        <x:v>76</x:v>
      </x:c>
      <x:c r="AP375" s="8"/>
      <x:c r="AQ375" s="1" t="s">
        <x:v>77</x:v>
      </x:c>
      <x:c r="AR375" s="8" t="str">
        <x:v>Проверка автором исследования; дополнительная проверка Михаилом Саяпиным; согласование 28.10.2026</x:v>
      </x:c>
      <x:c r="AS375" s="1"/>
      <x:c r="AT375" s="8" t="s">
        <x:v>96</x:v>
      </x:c>
      <x:c r="AU375" s="1" t="s">
        <x:v>97</x:v>
      </x:c>
      <x:c r="AV375" s="17"/>
      <x:c r="AW375" s="1" t="s">
        <x:v>98</x:v>
      </x:c>
      <x:c r="AX375" s="8" t="s">
        <x:v>146</x:v>
      </x:c>
      <x:c r="AY375" s="8" t="s">
        <x:v>4597</x:v>
      </x:c>
    </x:row>
    <x:row r="376" ht="69.94999694824219" customHeight="1">
      <x:c r="A376" s="1" t="s">
        <x:v>4598</x:v>
      </x:c>
      <x:c r="B376" s="8" t="s">
        <x:v>4599</x:v>
      </x:c>
      <x:c r="C376" s="1" t="s">
        <x:v>4600</x:v>
      </x:c>
      <x:c r="D376" s="8" t="s">
        <x:v>53</x:v>
      </x:c>
      <x:c r="E376" s="1" t="s">
        <x:v>54</x:v>
      </x:c>
      <x:c r="F376" s="8" t="s">
        <x:v>4601</x:v>
      </x:c>
      <x:c r="G376" s="1" t="s">
        <x:v>4602</x:v>
      </x:c>
      <x:c r="H376" s="8" t="s">
        <x:v>4603</x:v>
      </x:c>
      <x:c r="I376" s="4">
        <x:v>2018</x:v>
      </x:c>
      <x:c r="J376" s="8"/>
      <x:c r="K376" s="1" t="s">
        <x:v>4604</x:v>
      </x:c>
      <x:c r="L376" s="8" t="s">
        <x:v>4605</x:v>
      </x:c>
      <x:c r="M376" s="1" t="s">
        <x:v>61</x:v>
      </x:c>
      <x:c r="N376" s="8"/>
      <x:c r="O376" s="1"/>
      <x:c r="P376" s="8"/>
      <x:c r="Q376" s="1"/>
      <x:c r="R376" s="8" t="s">
        <x:v>4606</x:v>
      </x:c>
      <x:c r="S376" s="3"/>
      <x:c r="T376" s="8" t="s">
        <x:v>63</x:v>
      </x:c>
      <x:c r="U376" s="1" t="s">
        <x:v>4584</x:v>
      </x:c>
      <x:c r="V376" s="13">
        <x:v>16</x:v>
      </x:c>
      <x:c r="W376" s="1" t="s">
        <x:v>65</x:v>
      </x:c>
      <x:c r="X376" s="8" t="s">
        <x:v>66</x:v>
      </x:c>
      <x:c r="Y376" s="1" t="str">
        <x:v>Проверено автором исследования</x:v>
      </x:c>
      <x:c r="Z376" s="8" t="s">
        <x:v>4607</x:v>
      </x:c>
      <x:c r="AA376" s="1" t="s">
        <x:v>4585</x:v>
      </x:c>
      <x:c r="AB376" s="13">
        <x:v>2025</x:v>
      </x:c>
      <x:c r="AC376" s="3">
        <x:v>46322</x:v>
      </x:c>
      <x:c r="AD376" s="8" t="s">
        <x:v>69</x:v>
      </x:c>
      <x:c r="AE376" s="1" t="s">
        <x:v>4608</x:v>
      </x:c>
      <x:c r="AF376" s="8" t="s">
        <x:v>71</x:v>
      </x:c>
      <x:c r="AG376" s="1" t="s">
        <x:v>4586</x:v>
      </x:c>
      <x:c r="AH376" s="8" t="str">
        <x:v>Краткая затекстовая ссылка; повторная документальная сверка выполнена</x:v>
      </x:c>
      <x:c r="AI376" s="1"/>
      <x:c r="AJ376" s="17"/>
      <x:c r="AK376" s="1" t="s">
        <x:v>73</x:v>
      </x:c>
      <x:c r="AL376" s="8" t="s">
        <x:v>74</x:v>
      </x:c>
      <x:c r="AM376" s="1"/>
      <x:c r="AN376" s="8" t="s">
        <x:v>75</x:v>
      </x:c>
      <x:c r="AO376" s="1" t="s">
        <x:v>76</x:v>
      </x:c>
      <x:c r="AP376" s="8"/>
      <x:c r="AQ376" s="1" t="s">
        <x:v>77</x:v>
      </x:c>
      <x:c r="AR376" s="8" t="str">
        <x:v>Проверка автором исследования</x:v>
      </x:c>
      <x:c r="AS376" s="1" t="s">
        <x:v>4609</x:v>
      </x:c>
      <x:c r="AT376" s="8" t="s">
        <x:v>4610</x:v>
      </x:c>
      <x:c r="AU376" s="1" t="s">
        <x:v>4611</x:v>
      </x:c>
      <x:c r="AV376" s="17">
        <x:v>46321</x:v>
      </x:c>
      <x:c r="AW376" s="1" t="s">
        <x:v>81</x:v>
      </x:c>
      <x:c r="AX376" s="8" t="s">
        <x:v>82</x:v>
      </x:c>
      <x:c r="AY376" s="8"/>
    </x:row>
    <x:row r="377" ht="126" customHeight="1">
      <x:c r="A377" s="1" t="s">
        <x:v>4612</x:v>
      </x:c>
      <x:c r="B377" s="8" t="s">
        <x:v>4613</x:v>
      </x:c>
      <x:c r="C377" s="1" t="s">
        <x:v>4614</x:v>
      </x:c>
      <x:c r="D377" s="8" t="s">
        <x:v>53</x:v>
      </x:c>
      <x:c r="E377" s="1" t="s">
        <x:v>54</x:v>
      </x:c>
      <x:c r="F377" s="8" t="s">
        <x:v>4615</x:v>
      </x:c>
      <x:c r="G377" s="1" t="s">
        <x:v>4616</x:v>
      </x:c>
      <x:c r="H377" s="8" t="s">
        <x:v>4617</x:v>
      </x:c>
      <x:c r="I377" s="4">
        <x:v>2025</x:v>
      </x:c>
      <x:c r="J377" s="8" t="s">
        <x:v>59</x:v>
      </x:c>
      <x:c r="K377" s="1" t="s">
        <x:v>190</x:v>
      </x:c>
      <x:c r="L377" s="8" t="s">
        <x:v>4618</x:v>
      </x:c>
      <x:c r="M377" s="1" t="s">
        <x:v>61</x:v>
      </x:c>
      <x:c r="N377" s="8"/>
      <x:c r="O377" s="1"/>
      <x:c r="P377" s="8"/>
      <x:c r="Q377" s="1"/>
      <x:c r="R377" s="8" t="s">
        <x:v>4619</x:v>
      </x:c>
      <x:c r="S377" s="3"/>
      <x:c r="T377" s="8" t="s">
        <x:v>63</x:v>
      </x:c>
      <x:c r="U377" s="1" t="s">
        <x:v>4620</x:v>
      </x:c>
      <x:c r="V377" s="13">
        <x:v>8</x:v>
      </x:c>
      <x:c r="W377" s="1" t="s">
        <x:v>65</x:v>
      </x:c>
      <x:c r="X377" s="8" t="s">
        <x:v>66</x:v>
      </x:c>
      <x:c r="Y377" s="1" t="str">
        <x:v>Проверено автором исследования</x:v>
      </x:c>
      <x:c r="Z377" s="8" t="s">
        <x:v>4621</x:v>
      </x:c>
      <x:c r="AA377" s="1" t="s">
        <x:v>4622</x:v>
      </x:c>
      <x:c r="AB377" s="13">
        <x:v>2025</x:v>
      </x:c>
      <x:c r="AC377" s="3">
        <x:v>46322</x:v>
      </x:c>
      <x:c r="AD377" s="8" t="s">
        <x:v>69</x:v>
      </x:c>
      <x:c r="AE377" s="1" t="s">
        <x:v>4623</x:v>
      </x:c>
      <x:c r="AF377" s="8" t="s">
        <x:v>118</x:v>
      </x:c>
      <x:c r="AG377" s="1" t="s">
        <x:v>4624</x:v>
      </x:c>
      <x:c r="AH377" s="8" t="str">
        <x:v>Краткая затекстовая ссылка; повторная документальная сверка выполнена</x:v>
      </x:c>
      <x:c r="AI377" s="1"/>
      <x:c r="AJ377" s="17"/>
      <x:c r="AK377" s="1" t="s">
        <x:v>73</x:v>
      </x:c>
      <x:c r="AL377" s="8" t="s">
        <x:v>74</x:v>
      </x:c>
      <x:c r="AM377" s="1"/>
      <x:c r="AN377" s="8" t="s">
        <x:v>75</x:v>
      </x:c>
      <x:c r="AO377" s="1" t="s">
        <x:v>76</x:v>
      </x:c>
      <x:c r="AP377" s="8"/>
      <x:c r="AQ377" s="1" t="s">
        <x:v>77</x:v>
      </x:c>
      <x:c r="AR377" s="8" t="str">
        <x:v>Проверка автором исследования</x:v>
      </x:c>
      <x:c r="AS377" s="1" t="s">
        <x:v>4625</x:v>
      </x:c>
      <x:c r="AT377" s="8" t="s">
        <x:v>4626</x:v>
      </x:c>
      <x:c r="AU377" s="1" t="s">
        <x:v>4627</x:v>
      </x:c>
      <x:c r="AV377" s="17">
        <x:v>46321</x:v>
      </x:c>
      <x:c r="AW377" s="1" t="s">
        <x:v>81</x:v>
      </x:c>
      <x:c r="AX377" s="8" t="s">
        <x:v>82</x:v>
      </x:c>
      <x:c r="AY377" s="8"/>
    </x:row>
    <x:row r="378" ht="98.0999984741211" customHeight="1">
      <x:c r="A378" s="1" t="s">
        <x:v>4628</x:v>
      </x:c>
      <x:c r="B378" s="8" t="s">
        <x:v>4629</x:v>
      </x:c>
      <x:c r="C378" s="1" t="s">
        <x:v>4630</x:v>
      </x:c>
      <x:c r="D378" s="8" t="s">
        <x:v>53</x:v>
      </x:c>
      <x:c r="E378" s="1" t="s">
        <x:v>54</x:v>
      </x:c>
      <x:c r="F378" s="8" t="s">
        <x:v>4631</x:v>
      </x:c>
      <x:c r="G378" s="1" t="s">
        <x:v>4632</x:v>
      </x:c>
      <x:c r="H378" s="8" t="s">
        <x:v>4617</x:v>
      </x:c>
      <x:c r="I378" s="4">
        <x:v>2023</x:v>
      </x:c>
      <x:c r="J378" s="8" t="s">
        <x:v>190</x:v>
      </x:c>
      <x:c r="K378" s="1" t="s">
        <x:v>190</x:v>
      </x:c>
      <x:c r="L378" s="8" t="s">
        <x:v>4633</x:v>
      </x:c>
      <x:c r="M378" s="1" t="s">
        <x:v>61</x:v>
      </x:c>
      <x:c r="N378" s="8"/>
      <x:c r="O378" s="1"/>
      <x:c r="P378" s="8"/>
      <x:c r="Q378" s="1"/>
      <x:c r="R378" s="8" t="s">
        <x:v>4634</x:v>
      </x:c>
      <x:c r="S378" s="3"/>
      <x:c r="T378" s="8" t="s">
        <x:v>63</x:v>
      </x:c>
      <x:c r="U378" s="1" t="s">
        <x:v>4620</x:v>
      </x:c>
      <x:c r="V378" s="13">
        <x:v>12</x:v>
      </x:c>
      <x:c r="W378" s="1" t="s">
        <x:v>65</x:v>
      </x:c>
      <x:c r="X378" s="8" t="s">
        <x:v>66</x:v>
      </x:c>
      <x:c r="Y378" s="1" t="str">
        <x:v>Проверено автором исследования</x:v>
      </x:c>
      <x:c r="Z378" s="8" t="s">
        <x:v>4635</x:v>
      </x:c>
      <x:c r="AA378" s="1" t="s">
        <x:v>4622</x:v>
      </x:c>
      <x:c r="AB378" s="13">
        <x:v>2025</x:v>
      </x:c>
      <x:c r="AC378" s="3">
        <x:v>46322</x:v>
      </x:c>
      <x:c r="AD378" s="8" t="s">
        <x:v>69</x:v>
      </x:c>
      <x:c r="AE378" s="1" t="s">
        <x:v>4636</x:v>
      </x:c>
      <x:c r="AF378" s="8" t="s">
        <x:v>118</x:v>
      </x:c>
      <x:c r="AG378" s="1" t="s">
        <x:v>4624</x:v>
      </x:c>
      <x:c r="AH378" s="8" t="str">
        <x:v>Краткая затекстовая ссылка; повторная документальная сверка выполнена</x:v>
      </x:c>
      <x:c r="AI378" s="1"/>
      <x:c r="AJ378" s="17"/>
      <x:c r="AK378" s="1" t="s">
        <x:v>73</x:v>
      </x:c>
      <x:c r="AL378" s="8" t="s">
        <x:v>74</x:v>
      </x:c>
      <x:c r="AM378" s="1"/>
      <x:c r="AN378" s="8" t="s">
        <x:v>75</x:v>
      </x:c>
      <x:c r="AO378" s="1" t="s">
        <x:v>76</x:v>
      </x:c>
      <x:c r="AP378" s="8"/>
      <x:c r="AQ378" s="1" t="s">
        <x:v>77</x:v>
      </x:c>
      <x:c r="AR378" s="8" t="str">
        <x:v>Проверка автором исследования</x:v>
      </x:c>
      <x:c r="AS378" s="1" t="s">
        <x:v>4637</x:v>
      </x:c>
      <x:c r="AT378" s="8" t="s">
        <x:v>4638</x:v>
      </x:c>
      <x:c r="AU378" s="1" t="s">
        <x:v>4639</x:v>
      </x:c>
      <x:c r="AV378" s="17">
        <x:v>46321</x:v>
      </x:c>
      <x:c r="AW378" s="1" t="s">
        <x:v>81</x:v>
      </x:c>
      <x:c r="AX378" s="8" t="s">
        <x:v>82</x:v>
      </x:c>
      <x:c r="AY378" s="8"/>
    </x:row>
    <x:row r="379" ht="69.94999694824219" customHeight="1">
      <x:c r="A379" s="1" t="s">
        <x:v>4640</x:v>
      </x:c>
      <x:c r="B379" s="8" t="s">
        <x:v>4641</x:v>
      </x:c>
      <x:c r="C379" s="1" t="s">
        <x:v>4642</x:v>
      </x:c>
      <x:c r="D379" s="8" t="s">
        <x:v>73</x:v>
      </x:c>
      <x:c r="E379" s="1" t="s">
        <x:v>76</x:v>
      </x:c>
      <x:c r="F379" s="8" t="s">
        <x:v>4643</x:v>
      </x:c>
      <x:c r="G379" s="1" t="s">
        <x:v>4644</x:v>
      </x:c>
      <x:c r="H379" s="8" t="s">
        <x:v>4645</x:v>
      </x:c>
      <x:c r="I379" s="4">
        <x:v>2012</x:v>
      </x:c>
      <x:c r="J379" s="8"/>
      <x:c r="K379" s="1" t="s">
        <x:v>485</x:v>
      </x:c>
      <x:c r="L379" s="8" t="s">
        <x:v>4646</x:v>
      </x:c>
      <x:c r="M379" s="1" t="s">
        <x:v>61</x:v>
      </x:c>
      <x:c r="N379" s="8"/>
      <x:c r="O379" s="1"/>
      <x:c r="P379" s="8"/>
      <x:c r="Q379" s="1"/>
      <x:c r="R379" s="8"/>
      <x:c r="S379" s="3"/>
      <x:c r="T379" s="8" t="s">
        <x:v>63</x:v>
      </x:c>
      <x:c r="U379" s="1" t="s">
        <x:v>4647</x:v>
      </x:c>
      <x:c r="V379" s="13">
        <x:v>18</x:v>
      </x:c>
      <x:c r="W379" s="1" t="s">
        <x:v>65</x:v>
      </x:c>
      <x:c r="X379" s="8" t="s">
        <x:v>66</x:v>
      </x:c>
      <x:c r="Y379" s="1" t="str">
        <x:v>Проверено автором исследования</x:v>
      </x:c>
      <x:c r="Z379" s="8"/>
      <x:c r="AA379" s="1" t="s">
        <x:v>4648</x:v>
      </x:c>
      <x:c r="AB379" s="13">
        <x:v>2025</x:v>
      </x:c>
      <x:c r="AC379" s="3"/>
      <x:c r="AD379" s="8" t="s">
        <x:v>93</x:v>
      </x:c>
      <x:c r="AE379" s="1" t="s">
        <x:v>4649</x:v>
      </x:c>
      <x:c r="AF379" s="8" t="s">
        <x:v>71</x:v>
      </x:c>
      <x:c r="AG379" s="1" t="s">
        <x:v>4650</x:v>
      </x:c>
      <x:c r="AH379" s="8" t="str">
        <x:v>Краткая затекстовая ссылка; повторная документальная сверка выполнена</x:v>
      </x:c>
      <x:c r="AI379" s="1"/>
      <x:c r="AJ379" s="17"/>
      <x:c r="AK379" s="1" t="s">
        <x:v>73</x:v>
      </x:c>
      <x:c r="AL379" s="8" t="s">
        <x:v>74</x:v>
      </x:c>
      <x:c r="AM379" s="1"/>
      <x:c r="AN379" s="8" t="s">
        <x:v>95</x:v>
      </x:c>
      <x:c r="AO379" s="1" t="s">
        <x:v>76</x:v>
      </x:c>
      <x:c r="AP379" s="8"/>
      <x:c r="AQ379" s="1" t="s">
        <x:v>77</x:v>
      </x:c>
      <x:c r="AR379" s="8" t="str">
        <x:v>Проверка автором исследования</x:v>
      </x:c>
      <x:c r="AS379" s="1"/>
      <x:c r="AT379" s="8" t="s">
        <x:v>96</x:v>
      </x:c>
      <x:c r="AU379" s="1" t="s">
        <x:v>97</x:v>
      </x:c>
      <x:c r="AV379" s="17"/>
      <x:c r="AW379" s="1" t="s">
        <x:v>98</x:v>
      </x:c>
      <x:c r="AX379" s="8" t="s">
        <x:v>82</x:v>
      </x:c>
      <x:c r="AY379" s="8"/>
    </x:row>
    <x:row r="380" ht="69.94999694824219" customHeight="1">
      <x:c r="A380" s="1" t="s">
        <x:v>4651</x:v>
      </x:c>
      <x:c r="B380" s="8" t="s">
        <x:v>4652</x:v>
      </x:c>
      <x:c r="C380" s="1" t="s">
        <x:v>4653</x:v>
      </x:c>
      <x:c r="D380" s="8" t="s">
        <x:v>86</x:v>
      </x:c>
      <x:c r="E380" s="1" t="s">
        <x:v>76</x:v>
      </x:c>
      <x:c r="F380" s="8" t="s">
        <x:v>4654</x:v>
      </x:c>
      <x:c r="G380" s="1" t="s">
        <x:v>4655</x:v>
      </x:c>
      <x:c r="H380" s="8"/>
      <x:c r="I380" s="4">
        <x:v>1973</x:v>
      </x:c>
      <x:c r="J380" s="8"/>
      <x:c r="K380" s="1"/>
      <x:c r="L380" s="8" t="s">
        <x:v>4656</x:v>
      </x:c>
      <x:c r="M380" s="1" t="s">
        <x:v>90</x:v>
      </x:c>
      <x:c r="N380" s="8" t="s">
        <x:v>4657</x:v>
      </x:c>
      <x:c r="O380" s="1" t="s">
        <x:v>92</x:v>
      </x:c>
      <x:c r="P380" s="8"/>
      <x:c r="Q380" s="1"/>
      <x:c r="R380" s="8"/>
      <x:c r="S380" s="3"/>
      <x:c r="T380" s="8" t="s">
        <x:v>63</x:v>
      </x:c>
      <x:c r="U380" s="1" t="s">
        <x:v>4658</x:v>
      </x:c>
      <x:c r="V380" s="13">
        <x:v>1</x:v>
      </x:c>
      <x:c r="W380" s="1" t="s">
        <x:v>65</x:v>
      </x:c>
      <x:c r="X380" s="8" t="s">
        <x:v>66</x:v>
      </x:c>
      <x:c r="Y380" s="1" t="str">
        <x:v>Проверено автором исследования</x:v>
      </x:c>
      <x:c r="Z380" s="8"/>
      <x:c r="AA380" s="1" t="s">
        <x:v>4659</x:v>
      </x:c>
      <x:c r="AB380" s="13">
        <x:v>2025</x:v>
      </x:c>
      <x:c r="AC380" s="3"/>
      <x:c r="AD380" s="8" t="s">
        <x:v>93</x:v>
      </x:c>
      <x:c r="AE380" s="1"/>
      <x:c r="AF380" s="8" t="s">
        <x:v>118</x:v>
      </x:c>
      <x:c r="AG380" s="1" t="s">
        <x:v>4660</x:v>
      </x:c>
      <x:c r="AH380" s="8" t="str">
        <x:v>Краткая затекстовая ссылка; повторная документальная сверка выполнена</x:v>
      </x:c>
      <x:c r="AI380" s="1"/>
      <x:c r="AJ380" s="17"/>
      <x:c r="AK380" s="1" t="s">
        <x:v>73</x:v>
      </x:c>
      <x:c r="AL380" s="8" t="s">
        <x:v>74</x:v>
      </x:c>
      <x:c r="AM380" s="1"/>
      <x:c r="AN380" s="8" t="s">
        <x:v>95</x:v>
      </x:c>
      <x:c r="AO380" s="1" t="s">
        <x:v>76</x:v>
      </x:c>
      <x:c r="AP380" s="8"/>
      <x:c r="AQ380" s="1" t="s">
        <x:v>77</x:v>
      </x:c>
      <x:c r="AR380" s="8" t="str">
        <x:v>Проверка автором исследования</x:v>
      </x:c>
      <x:c r="AS380" s="1"/>
      <x:c r="AT380" s="8" t="s">
        <x:v>96</x:v>
      </x:c>
      <x:c r="AU380" s="1" t="s">
        <x:v>97</x:v>
      </x:c>
      <x:c r="AV380" s="17"/>
      <x:c r="AW380" s="1" t="s">
        <x:v>98</x:v>
      </x:c>
      <x:c r="AX380" s="8" t="s">
        <x:v>82</x:v>
      </x:c>
      <x:c r="AY380" s="8"/>
    </x:row>
    <x:row r="381" ht="126" customHeight="1">
      <x:c r="A381" s="1" t="s">
        <x:v>4661</x:v>
      </x:c>
      <x:c r="B381" s="8" t="s">
        <x:v>4662</x:v>
      </x:c>
      <x:c r="C381" s="1" t="s">
        <x:v>4663</x:v>
      </x:c>
      <x:c r="D381" s="8" t="s">
        <x:v>53</x:v>
      </x:c>
      <x:c r="E381" s="1" t="s">
        <x:v>54</x:v>
      </x:c>
      <x:c r="F381" s="8" t="s">
        <x:v>4664</x:v>
      </x:c>
      <x:c r="G381" s="1" t="s">
        <x:v>4665</x:v>
      </x:c>
      <x:c r="H381" s="8" t="s">
        <x:v>4666</x:v>
      </x:c>
      <x:c r="I381" s="4">
        <x:v>2024</x:v>
      </x:c>
      <x:c r="J381" s="8" t="s">
        <x:v>974</x:v>
      </x:c>
      <x:c r="K381" s="1" t="s">
        <x:v>239</x:v>
      </x:c>
      <x:c r="L381" s="8" t="s">
        <x:v>4667</x:v>
      </x:c>
      <x:c r="M381" s="1" t="s">
        <x:v>61</x:v>
      </x:c>
      <x:c r="N381" s="8"/>
      <x:c r="O381" s="1"/>
      <x:c r="P381" s="8"/>
      <x:c r="Q381" s="1"/>
      <x:c r="R381" s="8" t="s">
        <x:v>4668</x:v>
      </x:c>
      <x:c r="S381" s="3"/>
      <x:c r="T381" s="8" t="s">
        <x:v>63</x:v>
      </x:c>
      <x:c r="U381" s="1" t="s">
        <x:v>4658</x:v>
      </x:c>
      <x:c r="V381" s="13">
        <x:v>5</x:v>
      </x:c>
      <x:c r="W381" s="1" t="s">
        <x:v>65</x:v>
      </x:c>
      <x:c r="X381" s="8" t="s">
        <x:v>66</x:v>
      </x:c>
      <x:c r="Y381" s="1" t="str">
        <x:v>Проверено автором исследования</x:v>
      </x:c>
      <x:c r="Z381" s="8" t="s">
        <x:v>4669</x:v>
      </x:c>
      <x:c r="AA381" s="1" t="s">
        <x:v>4659</x:v>
      </x:c>
      <x:c r="AB381" s="13">
        <x:v>2025</x:v>
      </x:c>
      <x:c r="AC381" s="3">
        <x:v>46322</x:v>
      </x:c>
      <x:c r="AD381" s="8" t="s">
        <x:v>69</x:v>
      </x:c>
      <x:c r="AE381" s="1" t="s">
        <x:v>4670</x:v>
      </x:c>
      <x:c r="AF381" s="8" t="s">
        <x:v>118</x:v>
      </x:c>
      <x:c r="AG381" s="1" t="s">
        <x:v>4660</x:v>
      </x:c>
      <x:c r="AH381" s="8" t="str">
        <x:v>Краткая затекстовая ссылка; повторная документальная сверка выполнена</x:v>
      </x:c>
      <x:c r="AI381" s="1"/>
      <x:c r="AJ381" s="17"/>
      <x:c r="AK381" s="1" t="s">
        <x:v>73</x:v>
      </x:c>
      <x:c r="AL381" s="8" t="s">
        <x:v>74</x:v>
      </x:c>
      <x:c r="AM381" s="1"/>
      <x:c r="AN381" s="8" t="s">
        <x:v>75</x:v>
      </x:c>
      <x:c r="AO381" s="1" t="s">
        <x:v>76</x:v>
      </x:c>
      <x:c r="AP381" s="8"/>
      <x:c r="AQ381" s="1" t="s">
        <x:v>77</x:v>
      </x:c>
      <x:c r="AR381" s="8" t="str">
        <x:v>Проверка автором исследования</x:v>
      </x:c>
      <x:c r="AS381" s="1" t="s">
        <x:v>4671</x:v>
      </x:c>
      <x:c r="AT381" s="8" t="s">
        <x:v>4672</x:v>
      </x:c>
      <x:c r="AU381" s="1" t="s">
        <x:v>4673</x:v>
      </x:c>
      <x:c r="AV381" s="17">
        <x:v>46321</x:v>
      </x:c>
      <x:c r="AW381" s="1" t="s">
        <x:v>81</x:v>
      </x:c>
      <x:c r="AX381" s="8" t="s">
        <x:v>82</x:v>
      </x:c>
      <x:c r="AY381" s="8"/>
    </x:row>
    <x:row r="382" ht="140.10000610351562" customHeight="1">
      <x:c r="A382" s="1" t="s">
        <x:v>4674</x:v>
      </x:c>
      <x:c r="B382" s="8" t="s">
        <x:v>4675</x:v>
      </x:c>
      <x:c r="C382" s="1" t="s">
        <x:v>4676</x:v>
      </x:c>
      <x:c r="D382" s="8" t="s">
        <x:v>53</x:v>
      </x:c>
      <x:c r="E382" s="1" t="s">
        <x:v>54</x:v>
      </x:c>
      <x:c r="F382" s="8" t="s">
        <x:v>4677</x:v>
      </x:c>
      <x:c r="G382" s="1" t="s">
        <x:v>4678</x:v>
      </x:c>
      <x:c r="H382" s="8" t="s">
        <x:v>4281</x:v>
      </x:c>
      <x:c r="I382" s="4">
        <x:v>2022</x:v>
      </x:c>
      <x:c r="J382" s="8" t="s">
        <x:v>340</x:v>
      </x:c>
      <x:c r="K382" s="1" t="s">
        <x:v>931</x:v>
      </x:c>
      <x:c r="L382" s="8" t="s">
        <x:v>4679</x:v>
      </x:c>
      <x:c r="M382" s="1" t="s">
        <x:v>61</x:v>
      </x:c>
      <x:c r="N382" s="8"/>
      <x:c r="O382" s="1"/>
      <x:c r="P382" s="8"/>
      <x:c r="Q382" s="1"/>
      <x:c r="R382" s="8" t="s">
        <x:v>4680</x:v>
      </x:c>
      <x:c r="S382" s="3"/>
      <x:c r="T382" s="8" t="s">
        <x:v>63</x:v>
      </x:c>
      <x:c r="U382" s="1" t="s">
        <x:v>4681</x:v>
      </x:c>
      <x:c r="V382" s="13">
        <x:v>18</x:v>
      </x:c>
      <x:c r="W382" s="1" t="s">
        <x:v>242</x:v>
      </x:c>
      <x:c r="X382" s="8" t="s">
        <x:v>66</x:v>
      </x:c>
      <x:c r="Y382" s="1" t="str">
        <x:v>Проверено автором; дополнительно проверено Михаилом Саяпиным</x:v>
      </x:c>
      <x:c r="Z382" s="8" t="s">
        <x:v>4682</x:v>
      </x:c>
      <x:c r="AA382" s="1" t="s">
        <x:v>4683</x:v>
      </x:c>
      <x:c r="AB382" s="13">
        <x:v>2026</x:v>
      </x:c>
      <x:c r="AC382" s="3">
        <x:v>46322</x:v>
      </x:c>
      <x:c r="AD382" s="8" t="s">
        <x:v>69</x:v>
      </x:c>
      <x:c r="AE382" s="1" t="s">
        <x:v>4684</x:v>
      </x:c>
      <x:c r="AF382" s="8" t="s">
        <x:v>118</x:v>
      </x:c>
      <x:c r="AG382" s="1" t="s">
        <x:v>4685</x:v>
      </x:c>
      <x:c r="AH382" s="8" t="s">
        <x:v>144</x:v>
      </x:c>
      <x:c r="AI382" s="1" t="s">
        <x:v>145</x:v>
      </x:c>
      <x:c r="AJ382" s="17">
        <x:v>46323</x:v>
      </x:c>
      <x:c r="AK382" s="1" t="s">
        <x:v>73</x:v>
      </x:c>
      <x:c r="AL382" s="8" t="s">
        <x:v>74</x:v>
      </x:c>
      <x:c r="AM382" s="1"/>
      <x:c r="AN382" s="8" t="s">
        <x:v>75</x:v>
      </x:c>
      <x:c r="AO382" s="1" t="s">
        <x:v>76</x:v>
      </x:c>
      <x:c r="AP382" s="8"/>
      <x:c r="AQ382" s="1" t="s">
        <x:v>77</x:v>
      </x:c>
      <x:c r="AR382" s="8" t="str">
        <x:v>Проверка автором исследования; дополнительная проверка Михаилом Саяпиным; согласование 28.10.2026</x:v>
      </x:c>
      <x:c r="AS382" s="1" t="s">
        <x:v>4686</x:v>
      </x:c>
      <x:c r="AT382" s="8" t="s">
        <x:v>4687</x:v>
      </x:c>
      <x:c r="AU382" s="1" t="s">
        <x:v>4688</x:v>
      </x:c>
      <x:c r="AV382" s="17">
        <x:v>46321</x:v>
      </x:c>
      <x:c r="AW382" s="1" t="s">
        <x:v>81</x:v>
      </x:c>
      <x:c r="AX382" s="8" t="s">
        <x:v>146</x:v>
      </x:c>
      <x:c r="AY382" s="8" t="s">
        <x:v>4689</x:v>
      </x:c>
    </x:row>
    <x:row r="383" ht="98.0999984741211" customHeight="1">
      <x:c r="A383" s="1" t="s">
        <x:v>4690</x:v>
      </x:c>
      <x:c r="B383" s="8" t="s">
        <x:v>4691</x:v>
      </x:c>
      <x:c r="C383" s="1" t="s">
        <x:v>4692</x:v>
      </x:c>
      <x:c r="D383" s="8" t="s">
        <x:v>53</x:v>
      </x:c>
      <x:c r="E383" s="1" t="s">
        <x:v>54</x:v>
      </x:c>
      <x:c r="F383" s="8" t="s">
        <x:v>4693</x:v>
      </x:c>
      <x:c r="G383" s="1" t="s">
        <x:v>4694</x:v>
      </x:c>
      <x:c r="H383" s="8" t="s">
        <x:v>4695</x:v>
      </x:c>
      <x:c r="I383" s="4">
        <x:v>2023</x:v>
      </x:c>
      <x:c r="J383" s="8" t="s">
        <x:v>537</x:v>
      </x:c>
      <x:c r="K383" s="1" t="s">
        <x:v>239</x:v>
      </x:c>
      <x:c r="L383" s="8" t="s">
        <x:v>182</x:v>
      </x:c>
      <x:c r="M383" s="1" t="s">
        <x:v>61</x:v>
      </x:c>
      <x:c r="N383" s="8"/>
      <x:c r="O383" s="1"/>
      <x:c r="P383" s="8"/>
      <x:c r="Q383" s="1"/>
      <x:c r="R383" s="8" t="s">
        <x:v>4696</x:v>
      </x:c>
      <x:c r="S383" s="3"/>
      <x:c r="T383" s="8" t="s">
        <x:v>63</x:v>
      </x:c>
      <x:c r="U383" s="1" t="s">
        <x:v>4697</x:v>
      </x:c>
      <x:c r="V383" s="13">
        <x:v>32</x:v>
      </x:c>
      <x:c r="W383" s="1" t="s">
        <x:v>65</x:v>
      </x:c>
      <x:c r="X383" s="8" t="s">
        <x:v>66</x:v>
      </x:c>
      <x:c r="Y383" s="1" t="str">
        <x:v>Проверено автором исследования</x:v>
      </x:c>
      <x:c r="Z383" s="8" t="s">
        <x:v>4698</x:v>
      </x:c>
      <x:c r="AA383" s="1" t="s">
        <x:v>4699</x:v>
      </x:c>
      <x:c r="AB383" s="13">
        <x:v>2026</x:v>
      </x:c>
      <x:c r="AC383" s="3">
        <x:v>46322</x:v>
      </x:c>
      <x:c r="AD383" s="8" t="s">
        <x:v>69</x:v>
      </x:c>
      <x:c r="AE383" s="1" t="s">
        <x:v>4700</x:v>
      </x:c>
      <x:c r="AF383" s="8" t="s">
        <x:v>118</x:v>
      </x:c>
      <x:c r="AG383" s="1" t="s">
        <x:v>4701</x:v>
      </x:c>
      <x:c r="AH383" s="8" t="str">
        <x:v>Краткая затекстовая ссылка; повторная документальная сверка выполнена</x:v>
      </x:c>
      <x:c r="AI383" s="1"/>
      <x:c r="AJ383" s="17"/>
      <x:c r="AK383" s="1" t="s">
        <x:v>73</x:v>
      </x:c>
      <x:c r="AL383" s="8" t="s">
        <x:v>74</x:v>
      </x:c>
      <x:c r="AM383" s="1"/>
      <x:c r="AN383" s="8" t="s">
        <x:v>75</x:v>
      </x:c>
      <x:c r="AO383" s="1" t="s">
        <x:v>76</x:v>
      </x:c>
      <x:c r="AP383" s="8"/>
      <x:c r="AQ383" s="1" t="s">
        <x:v>77</x:v>
      </x:c>
      <x:c r="AR383" s="8" t="str">
        <x:v>Проверка автором исследования</x:v>
      </x:c>
      <x:c r="AS383" s="1" t="s">
        <x:v>4702</x:v>
      </x:c>
      <x:c r="AT383" s="8" t="s">
        <x:v>4703</x:v>
      </x:c>
      <x:c r="AU383" s="1" t="s">
        <x:v>4704</x:v>
      </x:c>
      <x:c r="AV383" s="17">
        <x:v>46321</x:v>
      </x:c>
      <x:c r="AW383" s="1" t="s">
        <x:v>81</x:v>
      </x:c>
      <x:c r="AX383" s="8" t="s">
        <x:v>82</x:v>
      </x:c>
      <x:c r="AY383" s="8"/>
    </x:row>
    <x:row r="384" ht="69.94999694824219" customHeight="1">
      <x:c r="A384" s="1" t="s">
        <x:v>4705</x:v>
      </x:c>
      <x:c r="B384" s="8" t="s">
        <x:v>4706</x:v>
      </x:c>
      <x:c r="C384" s="1" t="s">
        <x:v>4707</x:v>
      </x:c>
      <x:c r="D384" s="8" t="s">
        <x:v>53</x:v>
      </x:c>
      <x:c r="E384" s="1" t="s">
        <x:v>54</x:v>
      </x:c>
      <x:c r="F384" s="8" t="s">
        <x:v>4708</x:v>
      </x:c>
      <x:c r="G384" s="1" t="s">
        <x:v>4709</x:v>
      </x:c>
      <x:c r="H384" s="8" t="s">
        <x:v>4710</x:v>
      </x:c>
      <x:c r="I384" s="4">
        <x:v>2025</x:v>
      </x:c>
      <x:c r="J384" s="8"/>
      <x:c r="K384" s="1" t="s">
        <x:v>4711</x:v>
      </x:c>
      <x:c r="L384" s="8" t="s">
        <x:v>4712</x:v>
      </x:c>
      <x:c r="M384" s="1" t="s">
        <x:v>61</x:v>
      </x:c>
      <x:c r="N384" s="8"/>
      <x:c r="O384" s="1"/>
      <x:c r="P384" s="8"/>
      <x:c r="Q384" s="1"/>
      <x:c r="R384" s="8" t="s">
        <x:v>4713</x:v>
      </x:c>
      <x:c r="S384" s="3"/>
      <x:c r="T384" s="8" t="s">
        <x:v>63</x:v>
      </x:c>
      <x:c r="U384" s="1" t="s">
        <x:v>4714</x:v>
      </x:c>
      <x:c r="V384" s="13">
        <x:v>21</x:v>
      </x:c>
      <x:c r="W384" s="1" t="s">
        <x:v>65</x:v>
      </x:c>
      <x:c r="X384" s="8" t="s">
        <x:v>66</x:v>
      </x:c>
      <x:c r="Y384" s="1" t="str">
        <x:v>Проверено автором исследования</x:v>
      </x:c>
      <x:c r="Z384" s="8" t="s">
        <x:v>4715</x:v>
      </x:c>
      <x:c r="AA384" s="1" t="s">
        <x:v>4716</x:v>
      </x:c>
      <x:c r="AB384" s="13">
        <x:v>2026</x:v>
      </x:c>
      <x:c r="AC384" s="3">
        <x:v>46322</x:v>
      </x:c>
      <x:c r="AD384" s="8" t="s">
        <x:v>69</x:v>
      </x:c>
      <x:c r="AE384" s="1"/>
      <x:c r="AF384" s="8" t="s">
        <x:v>118</x:v>
      </x:c>
      <x:c r="AG384" s="1" t="s">
        <x:v>4717</x:v>
      </x:c>
      <x:c r="AH384" s="8" t="str">
        <x:v>Краткая затекстовая ссылка; повторная документальная сверка выполнена</x:v>
      </x:c>
      <x:c r="AI384" s="1"/>
      <x:c r="AJ384" s="17"/>
      <x:c r="AK384" s="1" t="s">
        <x:v>73</x:v>
      </x:c>
      <x:c r="AL384" s="8" t="s">
        <x:v>74</x:v>
      </x:c>
      <x:c r="AM384" s="1"/>
      <x:c r="AN384" s="8" t="s">
        <x:v>75</x:v>
      </x:c>
      <x:c r="AO384" s="1" t="s">
        <x:v>76</x:v>
      </x:c>
      <x:c r="AP384" s="8"/>
      <x:c r="AQ384" s="1" t="s">
        <x:v>77</x:v>
      </x:c>
      <x:c r="AR384" s="8" t="str">
        <x:v>Проверка автором исследования</x:v>
      </x:c>
      <x:c r="AS384" s="1" t="s">
        <x:v>4718</x:v>
      </x:c>
      <x:c r="AT384" s="8" t="s">
        <x:v>4719</x:v>
      </x:c>
      <x:c r="AU384" s="1" t="s">
        <x:v>4720</x:v>
      </x:c>
      <x:c r="AV384" s="17">
        <x:v>46321</x:v>
      </x:c>
      <x:c r="AW384" s="1" t="s">
        <x:v>81</x:v>
      </x:c>
      <x:c r="AX384" s="8" t="s">
        <x:v>82</x:v>
      </x:c>
      <x:c r="AY384" s="8"/>
    </x:row>
    <x:row r="385" ht="84" customHeight="1">
      <x:c r="A385" s="1" t="s">
        <x:v>4721</x:v>
      </x:c>
      <x:c r="B385" s="8" t="s">
        <x:v>4722</x:v>
      </x:c>
      <x:c r="C385" s="1" t="s">
        <x:v>4723</x:v>
      </x:c>
      <x:c r="D385" s="8" t="s">
        <x:v>53</x:v>
      </x:c>
      <x:c r="E385" s="1" t="s">
        <x:v>54</x:v>
      </x:c>
      <x:c r="F385" s="8" t="s">
        <x:v>4724</x:v>
      </x:c>
      <x:c r="G385" s="1" t="s">
        <x:v>4725</x:v>
      </x:c>
      <x:c r="H385" s="8" t="s">
        <x:v>484</x:v>
      </x:c>
      <x:c r="I385" s="4">
        <x:v>2020</x:v>
      </x:c>
      <x:c r="J385" s="8" t="s">
        <x:v>59</x:v>
      </x:c>
      <x:c r="K385" s="1" t="s">
        <x:v>190</x:v>
      </x:c>
      <x:c r="L385" s="8" t="s">
        <x:v>4726</x:v>
      </x:c>
      <x:c r="M385" s="1" t="s">
        <x:v>61</x:v>
      </x:c>
      <x:c r="N385" s="8"/>
      <x:c r="O385" s="1"/>
      <x:c r="P385" s="8"/>
      <x:c r="Q385" s="1"/>
      <x:c r="R385" s="8" t="s">
        <x:v>4727</x:v>
      </x:c>
      <x:c r="S385" s="3"/>
      <x:c r="T385" s="8" t="s">
        <x:v>63</x:v>
      </x:c>
      <x:c r="U385" s="1" t="s">
        <x:v>4728</x:v>
      </x:c>
      <x:c r="V385" s="13">
        <x:v>13</x:v>
      </x:c>
      <x:c r="W385" s="1" t="s">
        <x:v>65</x:v>
      </x:c>
      <x:c r="X385" s="8" t="s">
        <x:v>66</x:v>
      </x:c>
      <x:c r="Y385" s="1" t="str">
        <x:v>Проверено автором исследования</x:v>
      </x:c>
      <x:c r="Z385" s="8" t="s">
        <x:v>4729</x:v>
      </x:c>
      <x:c r="AA385" s="1" t="s">
        <x:v>4730</x:v>
      </x:c>
      <x:c r="AB385" s="13">
        <x:v>2026</x:v>
      </x:c>
      <x:c r="AC385" s="3">
        <x:v>46322</x:v>
      </x:c>
      <x:c r="AD385" s="8" t="s">
        <x:v>69</x:v>
      </x:c>
      <x:c r="AE385" s="1" t="s">
        <x:v>4731</x:v>
      </x:c>
      <x:c r="AF385" s="8" t="s">
        <x:v>118</x:v>
      </x:c>
      <x:c r="AG385" s="1" t="s">
        <x:v>4732</x:v>
      </x:c>
      <x:c r="AH385" s="8" t="str">
        <x:v>Краткая затекстовая ссылка; повторная документальная сверка выполнена</x:v>
      </x:c>
      <x:c r="AI385" s="1"/>
      <x:c r="AJ385" s="17"/>
      <x:c r="AK385" s="1" t="s">
        <x:v>73</x:v>
      </x:c>
      <x:c r="AL385" s="8" t="s">
        <x:v>74</x:v>
      </x:c>
      <x:c r="AM385" s="1"/>
      <x:c r="AN385" s="8" t="s">
        <x:v>75</x:v>
      </x:c>
      <x:c r="AO385" s="1" t="s">
        <x:v>76</x:v>
      </x:c>
      <x:c r="AP385" s="8"/>
      <x:c r="AQ385" s="1" t="s">
        <x:v>77</x:v>
      </x:c>
      <x:c r="AR385" s="8" t="str">
        <x:v>Проверка автором исследования</x:v>
      </x:c>
      <x:c r="AS385" s="1" t="s">
        <x:v>4733</x:v>
      </x:c>
      <x:c r="AT385" s="8" t="s">
        <x:v>484</x:v>
      </x:c>
      <x:c r="AU385" s="1" t="s">
        <x:v>4734</x:v>
      </x:c>
      <x:c r="AV385" s="17">
        <x:v>46321</x:v>
      </x:c>
      <x:c r="AW385" s="1" t="s">
        <x:v>81</x:v>
      </x:c>
      <x:c r="AX385" s="8" t="s">
        <x:v>82</x:v>
      </x:c>
      <x:c r="AY385" s="8"/>
    </x:row>
    <x:row r="386" ht="126" customHeight="1">
      <x:c r="A386" s="1" t="s">
        <x:v>4735</x:v>
      </x:c>
      <x:c r="B386" s="8" t="s">
        <x:v>4736</x:v>
      </x:c>
      <x:c r="C386" s="1" t="s">
        <x:v>4737</x:v>
      </x:c>
      <x:c r="D386" s="8" t="s">
        <x:v>53</x:v>
      </x:c>
      <x:c r="E386" s="1" t="s">
        <x:v>54</x:v>
      </x:c>
      <x:c r="F386" s="8" t="s">
        <x:v>4738</x:v>
      </x:c>
      <x:c r="G386" s="1" t="s">
        <x:v>4739</x:v>
      </x:c>
      <x:c r="H386" s="8" t="s">
        <x:v>4740</x:v>
      </x:c>
      <x:c r="I386" s="4">
        <x:v>2023</x:v>
      </x:c>
      <x:c r="J386" s="8" t="s">
        <x:v>190</x:v>
      </x:c>
      <x:c r="K386" s="1" t="s">
        <x:v>182</x:v>
      </x:c>
      <x:c r="L386" s="8" t="s">
        <x:v>4741</x:v>
      </x:c>
      <x:c r="M386" s="1" t="s">
        <x:v>61</x:v>
      </x:c>
      <x:c r="N386" s="8"/>
      <x:c r="O386" s="1"/>
      <x:c r="P386" s="8"/>
      <x:c r="Q386" s="1"/>
      <x:c r="R386" s="8" t="s">
        <x:v>4742</x:v>
      </x:c>
      <x:c r="S386" s="3"/>
      <x:c r="T386" s="8" t="s">
        <x:v>63</x:v>
      </x:c>
      <x:c r="U386" s="1" t="s">
        <x:v>4743</x:v>
      </x:c>
      <x:c r="V386" s="13">
        <x:v>25</x:v>
      </x:c>
      <x:c r="W386" s="1" t="s">
        <x:v>65</x:v>
      </x:c>
      <x:c r="X386" s="8" t="s">
        <x:v>66</x:v>
      </x:c>
      <x:c r="Y386" s="1" t="str">
        <x:v>Проверено автором исследования</x:v>
      </x:c>
      <x:c r="Z386" s="8" t="s">
        <x:v>4744</x:v>
      </x:c>
      <x:c r="AA386" s="1" t="s">
        <x:v>4745</x:v>
      </x:c>
      <x:c r="AB386" s="13">
        <x:v>2026</x:v>
      </x:c>
      <x:c r="AC386" s="3">
        <x:v>46322</x:v>
      </x:c>
      <x:c r="AD386" s="8" t="s">
        <x:v>69</x:v>
      </x:c>
      <x:c r="AE386" s="1" t="s">
        <x:v>4746</x:v>
      </x:c>
      <x:c r="AF386" s="8" t="s">
        <x:v>71</x:v>
      </x:c>
      <x:c r="AG386" s="1" t="s">
        <x:v>4747</x:v>
      </x:c>
      <x:c r="AH386" s="8" t="str">
        <x:v>Краткая затекстовая ссылка; повторная документальная сверка выполнена</x:v>
      </x:c>
      <x:c r="AI386" s="1"/>
      <x:c r="AJ386" s="17"/>
      <x:c r="AK386" s="1" t="s">
        <x:v>73</x:v>
      </x:c>
      <x:c r="AL386" s="8" t="s">
        <x:v>74</x:v>
      </x:c>
      <x:c r="AM386" s="1"/>
      <x:c r="AN386" s="8" t="s">
        <x:v>75</x:v>
      </x:c>
      <x:c r="AO386" s="1" t="s">
        <x:v>76</x:v>
      </x:c>
      <x:c r="AP386" s="8"/>
      <x:c r="AQ386" s="1" t="s">
        <x:v>77</x:v>
      </x:c>
      <x:c r="AR386" s="8" t="str">
        <x:v>Проверка автором исследования</x:v>
      </x:c>
      <x:c r="AS386" s="1" t="s">
        <x:v>4748</x:v>
      </x:c>
      <x:c r="AT386" s="8" t="s">
        <x:v>4749</x:v>
      </x:c>
      <x:c r="AU386" s="1" t="s">
        <x:v>4750</x:v>
      </x:c>
      <x:c r="AV386" s="17">
        <x:v>46321</x:v>
      </x:c>
      <x:c r="AW386" s="1" t="s">
        <x:v>81</x:v>
      </x:c>
      <x:c r="AX386" s="8" t="s">
        <x:v>82</x:v>
      </x:c>
      <x:c r="AY386" s="8"/>
    </x:row>
    <x:row r="387" ht="126" customHeight="1">
      <x:c r="A387" s="1" t="s">
        <x:v>4751</x:v>
      </x:c>
      <x:c r="B387" s="8" t="s">
        <x:v>4752</x:v>
      </x:c>
      <x:c r="C387" s="1" t="s">
        <x:v>4753</x:v>
      </x:c>
      <x:c r="D387" s="8" t="s">
        <x:v>53</x:v>
      </x:c>
      <x:c r="E387" s="1" t="s">
        <x:v>54</x:v>
      </x:c>
      <x:c r="F387" s="8" t="s">
        <x:v>4754</x:v>
      </x:c>
      <x:c r="G387" s="1" t="s">
        <x:v>4755</x:v>
      </x:c>
      <x:c r="H387" s="8" t="s">
        <x:v>4756</x:v>
      </x:c>
      <x:c r="I387" s="4">
        <x:v>2023</x:v>
      </x:c>
      <x:c r="J387" s="8"/>
      <x:c r="K387" s="1" t="s">
        <x:v>182</x:v>
      </x:c>
      <x:c r="L387" s="8" t="s">
        <x:v>4757</x:v>
      </x:c>
      <x:c r="M387" s="1" t="s">
        <x:v>61</x:v>
      </x:c>
      <x:c r="N387" s="8"/>
      <x:c r="O387" s="1"/>
      <x:c r="P387" s="8"/>
      <x:c r="Q387" s="1"/>
      <x:c r="R387" s="8" t="s">
        <x:v>4758</x:v>
      </x:c>
      <x:c r="S387" s="3"/>
      <x:c r="T387" s="8" t="s">
        <x:v>63</x:v>
      </x:c>
      <x:c r="U387" s="1" t="s">
        <x:v>4759</x:v>
      </x:c>
      <x:c r="V387" s="13">
        <x:v>20</x:v>
      </x:c>
      <x:c r="W387" s="1" t="s">
        <x:v>65</x:v>
      </x:c>
      <x:c r="X387" s="8" t="s">
        <x:v>66</x:v>
      </x:c>
      <x:c r="Y387" s="1" t="str">
        <x:v>Проверено автором исследования</x:v>
      </x:c>
      <x:c r="Z387" s="8" t="s">
        <x:v>4760</x:v>
      </x:c>
      <x:c r="AA387" s="1" t="s">
        <x:v>4761</x:v>
      </x:c>
      <x:c r="AB387" s="13">
        <x:v>2026</x:v>
      </x:c>
      <x:c r="AC387" s="3">
        <x:v>46322</x:v>
      </x:c>
      <x:c r="AD387" s="8" t="s">
        <x:v>69</x:v>
      </x:c>
      <x:c r="AE387" s="1" t="s">
        <x:v>4762</x:v>
      </x:c>
      <x:c r="AF387" s="8" t="s">
        <x:v>118</x:v>
      </x:c>
      <x:c r="AG387" s="1" t="s">
        <x:v>4763</x:v>
      </x:c>
      <x:c r="AH387" s="8" t="str">
        <x:v>Краткая затекстовая ссылка; повторная документальная сверка выполнена</x:v>
      </x:c>
      <x:c r="AI387" s="1"/>
      <x:c r="AJ387" s="17"/>
      <x:c r="AK387" s="1" t="s">
        <x:v>73</x:v>
      </x:c>
      <x:c r="AL387" s="8" t="s">
        <x:v>74</x:v>
      </x:c>
      <x:c r="AM387" s="1"/>
      <x:c r="AN387" s="8" t="s">
        <x:v>75</x:v>
      </x:c>
      <x:c r="AO387" s="1" t="s">
        <x:v>76</x:v>
      </x:c>
      <x:c r="AP387" s="8"/>
      <x:c r="AQ387" s="1" t="s">
        <x:v>77</x:v>
      </x:c>
      <x:c r="AR387" s="8" t="str">
        <x:v>Проверка автором исследования</x:v>
      </x:c>
      <x:c r="AS387" s="1" t="s">
        <x:v>4764</x:v>
      </x:c>
      <x:c r="AT387" s="8" t="s">
        <x:v>4765</x:v>
      </x:c>
      <x:c r="AU387" s="1" t="s">
        <x:v>4766</x:v>
      </x:c>
      <x:c r="AV387" s="17">
        <x:v>46321</x:v>
      </x:c>
      <x:c r="AW387" s="1" t="s">
        <x:v>81</x:v>
      </x:c>
      <x:c r="AX387" s="8" t="s">
        <x:v>82</x:v>
      </x:c>
      <x:c r="AY387" s="8"/>
    </x:row>
    <x:row r="388" ht="69.94999694824219" customHeight="1">
      <x:c r="A388" s="1" t="s">
        <x:v>4767</x:v>
      </x:c>
      <x:c r="B388" s="8" t="s">
        <x:v>4768</x:v>
      </x:c>
      <x:c r="C388" s="1" t="s">
        <x:v>4769</x:v>
      </x:c>
      <x:c r="D388" s="8" t="s">
        <x:v>73</x:v>
      </x:c>
      <x:c r="E388" s="1" t="s">
        <x:v>76</x:v>
      </x:c>
      <x:c r="F388" s="8" t="s">
        <x:v>4770</x:v>
      </x:c>
      <x:c r="G388" s="1" t="s">
        <x:v>4771</x:v>
      </x:c>
      <x:c r="H388" s="8" t="s">
        <x:v>4772</x:v>
      </x:c>
      <x:c r="I388" s="4">
        <x:v>2010</x:v>
      </x:c>
      <x:c r="J388" s="8"/>
      <x:c r="K388" s="1" t="s">
        <x:v>975</x:v>
      </x:c>
      <x:c r="L388" s="8" t="s">
        <x:v>4773</x:v>
      </x:c>
      <x:c r="M388" s="1" t="s">
        <x:v>61</x:v>
      </x:c>
      <x:c r="N388" s="8"/>
      <x:c r="O388" s="1"/>
      <x:c r="P388" s="8"/>
      <x:c r="Q388" s="1"/>
      <x:c r="R388" s="8"/>
      <x:c r="S388" s="3"/>
      <x:c r="T388" s="8" t="s">
        <x:v>63</x:v>
      </x:c>
      <x:c r="U388" s="1" t="s">
        <x:v>4774</x:v>
      </x:c>
      <x:c r="V388" s="13">
        <x:v>3</x:v>
      </x:c>
      <x:c r="W388" s="1" t="s">
        <x:v>65</x:v>
      </x:c>
      <x:c r="X388" s="8" t="s">
        <x:v>66</x:v>
      </x:c>
      <x:c r="Y388" s="1" t="str">
        <x:v>Проверено автором исследования</x:v>
      </x:c>
      <x:c r="Z388" s="8"/>
      <x:c r="AA388" s="1" t="s">
        <x:v>4775</x:v>
      </x:c>
      <x:c r="AB388" s="13">
        <x:v>2026</x:v>
      </x:c>
      <x:c r="AC388" s="3"/>
      <x:c r="AD388" s="8" t="s">
        <x:v>93</x:v>
      </x:c>
      <x:c r="AE388" s="1" t="s">
        <x:v>4776</x:v>
      </x:c>
      <x:c r="AF388" s="8" t="s">
        <x:v>118</x:v>
      </x:c>
      <x:c r="AG388" s="1" t="s">
        <x:v>4777</x:v>
      </x:c>
      <x:c r="AH388" s="8" t="str">
        <x:v>Краткая затекстовая ссылка; повторная документальная сверка выполнена</x:v>
      </x:c>
      <x:c r="AI388" s="1"/>
      <x:c r="AJ388" s="17"/>
      <x:c r="AK388" s="1" t="s">
        <x:v>73</x:v>
      </x:c>
      <x:c r="AL388" s="8" t="s">
        <x:v>74</x:v>
      </x:c>
      <x:c r="AM388" s="1"/>
      <x:c r="AN388" s="8" t="s">
        <x:v>95</x:v>
      </x:c>
      <x:c r="AO388" s="1" t="s">
        <x:v>76</x:v>
      </x:c>
      <x:c r="AP388" s="8"/>
      <x:c r="AQ388" s="1" t="s">
        <x:v>77</x:v>
      </x:c>
      <x:c r="AR388" s="8" t="str">
        <x:v>Проверка автором исследования</x:v>
      </x:c>
      <x:c r="AS388" s="1"/>
      <x:c r="AT388" s="8" t="s">
        <x:v>96</x:v>
      </x:c>
      <x:c r="AU388" s="1" t="s">
        <x:v>97</x:v>
      </x:c>
      <x:c r="AV388" s="17"/>
      <x:c r="AW388" s="1" t="s">
        <x:v>98</x:v>
      </x:c>
      <x:c r="AX388" s="8" t="s">
        <x:v>82</x:v>
      </x:c>
      <x:c r="AY388" s="8"/>
    </x:row>
    <x:row r="389" ht="126" customHeight="1">
      <x:c r="A389" s="1" t="s">
        <x:v>4778</x:v>
      </x:c>
      <x:c r="B389" s="8" t="s">
        <x:v>4779</x:v>
      </x:c>
      <x:c r="C389" s="1" t="s">
        <x:v>4780</x:v>
      </x:c>
      <x:c r="D389" s="8" t="s">
        <x:v>53</x:v>
      </x:c>
      <x:c r="E389" s="1" t="s">
        <x:v>54</x:v>
      </x:c>
      <x:c r="F389" s="8" t="s">
        <x:v>4781</x:v>
      </x:c>
      <x:c r="G389" s="1" t="s">
        <x:v>4782</x:v>
      </x:c>
      <x:c r="H389" s="8" t="s">
        <x:v>4217</x:v>
      </x:c>
      <x:c r="I389" s="4">
        <x:v>2026</x:v>
      </x:c>
      <x:c r="J389" s="8" t="s">
        <x:v>58</x:v>
      </x:c>
      <x:c r="K389" s="1" t="s">
        <x:v>239</x:v>
      </x:c>
      <x:c r="L389" s="8" t="s">
        <x:v>4783</x:v>
      </x:c>
      <x:c r="M389" s="1" t="s">
        <x:v>61</x:v>
      </x:c>
      <x:c r="N389" s="8"/>
      <x:c r="O389" s="1"/>
      <x:c r="P389" s="8"/>
      <x:c r="Q389" s="1"/>
      <x:c r="R389" s="8" t="s">
        <x:v>4784</x:v>
      </x:c>
      <x:c r="S389" s="3"/>
      <x:c r="T389" s="8" t="s">
        <x:v>63</x:v>
      </x:c>
      <x:c r="U389" s="1" t="s">
        <x:v>4774</x:v>
      </x:c>
      <x:c r="V389" s="13">
        <x:v>25</x:v>
      </x:c>
      <x:c r="W389" s="1" t="s">
        <x:v>65</x:v>
      </x:c>
      <x:c r="X389" s="8" t="s">
        <x:v>66</x:v>
      </x:c>
      <x:c r="Y389" s="1" t="str">
        <x:v>Проверено автором исследования</x:v>
      </x:c>
      <x:c r="Z389" s="8" t="s">
        <x:v>4785</x:v>
      </x:c>
      <x:c r="AA389" s="1" t="s">
        <x:v>4775</x:v>
      </x:c>
      <x:c r="AB389" s="13">
        <x:v>2026</x:v>
      </x:c>
      <x:c r="AC389" s="3">
        <x:v>46322</x:v>
      </x:c>
      <x:c r="AD389" s="8" t="s">
        <x:v>69</x:v>
      </x:c>
      <x:c r="AE389" s="1" t="s">
        <x:v>4786</x:v>
      </x:c>
      <x:c r="AF389" s="8" t="s">
        <x:v>118</x:v>
      </x:c>
      <x:c r="AG389" s="1" t="s">
        <x:v>4777</x:v>
      </x:c>
      <x:c r="AH389" s="8" t="str">
        <x:v>Краткая затекстовая ссылка; повторная документальная сверка выполнена</x:v>
      </x:c>
      <x:c r="AI389" s="1"/>
      <x:c r="AJ389" s="17"/>
      <x:c r="AK389" s="1" t="s">
        <x:v>73</x:v>
      </x:c>
      <x:c r="AL389" s="8" t="s">
        <x:v>74</x:v>
      </x:c>
      <x:c r="AM389" s="1"/>
      <x:c r="AN389" s="8" t="s">
        <x:v>75</x:v>
      </x:c>
      <x:c r="AO389" s="1" t="s">
        <x:v>76</x:v>
      </x:c>
      <x:c r="AP389" s="8"/>
      <x:c r="AQ389" s="1" t="s">
        <x:v>77</x:v>
      </x:c>
      <x:c r="AR389" s="8" t="str">
        <x:v>Проверка автором исследования</x:v>
      </x:c>
      <x:c r="AS389" s="1" t="s">
        <x:v>4787</x:v>
      </x:c>
      <x:c r="AT389" s="8" t="s">
        <x:v>4788</x:v>
      </x:c>
      <x:c r="AU389" s="1" t="s">
        <x:v>4789</x:v>
      </x:c>
      <x:c r="AV389" s="17">
        <x:v>46321</x:v>
      </x:c>
      <x:c r="AW389" s="1" t="s">
        <x:v>81</x:v>
      </x:c>
      <x:c r="AX389" s="8" t="s">
        <x:v>82</x:v>
      </x:c>
      <x:c r="AY389" s="8"/>
    </x:row>
    <x:row r="390" ht="126" customHeight="1">
      <x:c r="A390" s="1" t="s">
        <x:v>4790</x:v>
      </x:c>
      <x:c r="B390" s="8" t="s">
        <x:v>4791</x:v>
      </x:c>
      <x:c r="C390" s="1" t="s">
        <x:v>4792</x:v>
      </x:c>
      <x:c r="D390" s="8" t="s">
        <x:v>53</x:v>
      </x:c>
      <x:c r="E390" s="1" t="s">
        <x:v>54</x:v>
      </x:c>
      <x:c r="F390" s="8" t="s">
        <x:v>4793</x:v>
      </x:c>
      <x:c r="G390" s="1" t="s">
        <x:v>4794</x:v>
      </x:c>
      <x:c r="H390" s="8" t="s">
        <x:v>4795</x:v>
      </x:c>
      <x:c r="I390" s="4">
        <x:v>2011</x:v>
      </x:c>
      <x:c r="J390" s="8"/>
      <x:c r="K390" s="1" t="s">
        <x:v>190</x:v>
      </x:c>
      <x:c r="L390" s="8" t="s">
        <x:v>4796</x:v>
      </x:c>
      <x:c r="M390" s="1" t="s">
        <x:v>61</x:v>
      </x:c>
      <x:c r="N390" s="8"/>
      <x:c r="O390" s="1"/>
      <x:c r="P390" s="8"/>
      <x:c r="Q390" s="1"/>
      <x:c r="R390" s="8" t="s">
        <x:v>4797</x:v>
      </x:c>
      <x:c r="S390" s="3">
        <x:v>45913</x:v>
      </x:c>
      <x:c r="T390" s="8" t="s">
        <x:v>63</x:v>
      </x:c>
      <x:c r="U390" s="1" t="s">
        <x:v>4798</x:v>
      </x:c>
      <x:c r="V390" s="13">
        <x:v>6</x:v>
      </x:c>
      <x:c r="W390" s="1" t="s">
        <x:v>65</x:v>
      </x:c>
      <x:c r="X390" s="8" t="s">
        <x:v>66</x:v>
      </x:c>
      <x:c r="Y390" s="1" t="str">
        <x:v>Проверено автором исследования</x:v>
      </x:c>
      <x:c r="Z390" s="8"/>
      <x:c r="AA390" s="1" t="s">
        <x:v>4799</x:v>
      </x:c>
      <x:c r="AB390" s="13">
        <x:v>2026</x:v>
      </x:c>
      <x:c r="AC390" s="3">
        <x:v>46322</x:v>
      </x:c>
      <x:c r="AD390" s="8" t="s">
        <x:v>69</x:v>
      </x:c>
      <x:c r="AE390" s="1"/>
      <x:c r="AF390" s="8" t="s">
        <x:v>71</x:v>
      </x:c>
      <x:c r="AG390" s="1" t="s">
        <x:v>4800</x:v>
      </x:c>
      <x:c r="AH390" s="8" t="str">
        <x:v>Краткая затекстовая ссылка; повторная документальная сверка выполнена</x:v>
      </x:c>
      <x:c r="AI390" s="1"/>
      <x:c r="AJ390" s="17"/>
      <x:c r="AK390" s="1" t="s">
        <x:v>73</x:v>
      </x:c>
      <x:c r="AL390" s="8" t="s">
        <x:v>74</x:v>
      </x:c>
      <x:c r="AM390" s="1"/>
      <x:c r="AN390" s="8" t="s">
        <x:v>75</x:v>
      </x:c>
      <x:c r="AO390" s="1" t="s">
        <x:v>54</x:v>
      </x:c>
      <x:c r="AP390" s="8"/>
      <x:c r="AQ390" s="1" t="s">
        <x:v>77</x:v>
      </x:c>
      <x:c r="AR390" s="8" t="str">
        <x:v>Проверка автором исследования</x:v>
      </x:c>
      <x:c r="AS390" s="1" t="s">
        <x:v>4797</x:v>
      </x:c>
      <x:c r="AT390" s="8" t="s">
        <x:v>4801</x:v>
      </x:c>
      <x:c r="AU390" s="1" t="s">
        <x:v>4802</x:v>
      </x:c>
      <x:c r="AV390" s="17">
        <x:v>45913</x:v>
      </x:c>
      <x:c r="AW390" s="1" t="s">
        <x:v>324</x:v>
      </x:c>
      <x:c r="AX390" s="8" t="s">
        <x:v>82</x:v>
      </x:c>
      <x:c r="AY390" s="8"/>
    </x:row>
    <x:row r="391" ht="98.0999984741211" customHeight="1">
      <x:c r="A391" s="1" t="s">
        <x:v>4803</x:v>
      </x:c>
      <x:c r="B391" s="8" t="s">
        <x:v>4804</x:v>
      </x:c>
      <x:c r="C391" s="1" t="s">
        <x:v>4805</x:v>
      </x:c>
      <x:c r="D391" s="8" t="s">
        <x:v>53</x:v>
      </x:c>
      <x:c r="E391" s="1" t="s">
        <x:v>54</x:v>
      </x:c>
      <x:c r="F391" s="8" t="s">
        <x:v>4806</x:v>
      </x:c>
      <x:c r="G391" s="1" t="s">
        <x:v>4807</x:v>
      </x:c>
      <x:c r="H391" s="8" t="s">
        <x:v>4281</x:v>
      </x:c>
      <x:c r="I391" s="4">
        <x:v>2020</x:v>
      </x:c>
      <x:c r="J391" s="8" t="s">
        <x:v>740</x:v>
      </x:c>
      <x:c r="K391" s="1" t="s">
        <x:v>190</x:v>
      </x:c>
      <x:c r="L391" s="8" t="s">
        <x:v>4808</x:v>
      </x:c>
      <x:c r="M391" s="1" t="s">
        <x:v>61</x:v>
      </x:c>
      <x:c r="N391" s="8"/>
      <x:c r="O391" s="1"/>
      <x:c r="P391" s="8"/>
      <x:c r="Q391" s="1"/>
      <x:c r="R391" s="8" t="s">
        <x:v>4809</x:v>
      </x:c>
      <x:c r="S391" s="3"/>
      <x:c r="T391" s="8" t="s">
        <x:v>63</x:v>
      </x:c>
      <x:c r="U391" s="1" t="s">
        <x:v>4810</x:v>
      </x:c>
      <x:c r="V391" s="13">
        <x:v>3</x:v>
      </x:c>
      <x:c r="W391" s="1" t="s">
        <x:v>65</x:v>
      </x:c>
      <x:c r="X391" s="8" t="s">
        <x:v>66</x:v>
      </x:c>
      <x:c r="Y391" s="1" t="str">
        <x:v>Проверено автором исследования</x:v>
      </x:c>
      <x:c r="Z391" s="8" t="s">
        <x:v>4811</x:v>
      </x:c>
      <x:c r="AA391" s="1" t="s">
        <x:v>4812</x:v>
      </x:c>
      <x:c r="AB391" s="13">
        <x:v>2026</x:v>
      </x:c>
      <x:c r="AC391" s="3">
        <x:v>46322</x:v>
      </x:c>
      <x:c r="AD391" s="8" t="s">
        <x:v>69</x:v>
      </x:c>
      <x:c r="AE391" s="1" t="s">
        <x:v>4813</x:v>
      </x:c>
      <x:c r="AF391" s="8" t="s">
        <x:v>118</x:v>
      </x:c>
      <x:c r="AG391" s="1" t="s">
        <x:v>4814</x:v>
      </x:c>
      <x:c r="AH391" s="8" t="str">
        <x:v>Краткая затекстовая ссылка; повторная документальная сверка выполнена</x:v>
      </x:c>
      <x:c r="AI391" s="1"/>
      <x:c r="AJ391" s="17"/>
      <x:c r="AK391" s="1" t="s">
        <x:v>73</x:v>
      </x:c>
      <x:c r="AL391" s="8" t="s">
        <x:v>74</x:v>
      </x:c>
      <x:c r="AM391" s="1"/>
      <x:c r="AN391" s="8" t="s">
        <x:v>75</x:v>
      </x:c>
      <x:c r="AO391" s="1" t="s">
        <x:v>76</x:v>
      </x:c>
      <x:c r="AP391" s="8"/>
      <x:c r="AQ391" s="1" t="s">
        <x:v>77</x:v>
      </x:c>
      <x:c r="AR391" s="8" t="str">
        <x:v>Проверка автором исследования</x:v>
      </x:c>
      <x:c r="AS391" s="1" t="s">
        <x:v>4815</x:v>
      </x:c>
      <x:c r="AT391" s="8" t="s">
        <x:v>4816</x:v>
      </x:c>
      <x:c r="AU391" s="1" t="s">
        <x:v>4817</x:v>
      </x:c>
      <x:c r="AV391" s="17">
        <x:v>46321</x:v>
      </x:c>
      <x:c r="AW391" s="1" t="s">
        <x:v>81</x:v>
      </x:c>
      <x:c r="AX391" s="8" t="s">
        <x:v>82</x:v>
      </x:c>
      <x:c r="AY391" s="8"/>
    </x:row>
    <x:row r="392" ht="69.94999694824219" customHeight="1">
      <x:c r="A392" s="1" t="s">
        <x:v>4818</x:v>
      </x:c>
      <x:c r="B392" s="8" t="s">
        <x:v>4819</x:v>
      </x:c>
      <x:c r="C392" s="1" t="s">
        <x:v>4820</x:v>
      </x:c>
      <x:c r="D392" s="8" t="s">
        <x:v>73</x:v>
      </x:c>
      <x:c r="E392" s="1" t="s">
        <x:v>76</x:v>
      </x:c>
      <x:c r="F392" s="8" t="s">
        <x:v>4821</x:v>
      </x:c>
      <x:c r="G392" s="1" t="s">
        <x:v>4822</x:v>
      </x:c>
      <x:c r="H392" s="8" t="s">
        <x:v>4524</x:v>
      </x:c>
      <x:c r="I392" s="4">
        <x:v>2019</x:v>
      </x:c>
      <x:c r="J392" s="8"/>
      <x:c r="K392" s="1" t="s">
        <x:v>4823</x:v>
      </x:c>
      <x:c r="L392" s="8" t="s">
        <x:v>1003</x:v>
      </x:c>
      <x:c r="M392" s="1" t="s">
        <x:v>61</x:v>
      </x:c>
      <x:c r="N392" s="8"/>
      <x:c r="O392" s="1"/>
      <x:c r="P392" s="8"/>
      <x:c r="Q392" s="1"/>
      <x:c r="R392" s="8"/>
      <x:c r="S392" s="3"/>
      <x:c r="T392" s="8" t="s">
        <x:v>63</x:v>
      </x:c>
      <x:c r="U392" s="1" t="s">
        <x:v>4810</x:v>
      </x:c>
      <x:c r="V392" s="13">
        <x:v>8</x:v>
      </x:c>
      <x:c r="W392" s="1" t="s">
        <x:v>65</x:v>
      </x:c>
      <x:c r="X392" s="8" t="s">
        <x:v>66</x:v>
      </x:c>
      <x:c r="Y392" s="1" t="str">
        <x:v>Проверено автором исследования</x:v>
      </x:c>
      <x:c r="Z392" s="8"/>
      <x:c r="AA392" s="1" t="s">
        <x:v>4812</x:v>
      </x:c>
      <x:c r="AB392" s="13">
        <x:v>2026</x:v>
      </x:c>
      <x:c r="AC392" s="3"/>
      <x:c r="AD392" s="8" t="s">
        <x:v>93</x:v>
      </x:c>
      <x:c r="AE392" s="1" t="s">
        <x:v>4824</x:v>
      </x:c>
      <x:c r="AF392" s="8" t="s">
        <x:v>118</x:v>
      </x:c>
      <x:c r="AG392" s="1" t="s">
        <x:v>4814</x:v>
      </x:c>
      <x:c r="AH392" s="8" t="str">
        <x:v>Краткая затекстовая ссылка; повторная документальная сверка выполнена</x:v>
      </x:c>
      <x:c r="AI392" s="1"/>
      <x:c r="AJ392" s="17"/>
      <x:c r="AK392" s="1" t="s">
        <x:v>73</x:v>
      </x:c>
      <x:c r="AL392" s="8" t="s">
        <x:v>74</x:v>
      </x:c>
      <x:c r="AM392" s="1"/>
      <x:c r="AN392" s="8" t="s">
        <x:v>95</x:v>
      </x:c>
      <x:c r="AO392" s="1" t="s">
        <x:v>76</x:v>
      </x:c>
      <x:c r="AP392" s="8"/>
      <x:c r="AQ392" s="1" t="s">
        <x:v>77</x:v>
      </x:c>
      <x:c r="AR392" s="8" t="str">
        <x:v>Проверка автором исследования</x:v>
      </x:c>
      <x:c r="AS392" s="1"/>
      <x:c r="AT392" s="8" t="s">
        <x:v>96</x:v>
      </x:c>
      <x:c r="AU392" s="1" t="s">
        <x:v>97</x:v>
      </x:c>
      <x:c r="AV392" s="17"/>
      <x:c r="AW392" s="1" t="s">
        <x:v>98</x:v>
      </x:c>
      <x:c r="AX392" s="8" t="s">
        <x:v>82</x:v>
      </x:c>
      <x:c r="AY392" s="8"/>
    </x:row>
    <x:row r="393" ht="168" customHeight="1">
      <x:c r="A393" s="1" t="s">
        <x:v>4825</x:v>
      </x:c>
      <x:c r="B393" s="8" t="s">
        <x:v>4826</x:v>
      </x:c>
      <x:c r="C393" s="1" t="s">
        <x:v>4827</x:v>
      </x:c>
      <x:c r="D393" s="8" t="s">
        <x:v>53</x:v>
      </x:c>
      <x:c r="E393" s="1" t="s">
        <x:v>54</x:v>
      </x:c>
      <x:c r="F393" s="8" t="s">
        <x:v>4828</x:v>
      </x:c>
      <x:c r="G393" s="1" t="s">
        <x:v>4829</x:v>
      </x:c>
      <x:c r="H393" s="8" t="s">
        <x:v>4830</x:v>
      </x:c>
      <x:c r="I393" s="4">
        <x:v>2020</x:v>
      </x:c>
      <x:c r="J393" s="8"/>
      <x:c r="K393" s="1" t="s">
        <x:v>4831</x:v>
      </x:c>
      <x:c r="L393" s="8" t="s">
        <x:v>4832</x:v>
      </x:c>
      <x:c r="M393" s="1" t="s">
        <x:v>61</x:v>
      </x:c>
      <x:c r="N393" s="8"/>
      <x:c r="O393" s="1"/>
      <x:c r="P393" s="8"/>
      <x:c r="Q393" s="1"/>
      <x:c r="R393" s="8" t="s">
        <x:v>4833</x:v>
      </x:c>
      <x:c r="S393" s="3"/>
      <x:c r="T393" s="8" t="s">
        <x:v>63</x:v>
      </x:c>
      <x:c r="U393" s="1" t="s">
        <x:v>4834</x:v>
      </x:c>
      <x:c r="V393" s="13">
        <x:v>5</x:v>
      </x:c>
      <x:c r="W393" s="1" t="s">
        <x:v>65</x:v>
      </x:c>
      <x:c r="X393" s="8" t="s">
        <x:v>66</x:v>
      </x:c>
      <x:c r="Y393" s="1" t="str">
        <x:v>Проверено автором исследования</x:v>
      </x:c>
      <x:c r="Z393" s="8" t="s">
        <x:v>4835</x:v>
      </x:c>
      <x:c r="AA393" s="1" t="s">
        <x:v>4836</x:v>
      </x:c>
      <x:c r="AB393" s="13">
        <x:v>2026</x:v>
      </x:c>
      <x:c r="AC393" s="3">
        <x:v>46322</x:v>
      </x:c>
      <x:c r="AD393" s="8" t="s">
        <x:v>69</x:v>
      </x:c>
      <x:c r="AE393" s="1" t="s">
        <x:v>4837</x:v>
      </x:c>
      <x:c r="AF393" s="8" t="s">
        <x:v>118</x:v>
      </x:c>
      <x:c r="AG393" s="1" t="s">
        <x:v>4838</x:v>
      </x:c>
      <x:c r="AH393" s="8" t="str">
        <x:v>Краткая затекстовая ссылка; повторная документальная сверка выполнена</x:v>
      </x:c>
      <x:c r="AI393" s="1"/>
      <x:c r="AJ393" s="17"/>
      <x:c r="AK393" s="1" t="s">
        <x:v>73</x:v>
      </x:c>
      <x:c r="AL393" s="8" t="s">
        <x:v>74</x:v>
      </x:c>
      <x:c r="AM393" s="1"/>
      <x:c r="AN393" s="8" t="s">
        <x:v>75</x:v>
      </x:c>
      <x:c r="AO393" s="1" t="s">
        <x:v>76</x:v>
      </x:c>
      <x:c r="AP393" s="8"/>
      <x:c r="AQ393" s="1" t="s">
        <x:v>77</x:v>
      </x:c>
      <x:c r="AR393" s="8" t="str">
        <x:v>Проверка автором исследования</x:v>
      </x:c>
      <x:c r="AS393" s="1" t="s">
        <x:v>4839</x:v>
      </x:c>
      <x:c r="AT393" s="8" t="s">
        <x:v>4840</x:v>
      </x:c>
      <x:c r="AU393" s="1" t="s">
        <x:v>4841</x:v>
      </x:c>
      <x:c r="AV393" s="17">
        <x:v>46321</x:v>
      </x:c>
      <x:c r="AW393" s="1" t="s">
        <x:v>81</x:v>
      </x:c>
      <x:c r="AX393" s="8" t="s">
        <x:v>82</x:v>
      </x:c>
      <x:c r="AY393" s="8"/>
    </x:row>
    <x:row r="394" ht="69.94999694824219" customHeight="1">
      <x:c r="A394" s="1" t="s">
        <x:v>4842</x:v>
      </x:c>
      <x:c r="B394" s="8" t="s">
        <x:v>4843</x:v>
      </x:c>
      <x:c r="C394" s="1" t="s">
        <x:v>4844</x:v>
      </x:c>
      <x:c r="D394" s="8" t="s">
        <x:v>86</x:v>
      </x:c>
      <x:c r="E394" s="1" t="s">
        <x:v>76</x:v>
      </x:c>
      <x:c r="F394" s="8" t="s">
        <x:v>4845</x:v>
      </x:c>
      <x:c r="G394" s="1" t="s">
        <x:v>4846</x:v>
      </x:c>
      <x:c r="H394" s="8"/>
      <x:c r="I394" s="4">
        <x:v>1996</x:v>
      </x:c>
      <x:c r="J394" s="8"/>
      <x:c r="K394" s="1"/>
      <x:c r="L394" s="8" t="s">
        <x:v>4847</x:v>
      </x:c>
      <x:c r="M394" s="1" t="s">
        <x:v>90</x:v>
      </x:c>
      <x:c r="N394" s="8" t="s">
        <x:v>4360</x:v>
      </x:c>
      <x:c r="O394" s="1" t="s">
        <x:v>92</x:v>
      </x:c>
      <x:c r="P394" s="8"/>
      <x:c r="Q394" s="1" t="s">
        <x:v>4848</x:v>
      </x:c>
      <x:c r="R394" s="8"/>
      <x:c r="S394" s="3"/>
      <x:c r="T394" s="8" t="s">
        <x:v>63</x:v>
      </x:c>
      <x:c r="U394" s="1" t="s">
        <x:v>4849</x:v>
      </x:c>
      <x:c r="V394" s="13">
        <x:v>1</x:v>
      </x:c>
      <x:c r="W394" s="1" t="s">
        <x:v>65</x:v>
      </x:c>
      <x:c r="X394" s="8" t="s">
        <x:v>66</x:v>
      </x:c>
      <x:c r="Y394" s="1" t="str">
        <x:v>Проверено автором исследования</x:v>
      </x:c>
      <x:c r="Z394" s="8"/>
      <x:c r="AA394" s="1" t="s">
        <x:v>4850</x:v>
      </x:c>
      <x:c r="AB394" s="13">
        <x:v>2026</x:v>
      </x:c>
      <x:c r="AC394" s="3"/>
      <x:c r="AD394" s="8" t="s">
        <x:v>93</x:v>
      </x:c>
      <x:c r="AE394" s="1"/>
      <x:c r="AF394" s="8" t="s">
        <x:v>118</x:v>
      </x:c>
      <x:c r="AG394" s="1" t="s">
        <x:v>4851</x:v>
      </x:c>
      <x:c r="AH394" s="8" t="str">
        <x:v>Краткая затекстовая ссылка; повторная документальная сверка выполнена</x:v>
      </x:c>
      <x:c r="AI394" s="1"/>
      <x:c r="AJ394" s="17"/>
      <x:c r="AK394" s="1" t="s">
        <x:v>73</x:v>
      </x:c>
      <x:c r="AL394" s="8" t="s">
        <x:v>74</x:v>
      </x:c>
      <x:c r="AM394" s="1"/>
      <x:c r="AN394" s="8" t="s">
        <x:v>95</x:v>
      </x:c>
      <x:c r="AO394" s="1" t="s">
        <x:v>76</x:v>
      </x:c>
      <x:c r="AP394" s="8"/>
      <x:c r="AQ394" s="1" t="s">
        <x:v>77</x:v>
      </x:c>
      <x:c r="AR394" s="8" t="str">
        <x:v>Проверка автором исследования</x:v>
      </x:c>
      <x:c r="AS394" s="1"/>
      <x:c r="AT394" s="8" t="s">
        <x:v>96</x:v>
      </x:c>
      <x:c r="AU394" s="1" t="s">
        <x:v>97</x:v>
      </x:c>
      <x:c r="AV394" s="17"/>
      <x:c r="AW394" s="1" t="s">
        <x:v>98</x:v>
      </x:c>
      <x:c r="AX394" s="8" t="s">
        <x:v>82</x:v>
      </x:c>
      <x:c r="AY394" s="8"/>
    </x:row>
    <x:row r="395" ht="69.94999694824219" customHeight="1">
      <x:c r="A395" s="1" t="s">
        <x:v>4852</x:v>
      </x:c>
      <x:c r="B395" s="8" t="s">
        <x:v>4853</x:v>
      </x:c>
      <x:c r="C395" s="1" t="s">
        <x:v>4854</x:v>
      </x:c>
      <x:c r="D395" s="8" t="s">
        <x:v>86</x:v>
      </x:c>
      <x:c r="E395" s="1" t="s">
        <x:v>76</x:v>
      </x:c>
      <x:c r="F395" s="8" t="s">
        <x:v>4855</x:v>
      </x:c>
      <x:c r="G395" s="1" t="s">
        <x:v>4856</x:v>
      </x:c>
      <x:c r="H395" s="8"/>
      <x:c r="I395" s="4">
        <x:v>1966</x:v>
      </x:c>
      <x:c r="J395" s="8"/>
      <x:c r="K395" s="1"/>
      <x:c r="L395" s="8" t="s">
        <x:v>4857</x:v>
      </x:c>
      <x:c r="M395" s="1" t="s">
        <x:v>90</x:v>
      </x:c>
      <x:c r="N395" s="8" t="s">
        <x:v>388</x:v>
      </x:c>
      <x:c r="O395" s="1" t="s">
        <x:v>92</x:v>
      </x:c>
      <x:c r="P395" s="8"/>
      <x:c r="Q395" s="1"/>
      <x:c r="R395" s="8"/>
      <x:c r="S395" s="3"/>
      <x:c r="T395" s="8" t="s">
        <x:v>63</x:v>
      </x:c>
      <x:c r="U395" s="1" t="s">
        <x:v>4849</x:v>
      </x:c>
      <x:c r="V395" s="13">
        <x:v>53</x:v>
      </x:c>
      <x:c r="W395" s="1" t="s">
        <x:v>65</x:v>
      </x:c>
      <x:c r="X395" s="8" t="s">
        <x:v>66</x:v>
      </x:c>
      <x:c r="Y395" s="1" t="str">
        <x:v>Проверено автором исследования</x:v>
      </x:c>
      <x:c r="Z395" s="8"/>
      <x:c r="AA395" s="1" t="s">
        <x:v>4850</x:v>
      </x:c>
      <x:c r="AB395" s="13">
        <x:v>2026</x:v>
      </x:c>
      <x:c r="AC395" s="3"/>
      <x:c r="AD395" s="8" t="s">
        <x:v>93</x:v>
      </x:c>
      <x:c r="AE395" s="1"/>
      <x:c r="AF395" s="8" t="s">
        <x:v>118</x:v>
      </x:c>
      <x:c r="AG395" s="1" t="s">
        <x:v>4851</x:v>
      </x:c>
      <x:c r="AH395" s="8" t="str">
        <x:v>Краткая затекстовая ссылка; повторная документальная сверка выполнена</x:v>
      </x:c>
      <x:c r="AI395" s="1"/>
      <x:c r="AJ395" s="17"/>
      <x:c r="AK395" s="1" t="s">
        <x:v>73</x:v>
      </x:c>
      <x:c r="AL395" s="8" t="s">
        <x:v>74</x:v>
      </x:c>
      <x:c r="AM395" s="1"/>
      <x:c r="AN395" s="8" t="s">
        <x:v>95</x:v>
      </x:c>
      <x:c r="AO395" s="1" t="s">
        <x:v>76</x:v>
      </x:c>
      <x:c r="AP395" s="8"/>
      <x:c r="AQ395" s="1" t="s">
        <x:v>77</x:v>
      </x:c>
      <x:c r="AR395" s="8" t="str">
        <x:v>Проверка автором исследования</x:v>
      </x:c>
      <x:c r="AS395" s="1"/>
      <x:c r="AT395" s="8" t="s">
        <x:v>96</x:v>
      </x:c>
      <x:c r="AU395" s="1" t="s">
        <x:v>97</x:v>
      </x:c>
      <x:c r="AV395" s="17"/>
      <x:c r="AW395" s="1" t="s">
        <x:v>98</x:v>
      </x:c>
      <x:c r="AX395" s="8" t="s">
        <x:v>82</x:v>
      </x:c>
      <x:c r="AY395" s="8"/>
    </x:row>
    <x:row r="396" ht="69.94999694824219" customHeight="1">
      <x:c r="A396" s="1" t="s">
        <x:v>4858</x:v>
      </x:c>
      <x:c r="B396" s="8" t="s">
        <x:v>4859</x:v>
      </x:c>
      <x:c r="C396" s="1" t="s">
        <x:v>4860</x:v>
      </x:c>
      <x:c r="D396" s="8" t="s">
        <x:v>73</x:v>
      </x:c>
      <x:c r="E396" s="1" t="s">
        <x:v>76</x:v>
      </x:c>
      <x:c r="F396" s="8" t="s">
        <x:v>4861</x:v>
      </x:c>
      <x:c r="G396" s="1" t="s">
        <x:v>4862</x:v>
      </x:c>
      <x:c r="H396" s="8" t="s">
        <x:v>4863</x:v>
      </x:c>
      <x:c r="I396" s="4">
        <x:v>1984</x:v>
      </x:c>
      <x:c r="J396" s="8"/>
      <x:c r="K396" s="1" t="s">
        <x:v>59</x:v>
      </x:c>
      <x:c r="L396" s="8" t="s">
        <x:v>4864</x:v>
      </x:c>
      <x:c r="M396" s="1" t="s">
        <x:v>61</x:v>
      </x:c>
      <x:c r="N396" s="8"/>
      <x:c r="O396" s="1"/>
      <x:c r="P396" s="8"/>
      <x:c r="Q396" s="1"/>
      <x:c r="R396" s="8" t="s">
        <x:v>4865</x:v>
      </x:c>
      <x:c r="S396" s="3">
        <x:v>46013</x:v>
      </x:c>
      <x:c r="T396" s="8" t="s">
        <x:v>63</x:v>
      </x:c>
      <x:c r="U396" s="1" t="s">
        <x:v>4849</x:v>
      </x:c>
      <x:c r="V396" s="13">
        <x:v>58</x:v>
      </x:c>
      <x:c r="W396" s="1" t="s">
        <x:v>65</x:v>
      </x:c>
      <x:c r="X396" s="8" t="s">
        <x:v>66</x:v>
      </x:c>
      <x:c r="Y396" s="1" t="str">
        <x:v>Проверено автором исследования</x:v>
      </x:c>
      <x:c r="Z396" s="8"/>
      <x:c r="AA396" s="1" t="s">
        <x:v>4850</x:v>
      </x:c>
      <x:c r="AB396" s="13">
        <x:v>2026</x:v>
      </x:c>
      <x:c r="AC396" s="3"/>
      <x:c r="AD396" s="8" t="s">
        <x:v>93</x:v>
      </x:c>
      <x:c r="AE396" s="1"/>
      <x:c r="AF396" s="8" t="s">
        <x:v>118</x:v>
      </x:c>
      <x:c r="AG396" s="1" t="s">
        <x:v>4851</x:v>
      </x:c>
      <x:c r="AH396" s="8" t="str">
        <x:v>Краткая затекстовая ссылка; повторная документальная сверка выполнена</x:v>
      </x:c>
      <x:c r="AI396" s="1"/>
      <x:c r="AJ396" s="17"/>
      <x:c r="AK396" s="1" t="s">
        <x:v>73</x:v>
      </x:c>
      <x:c r="AL396" s="8" t="s">
        <x:v>74</x:v>
      </x:c>
      <x:c r="AM396" s="1"/>
      <x:c r="AN396" s="8" t="s">
        <x:v>95</x:v>
      </x:c>
      <x:c r="AO396" s="1" t="s">
        <x:v>54</x:v>
      </x:c>
      <x:c r="AP396" s="8"/>
      <x:c r="AQ396" s="1" t="s">
        <x:v>77</x:v>
      </x:c>
      <x:c r="AR396" s="8" t="str">
        <x:v>Проверка автором исследования</x:v>
      </x:c>
      <x:c r="AS396" s="1"/>
      <x:c r="AT396" s="8" t="s">
        <x:v>96</x:v>
      </x:c>
      <x:c r="AU396" s="1" t="s">
        <x:v>3050</x:v>
      </x:c>
      <x:c r="AV396" s="17">
        <x:v>46013</x:v>
      </x:c>
      <x:c r="AW396" s="1" t="s">
        <x:v>324</x:v>
      </x:c>
      <x:c r="AX396" s="8" t="s">
        <x:v>82</x:v>
      </x:c>
      <x:c r="AY396" s="8"/>
    </x:row>
    <x:row r="397" ht="69.94999694824219" customHeight="1">
      <x:c r="A397" s="1" t="s">
        <x:v>4866</x:v>
      </x:c>
      <x:c r="B397" s="8" t="s">
        <x:v>4867</x:v>
      </x:c>
      <x:c r="C397" s="1" t="s">
        <x:v>4868</x:v>
      </x:c>
      <x:c r="D397" s="8" t="s">
        <x:v>73</x:v>
      </x:c>
      <x:c r="E397" s="1" t="s">
        <x:v>76</x:v>
      </x:c>
      <x:c r="F397" s="8" t="s">
        <x:v>4869</x:v>
      </x:c>
      <x:c r="G397" s="1" t="s">
        <x:v>4870</x:v>
      </x:c>
      <x:c r="H397" s="8" t="s">
        <x:v>4871</x:v>
      </x:c>
      <x:c r="I397" s="4">
        <x:v>2019</x:v>
      </x:c>
      <x:c r="J397" s="8"/>
      <x:c r="K397" s="1"/>
      <x:c r="L397" s="8" t="s">
        <x:v>4872</x:v>
      </x:c>
      <x:c r="M397" s="1" t="s">
        <x:v>61</x:v>
      </x:c>
      <x:c r="N397" s="8"/>
      <x:c r="O397" s="1"/>
      <x:c r="P397" s="8"/>
      <x:c r="Q397" s="1"/>
      <x:c r="R397" s="8"/>
      <x:c r="S397" s="3"/>
      <x:c r="T397" s="8" t="s">
        <x:v>63</x:v>
      </x:c>
      <x:c r="U397" s="1" t="s">
        <x:v>4873</x:v>
      </x:c>
      <x:c r="V397" s="13">
        <x:v>9</x:v>
      </x:c>
      <x:c r="W397" s="1" t="s">
        <x:v>65</x:v>
      </x:c>
      <x:c r="X397" s="8" t="s">
        <x:v>66</x:v>
      </x:c>
      <x:c r="Y397" s="1" t="str">
        <x:v>Проверено автором исследования</x:v>
      </x:c>
      <x:c r="Z397" s="8"/>
      <x:c r="AA397" s="1" t="s">
        <x:v>4874</x:v>
      </x:c>
      <x:c r="AB397" s="13">
        <x:v>2026</x:v>
      </x:c>
      <x:c r="AC397" s="3"/>
      <x:c r="AD397" s="8" t="s">
        <x:v>93</x:v>
      </x:c>
      <x:c r="AE397" s="1" t="s">
        <x:v>4875</x:v>
      </x:c>
      <x:c r="AF397" s="8" t="s">
        <x:v>118</x:v>
      </x:c>
      <x:c r="AG397" s="1" t="s">
        <x:v>4876</x:v>
      </x:c>
      <x:c r="AH397" s="8" t="str">
        <x:v>Краткая затекстовая ссылка; повторная документальная сверка выполнена</x:v>
      </x:c>
      <x:c r="AI397" s="1"/>
      <x:c r="AJ397" s="17"/>
      <x:c r="AK397" s="1" t="s">
        <x:v>73</x:v>
      </x:c>
      <x:c r="AL397" s="8" t="s">
        <x:v>74</x:v>
      </x:c>
      <x:c r="AM397" s="1"/>
      <x:c r="AN397" s="8" t="s">
        <x:v>95</x:v>
      </x:c>
      <x:c r="AO397" s="1" t="s">
        <x:v>76</x:v>
      </x:c>
      <x:c r="AP397" s="8"/>
      <x:c r="AQ397" s="1" t="s">
        <x:v>77</x:v>
      </x:c>
      <x:c r="AR397" s="8" t="str">
        <x:v>Проверка автором исследования</x:v>
      </x:c>
      <x:c r="AS397" s="1"/>
      <x:c r="AT397" s="8" t="s">
        <x:v>96</x:v>
      </x:c>
      <x:c r="AU397" s="1" t="s">
        <x:v>97</x:v>
      </x:c>
      <x:c r="AV397" s="17"/>
      <x:c r="AW397" s="1" t="s">
        <x:v>98</x:v>
      </x:c>
      <x:c r="AX397" s="8" t="s">
        <x:v>82</x:v>
      </x:c>
      <x:c r="AY397" s="8"/>
    </x:row>
    <x:row r="398" ht="69.94999694824219" customHeight="1">
      <x:c r="A398" s="1" t="s">
        <x:v>4877</x:v>
      </x:c>
      <x:c r="B398" s="8" t="s">
        <x:v>4878</x:v>
      </x:c>
      <x:c r="C398" s="1" t="s">
        <x:v>4879</x:v>
      </x:c>
      <x:c r="D398" s="8" t="s">
        <x:v>73</x:v>
      </x:c>
      <x:c r="E398" s="1" t="s">
        <x:v>76</x:v>
      </x:c>
      <x:c r="F398" s="8" t="s">
        <x:v>4880</x:v>
      </x:c>
      <x:c r="G398" s="1" t="s">
        <x:v>4881</x:v>
      </x:c>
      <x:c r="H398" s="8" t="s">
        <x:v>4882</x:v>
      </x:c>
      <x:c r="I398" s="4">
        <x:v>2012</x:v>
      </x:c>
      <x:c r="J398" s="8"/>
      <x:c r="K398" s="1" t="s">
        <x:v>4883</x:v>
      </x:c>
      <x:c r="L398" s="8" t="s">
        <x:v>4884</x:v>
      </x:c>
      <x:c r="M398" s="1" t="s">
        <x:v>61</x:v>
      </x:c>
      <x:c r="N398" s="8"/>
      <x:c r="O398" s="1"/>
      <x:c r="P398" s="8"/>
      <x:c r="Q398" s="1"/>
      <x:c r="R398" s="8"/>
      <x:c r="S398" s="3"/>
      <x:c r="T398" s="8" t="s">
        <x:v>63</x:v>
      </x:c>
      <x:c r="U398" s="1" t="s">
        <x:v>4873</x:v>
      </x:c>
      <x:c r="V398" s="13">
        <x:v>24</x:v>
      </x:c>
      <x:c r="W398" s="1" t="s">
        <x:v>65</x:v>
      </x:c>
      <x:c r="X398" s="8" t="s">
        <x:v>66</x:v>
      </x:c>
      <x:c r="Y398" s="1" t="str">
        <x:v>Проверено автором исследования</x:v>
      </x:c>
      <x:c r="Z398" s="8"/>
      <x:c r="AA398" s="1" t="s">
        <x:v>4874</x:v>
      </x:c>
      <x:c r="AB398" s="13">
        <x:v>2026</x:v>
      </x:c>
      <x:c r="AC398" s="3"/>
      <x:c r="AD398" s="8" t="s">
        <x:v>93</x:v>
      </x:c>
      <x:c r="AE398" s="1" t="s">
        <x:v>4885</x:v>
      </x:c>
      <x:c r="AF398" s="8" t="s">
        <x:v>118</x:v>
      </x:c>
      <x:c r="AG398" s="1" t="s">
        <x:v>4876</x:v>
      </x:c>
      <x:c r="AH398" s="8" t="str">
        <x:v>Краткая затекстовая ссылка; повторная документальная сверка выполнена</x:v>
      </x:c>
      <x:c r="AI398" s="1"/>
      <x:c r="AJ398" s="17"/>
      <x:c r="AK398" s="1" t="s">
        <x:v>73</x:v>
      </x:c>
      <x:c r="AL398" s="8" t="s">
        <x:v>74</x:v>
      </x:c>
      <x:c r="AM398" s="1"/>
      <x:c r="AN398" s="8" t="s">
        <x:v>95</x:v>
      </x:c>
      <x:c r="AO398" s="1" t="s">
        <x:v>76</x:v>
      </x:c>
      <x:c r="AP398" s="8"/>
      <x:c r="AQ398" s="1" t="s">
        <x:v>77</x:v>
      </x:c>
      <x:c r="AR398" s="8" t="str">
        <x:v>Проверка автором исследования</x:v>
      </x:c>
      <x:c r="AS398" s="1"/>
      <x:c r="AT398" s="8" t="s">
        <x:v>96</x:v>
      </x:c>
      <x:c r="AU398" s="1" t="s">
        <x:v>97</x:v>
      </x:c>
      <x:c r="AV398" s="17"/>
      <x:c r="AW398" s="1" t="s">
        <x:v>98</x:v>
      </x:c>
      <x:c r="AX398" s="8" t="s">
        <x:v>82</x:v>
      </x:c>
      <x:c r="AY398" s="8"/>
    </x:row>
    <x:row r="399" ht="69.94999694824219" customHeight="1">
      <x:c r="A399" s="1" t="s">
        <x:v>4886</x:v>
      </x:c>
      <x:c r="B399" s="8" t="s">
        <x:v>4887</x:v>
      </x:c>
      <x:c r="C399" s="1" t="s">
        <x:v>4888</x:v>
      </x:c>
      <x:c r="D399" s="8" t="s">
        <x:v>73</x:v>
      </x:c>
      <x:c r="E399" s="1" t="s">
        <x:v>76</x:v>
      </x:c>
      <x:c r="F399" s="8" t="s">
        <x:v>4889</x:v>
      </x:c>
      <x:c r="G399" s="1" t="s">
        <x:v>4890</x:v>
      </x:c>
      <x:c r="H399" s="8" t="s">
        <x:v>4891</x:v>
      </x:c>
      <x:c r="I399" s="4">
        <x:v>2017</x:v>
      </x:c>
      <x:c r="J399" s="8"/>
      <x:c r="K399" s="1" t="s">
        <x:v>4892</x:v>
      </x:c>
      <x:c r="L399" s="8" t="s">
        <x:v>191</x:v>
      </x:c>
      <x:c r="M399" s="1" t="s">
        <x:v>61</x:v>
      </x:c>
      <x:c r="N399" s="8"/>
      <x:c r="O399" s="1"/>
      <x:c r="P399" s="8"/>
      <x:c r="Q399" s="1"/>
      <x:c r="R399" s="8"/>
      <x:c r="S399" s="3"/>
      <x:c r="T399" s="8" t="s">
        <x:v>63</x:v>
      </x:c>
      <x:c r="U399" s="1" t="s">
        <x:v>4893</x:v>
      </x:c>
      <x:c r="V399" s="13">
        <x:v>28</x:v>
      </x:c>
      <x:c r="W399" s="1" t="s">
        <x:v>140</x:v>
      </x:c>
      <x:c r="X399" s="8" t="s">
        <x:v>66</x:v>
      </x:c>
      <x:c r="Y399" s="1" t="str">
        <x:v>Проверено автором; дополнительно проверено Михаилом Саяпиным</x:v>
      </x:c>
      <x:c r="Z399" s="8"/>
      <x:c r="AA399" s="1" t="s">
        <x:v>4894</x:v>
      </x:c>
      <x:c r="AB399" s="13">
        <x:v>2026</x:v>
      </x:c>
      <x:c r="AC399" s="3"/>
      <x:c r="AD399" s="8" t="s">
        <x:v>93</x:v>
      </x:c>
      <x:c r="AE399" s="1" t="s">
        <x:v>4895</x:v>
      </x:c>
      <x:c r="AF399" s="8" t="s">
        <x:v>71</x:v>
      </x:c>
      <x:c r="AG399" s="1" t="s">
        <x:v>4896</x:v>
      </x:c>
      <x:c r="AH399" s="8" t="s">
        <x:v>144</x:v>
      </x:c>
      <x:c r="AI399" s="1" t="s">
        <x:v>145</x:v>
      </x:c>
      <x:c r="AJ399" s="17">
        <x:v>46323</x:v>
      </x:c>
      <x:c r="AK399" s="1" t="s">
        <x:v>73</x:v>
      </x:c>
      <x:c r="AL399" s="8" t="s">
        <x:v>74</x:v>
      </x:c>
      <x:c r="AM399" s="1"/>
      <x:c r="AN399" s="8" t="s">
        <x:v>95</x:v>
      </x:c>
      <x:c r="AO399" s="1" t="s">
        <x:v>76</x:v>
      </x:c>
      <x:c r="AP399" s="8"/>
      <x:c r="AQ399" s="1" t="s">
        <x:v>77</x:v>
      </x:c>
      <x:c r="AR399" s="8" t="str">
        <x:v>Проверка автором исследования; дополнительная проверка Михаилом Саяпиным; согласование 28.10.2026</x:v>
      </x:c>
      <x:c r="AS399" s="1"/>
      <x:c r="AT399" s="8" t="s">
        <x:v>96</x:v>
      </x:c>
      <x:c r="AU399" s="1" t="s">
        <x:v>97</x:v>
      </x:c>
      <x:c r="AV399" s="17"/>
      <x:c r="AW399" s="1" t="s">
        <x:v>98</x:v>
      </x:c>
      <x:c r="AX399" s="8" t="s">
        <x:v>146</x:v>
      </x:c>
      <x:c r="AY399" s="8" t="s">
        <x:v>4897</x:v>
      </x:c>
    </x:row>
    <x:row r="400" ht="69.94999694824219" customHeight="1">
      <x:c r="A400" s="1" t="s">
        <x:v>4898</x:v>
      </x:c>
      <x:c r="B400" s="8" t="s">
        <x:v>4899</x:v>
      </x:c>
      <x:c r="C400" s="1" t="s">
        <x:v>4900</x:v>
      </x:c>
      <x:c r="D400" s="8" t="s">
        <x:v>4901</x:v>
      </x:c>
      <x:c r="E400" s="1" t="s">
        <x:v>76</x:v>
      </x:c>
      <x:c r="F400" s="8"/>
      <x:c r="G400" s="1" t="s">
        <x:v>4902</x:v>
      </x:c>
      <x:c r="H400" s="8"/>
      <x:c r="I400" s="4">
        <x:v>2014</x:v>
      </x:c>
      <x:c r="J400" s="8"/>
      <x:c r="K400" s="1"/>
      <x:c r="L400" s="8" t="s">
        <x:v>2330</x:v>
      </x:c>
      <x:c r="M400" s="1" t="s">
        <x:v>90</x:v>
      </x:c>
      <x:c r="N400" s="8" t="s">
        <x:v>4903</x:v>
      </x:c>
      <x:c r="O400" s="1" t="s">
        <x:v>4904</x:v>
      </x:c>
      <x:c r="P400" s="8"/>
      <x:c r="Q400" s="1"/>
      <x:c r="R400" s="8"/>
      <x:c r="S400" s="3"/>
      <x:c r="T400" s="8" t="s">
        <x:v>4905</x:v>
      </x:c>
      <x:c r="U400" s="1" t="s">
        <x:v>4906</x:v>
      </x:c>
      <x:c r="V400" s="13">
        <x:v>1</x:v>
      </x:c>
      <x:c r="W400" s="1" t="s">
        <x:v>4907</x:v>
      </x:c>
      <x:c r="X400" s="8" t="s">
        <x:v>66</x:v>
      </x:c>
      <x:c r="Y400" s="1" t="str">
        <x:v>Проверено автором исследования</x:v>
      </x:c>
      <x:c r="Z400" s="8"/>
      <x:c r="AA400" s="1" t="s">
        <x:v>4908</x:v>
      </x:c>
      <x:c r="AB400" s="13">
        <x:v>2017</x:v>
      </x:c>
      <x:c r="AC400" s="3"/>
      <x:c r="AD400" s="8" t="s">
        <x:v>93</x:v>
      </x:c>
      <x:c r="AE400" s="1"/>
      <x:c r="AF400" s="8" t="s">
        <x:v>118</x:v>
      </x:c>
      <x:c r="AG400" s="1" t="s">
        <x:v>4909</x:v>
      </x:c>
      <x:c r="AH400" s="8" t="str">
        <x:v>Краткая затекстовая ссылка; повторная документальная сверка выполнена</x:v>
      </x:c>
      <x:c r="AI400" s="1"/>
      <x:c r="AJ400" s="17"/>
      <x:c r="AK400" s="1" t="s">
        <x:v>4910</x:v>
      </x:c>
      <x:c r="AL400" s="8" t="s">
        <x:v>4911</x:v>
      </x:c>
      <x:c r="AM400" s="1" t="s">
        <x:v>4912</x:v>
      </x:c>
      <x:c r="AN400" s="8" t="s">
        <x:v>95</x:v>
      </x:c>
      <x:c r="AO400" s="1" t="s">
        <x:v>76</x:v>
      </x:c>
      <x:c r="AP400" s="8"/>
      <x:c r="AQ400" s="1" t="s">
        <x:v>4913</x:v>
      </x:c>
      <x:c r="AR400" s="8" t="str">
        <x:v>Проверка автором исследования</x:v>
      </x:c>
      <x:c r="AS400" s="1"/>
      <x:c r="AT400" s="8" t="s">
        <x:v>96</x:v>
      </x:c>
      <x:c r="AU400" s="1" t="s">
        <x:v>4914</x:v>
      </x:c>
      <x:c r="AV400" s="17"/>
      <x:c r="AW400" s="1" t="s">
        <x:v>4915</x:v>
      </x:c>
      <x:c r="AX400" s="8" t="s">
        <x:v>82</x:v>
      </x:c>
      <x:c r="AY400" s="8"/>
    </x:row>
    <x:row r="401" ht="69.94999694824219" customHeight="1">
      <x:c r="A401" s="1" t="s">
        <x:v>4916</x:v>
      </x:c>
      <x:c r="B401" s="8" t="s">
        <x:v>4917</x:v>
      </x:c>
      <x:c r="C401" s="1" t="s">
        <x:v>4918</x:v>
      </x:c>
      <x:c r="D401" s="8" t="s">
        <x:v>86</x:v>
      </x:c>
      <x:c r="E401" s="1" t="s">
        <x:v>76</x:v>
      </x:c>
      <x:c r="F401" s="8"/>
      <x:c r="G401" s="1" t="s">
        <x:v>4919</x:v>
      </x:c>
      <x:c r="H401" s="8"/>
      <x:c r="I401" s="4">
        <x:v>2016</x:v>
      </x:c>
      <x:c r="J401" s="8"/>
      <x:c r="K401" s="1"/>
      <x:c r="L401" s="8" t="s">
        <x:v>4920</x:v>
      </x:c>
      <x:c r="M401" s="1" t="s">
        <x:v>90</x:v>
      </x:c>
      <x:c r="N401" s="8" t="s">
        <x:v>4921</x:v>
      </x:c>
      <x:c r="O401" s="1" t="s">
        <x:v>4904</x:v>
      </x:c>
      <x:c r="P401" s="8"/>
      <x:c r="Q401" s="1"/>
      <x:c r="R401" s="8"/>
      <x:c r="S401" s="3"/>
      <x:c r="T401" s="8" t="s">
        <x:v>4905</x:v>
      </x:c>
      <x:c r="U401" s="1" t="s">
        <x:v>4906</x:v>
      </x:c>
      <x:c r="V401" s="13">
        <x:v>2</x:v>
      </x:c>
      <x:c r="W401" s="1" t="s">
        <x:v>4922</x:v>
      </x:c>
      <x:c r="X401" s="8" t="s">
        <x:v>66</x:v>
      </x:c>
      <x:c r="Y401" s="1" t="str">
        <x:v>Проверено автором; дополнительно проверено Михаилом Саяпиным</x:v>
      </x:c>
      <x:c r="Z401" s="8"/>
      <x:c r="AA401" s="1" t="s">
        <x:v>4908</x:v>
      </x:c>
      <x:c r="AB401" s="13">
        <x:v>2017</x:v>
      </x:c>
      <x:c r="AC401" s="3"/>
      <x:c r="AD401" s="8" t="s">
        <x:v>93</x:v>
      </x:c>
      <x:c r="AE401" s="1"/>
      <x:c r="AF401" s="8" t="s">
        <x:v>118</x:v>
      </x:c>
      <x:c r="AG401" s="1" t="s">
        <x:v>4909</x:v>
      </x:c>
      <x:c r="AH401" s="8" t="s">
        <x:v>144</x:v>
      </x:c>
      <x:c r="AI401" s="1" t="s">
        <x:v>145</x:v>
      </x:c>
      <x:c r="AJ401" s="17">
        <x:v>46323</x:v>
      </x:c>
      <x:c r="AK401" s="1" t="s">
        <x:v>4910</x:v>
      </x:c>
      <x:c r="AL401" s="8" t="s">
        <x:v>4911</x:v>
      </x:c>
      <x:c r="AM401" s="1" t="s">
        <x:v>4912</x:v>
      </x:c>
      <x:c r="AN401" s="8" t="s">
        <x:v>95</x:v>
      </x:c>
      <x:c r="AO401" s="1" t="s">
        <x:v>76</x:v>
      </x:c>
      <x:c r="AP401" s="8" t="s">
        <x:v>4923</x:v>
      </x:c>
      <x:c r="AQ401" s="1" t="s">
        <x:v>4924</x:v>
      </x:c>
      <x:c r="AR401" s="8" t="str">
        <x:v>Проверка автором исследования; дополнительная проверка Михаилом Саяпиным; согласование 28.10.2026</x:v>
      </x:c>
      <x:c r="AS401" s="1"/>
      <x:c r="AT401" s="8" t="s">
        <x:v>96</x:v>
      </x:c>
      <x:c r="AU401" s="1" t="s">
        <x:v>4914</x:v>
      </x:c>
      <x:c r="AV401" s="17"/>
      <x:c r="AW401" s="1" t="s">
        <x:v>4915</x:v>
      </x:c>
      <x:c r="AX401" s="8" t="s">
        <x:v>146</x:v>
      </x:c>
      <x:c r="AY401" s="8" t="s">
        <x:v>4925</x:v>
      </x:c>
    </x:row>
    <x:row r="402" ht="69.94999694824219" customHeight="1">
      <x:c r="A402" s="1" t="s">
        <x:v>4926</x:v>
      </x:c>
      <x:c r="B402" s="8" t="s">
        <x:v>4927</x:v>
      </x:c>
      <x:c r="C402" s="1" t="s">
        <x:v>4928</x:v>
      </x:c>
      <x:c r="D402" s="8" t="s">
        <x:v>73</x:v>
      </x:c>
      <x:c r="E402" s="1" t="s">
        <x:v>76</x:v>
      </x:c>
      <x:c r="F402" s="8" t="s">
        <x:v>4929</x:v>
      </x:c>
      <x:c r="G402" s="1" t="s">
        <x:v>4930</x:v>
      </x:c>
      <x:c r="H402" s="8" t="s">
        <x:v>4931</x:v>
      </x:c>
      <x:c r="I402" s="4">
        <x:v>2015</x:v>
      </x:c>
      <x:c r="J402" s="8"/>
      <x:c r="K402" s="1" t="s">
        <x:v>416</x:v>
      </x:c>
      <x:c r="L402" s="8" t="s">
        <x:v>4932</x:v>
      </x:c>
      <x:c r="M402" s="1" t="s">
        <x:v>61</x:v>
      </x:c>
      <x:c r="N402" s="8"/>
      <x:c r="O402" s="1"/>
      <x:c r="P402" s="8"/>
      <x:c r="Q402" s="1"/>
      <x:c r="R402" s="8"/>
      <x:c r="S402" s="3"/>
      <x:c r="T402" s="8" t="s">
        <x:v>4905</x:v>
      </x:c>
      <x:c r="U402" s="1" t="s">
        <x:v>4906</x:v>
      </x:c>
      <x:c r="V402" s="13">
        <x:v>3</x:v>
      </x:c>
      <x:c r="W402" s="1" t="s">
        <x:v>4933</x:v>
      </x:c>
      <x:c r="X402" s="8" t="s">
        <x:v>66</x:v>
      </x:c>
      <x:c r="Y402" s="1" t="str">
        <x:v>Проверено автором; дополнительно проверено Михаилом Саяпиным</x:v>
      </x:c>
      <x:c r="Z402" s="8"/>
      <x:c r="AA402" s="1" t="s">
        <x:v>4908</x:v>
      </x:c>
      <x:c r="AB402" s="13">
        <x:v>2017</x:v>
      </x:c>
      <x:c r="AC402" s="3"/>
      <x:c r="AD402" s="8" t="s">
        <x:v>93</x:v>
      </x:c>
      <x:c r="AE402" s="1"/>
      <x:c r="AF402" s="8" t="s">
        <x:v>118</x:v>
      </x:c>
      <x:c r="AG402" s="1" t="s">
        <x:v>4909</x:v>
      </x:c>
      <x:c r="AH402" s="8" t="s">
        <x:v>144</x:v>
      </x:c>
      <x:c r="AI402" s="1" t="s">
        <x:v>145</x:v>
      </x:c>
      <x:c r="AJ402" s="17">
        <x:v>46323</x:v>
      </x:c>
      <x:c r="AK402" s="1" t="s">
        <x:v>4910</x:v>
      </x:c>
      <x:c r="AL402" s="8" t="s">
        <x:v>4911</x:v>
      </x:c>
      <x:c r="AM402" s="1" t="s">
        <x:v>4912</x:v>
      </x:c>
      <x:c r="AN402" s="8" t="s">
        <x:v>95</x:v>
      </x:c>
      <x:c r="AO402" s="1" t="s">
        <x:v>76</x:v>
      </x:c>
      <x:c r="AP402" s="8"/>
      <x:c r="AQ402" s="1" t="s">
        <x:v>4934</x:v>
      </x:c>
      <x:c r="AR402" s="8" t="str">
        <x:v>Проверка автором исследования; дополнительная проверка Михаилом Саяпиным; согласование 28.10.2026</x:v>
      </x:c>
      <x:c r="AS402" s="1"/>
      <x:c r="AT402" s="8" t="s">
        <x:v>96</x:v>
      </x:c>
      <x:c r="AU402" s="1" t="s">
        <x:v>4914</x:v>
      </x:c>
      <x:c r="AV402" s="17"/>
      <x:c r="AW402" s="1" t="s">
        <x:v>4915</x:v>
      </x:c>
      <x:c r="AX402" s="8" t="s">
        <x:v>146</x:v>
      </x:c>
      <x:c r="AY402" s="8" t="s">
        <x:v>4935</x:v>
      </x:c>
    </x:row>
    <x:row r="403" ht="69.94999694824219" customHeight="1">
      <x:c r="A403" s="1" t="s">
        <x:v>4936</x:v>
      </x:c>
      <x:c r="B403" s="8" t="s">
        <x:v>4937</x:v>
      </x:c>
      <x:c r="C403" s="1" t="s">
        <x:v>4938</x:v>
      </x:c>
      <x:c r="D403" s="8" t="s">
        <x:v>4939</x:v>
      </x:c>
      <x:c r="E403" s="1" t="s">
        <x:v>54</x:v>
      </x:c>
      <x:c r="F403" s="8"/>
      <x:c r="G403" s="1" t="s">
        <x:v>4940</x:v>
      </x:c>
      <x:c r="H403" s="8" t="s">
        <x:v>4941</x:v>
      </x:c>
      <x:c r="I403" s="4"/>
      <x:c r="J403" s="8"/>
      <x:c r="K403" s="1"/>
      <x:c r="L403" s="8"/>
      <x:c r="M403" s="1" t="s">
        <x:v>61</x:v>
      </x:c>
      <x:c r="N403" s="8"/>
      <x:c r="O403" s="1"/>
      <x:c r="P403" s="8"/>
      <x:c r="Q403" s="1"/>
      <x:c r="R403" s="8" t="s">
        <x:v>4942</x:v>
      </x:c>
      <x:c r="S403" s="3"/>
      <x:c r="T403" s="8" t="s">
        <x:v>4905</x:v>
      </x:c>
      <x:c r="U403" s="1" t="s">
        <x:v>4906</x:v>
      </x:c>
      <x:c r="V403" s="13">
        <x:v>6</x:v>
      </x:c>
      <x:c r="W403" s="1" t="s">
        <x:v>4943</x:v>
      </x:c>
      <x:c r="X403" s="8" t="s">
        <x:v>66</x:v>
      </x:c>
      <x:c r="Y403" s="1" t="str">
        <x:v>Проверено автором исследования</x:v>
      </x:c>
      <x:c r="Z403" s="8"/>
      <x:c r="AA403" s="1" t="s">
        <x:v>4908</x:v>
      </x:c>
      <x:c r="AB403" s="13">
        <x:v>2017</x:v>
      </x:c>
      <x:c r="AC403" s="3">
        <x:v>46322</x:v>
      </x:c>
      <x:c r="AD403" s="8" t="s">
        <x:v>69</x:v>
      </x:c>
      <x:c r="AE403" s="1"/>
      <x:c r="AF403" s="8" t="s">
        <x:v>118</x:v>
      </x:c>
      <x:c r="AG403" s="1" t="s">
        <x:v>4909</x:v>
      </x:c>
      <x:c r="AH403" s="8" t="str">
        <x:v>Краткая затекстовая ссылка; повторная документальная сверка выполнена</x:v>
      </x:c>
      <x:c r="AI403" s="1"/>
      <x:c r="AJ403" s="17"/>
      <x:c r="AK403" s="1" t="s">
        <x:v>4910</x:v>
      </x:c>
      <x:c r="AL403" s="8" t="s">
        <x:v>4911</x:v>
      </x:c>
      <x:c r="AM403" s="1" t="s">
        <x:v>4912</x:v>
      </x:c>
      <x:c r="AN403" s="8" t="s">
        <x:v>75</x:v>
      </x:c>
      <x:c r="AO403" s="1" t="s">
        <x:v>54</x:v>
      </x:c>
      <x:c r="AP403" s="8"/>
      <x:c r="AQ403" s="1" t="s">
        <x:v>4944</x:v>
      </x:c>
      <x:c r="AR403" s="8" t="str">
        <x:v>Проверка автором исследования</x:v>
      </x:c>
      <x:c r="AS403" s="1" t="s">
        <x:v>4945</x:v>
      </x:c>
      <x:c r="AT403" s="8" t="s">
        <x:v>4946</x:v>
      </x:c>
      <x:c r="AU403" s="1" t="s">
        <x:v>4947</x:v>
      </x:c>
      <x:c r="AV403" s="17">
        <x:v>46322</x:v>
      </x:c>
      <x:c r="AW403" s="1" t="s">
        <x:v>4948</x:v>
      </x:c>
      <x:c r="AX403" s="8" t="s">
        <x:v>82</x:v>
      </x:c>
      <x:c r="AY403" s="8"/>
    </x:row>
    <x:row r="404" ht="69.94999694824219" customHeight="1">
      <x:c r="A404" s="1" t="s">
        <x:v>4949</x:v>
      </x:c>
      <x:c r="B404" s="8" t="s">
        <x:v>4950</x:v>
      </x:c>
      <x:c r="C404" s="1" t="s">
        <x:v>4951</x:v>
      </x:c>
      <x:c r="D404" s="8" t="s">
        <x:v>86</x:v>
      </x:c>
      <x:c r="E404" s="1" t="s">
        <x:v>76</x:v>
      </x:c>
      <x:c r="F404" s="8" t="s">
        <x:v>4952</x:v>
      </x:c>
      <x:c r="G404" s="1" t="s">
        <x:v>4953</x:v>
      </x:c>
      <x:c r="H404" s="8"/>
      <x:c r="I404" s="4">
        <x:v>2014</x:v>
      </x:c>
      <x:c r="J404" s="8"/>
      <x:c r="K404" s="1"/>
      <x:c r="L404" s="8" t="s">
        <x:v>4954</x:v>
      </x:c>
      <x:c r="M404" s="1" t="s">
        <x:v>90</x:v>
      </x:c>
      <x:c r="N404" s="8" t="s">
        <x:v>4955</x:v>
      </x:c>
      <x:c r="O404" s="1" t="s">
        <x:v>1122</x:v>
      </x:c>
      <x:c r="P404" s="8"/>
      <x:c r="Q404" s="1"/>
      <x:c r="R404" s="8"/>
      <x:c r="S404" s="3"/>
      <x:c r="T404" s="8" t="s">
        <x:v>4905</x:v>
      </x:c>
      <x:c r="U404" s="1" t="s">
        <x:v>4906</x:v>
      </x:c>
      <x:c r="V404" s="13">
        <x:v>7</x:v>
      </x:c>
      <x:c r="W404" s="1" t="s">
        <x:v>4907</x:v>
      </x:c>
      <x:c r="X404" s="8" t="s">
        <x:v>66</x:v>
      </x:c>
      <x:c r="Y404" s="1" t="str">
        <x:v>Проверено автором исследования</x:v>
      </x:c>
      <x:c r="Z404" s="8"/>
      <x:c r="AA404" s="1" t="s">
        <x:v>4908</x:v>
      </x:c>
      <x:c r="AB404" s="13">
        <x:v>2017</x:v>
      </x:c>
      <x:c r="AC404" s="3"/>
      <x:c r="AD404" s="8" t="s">
        <x:v>93</x:v>
      </x:c>
      <x:c r="AE404" s="1"/>
      <x:c r="AF404" s="8" t="s">
        <x:v>118</x:v>
      </x:c>
      <x:c r="AG404" s="1" t="s">
        <x:v>4909</x:v>
      </x:c>
      <x:c r="AH404" s="8" t="str">
        <x:v>Краткая затекстовая ссылка; повторная документальная сверка выполнена</x:v>
      </x:c>
      <x:c r="AI404" s="1"/>
      <x:c r="AJ404" s="17"/>
      <x:c r="AK404" s="1" t="s">
        <x:v>4910</x:v>
      </x:c>
      <x:c r="AL404" s="8" t="s">
        <x:v>4911</x:v>
      </x:c>
      <x:c r="AM404" s="1" t="s">
        <x:v>4912</x:v>
      </x:c>
      <x:c r="AN404" s="8" t="s">
        <x:v>95</x:v>
      </x:c>
      <x:c r="AO404" s="1" t="s">
        <x:v>76</x:v>
      </x:c>
      <x:c r="AP404" s="8"/>
      <x:c r="AQ404" s="1" t="s">
        <x:v>4956</x:v>
      </x:c>
      <x:c r="AR404" s="8" t="str">
        <x:v>Проверка автором исследования</x:v>
      </x:c>
      <x:c r="AS404" s="1"/>
      <x:c r="AT404" s="8" t="s">
        <x:v>96</x:v>
      </x:c>
      <x:c r="AU404" s="1" t="s">
        <x:v>4914</x:v>
      </x:c>
      <x:c r="AV404" s="17"/>
      <x:c r="AW404" s="1" t="s">
        <x:v>4915</x:v>
      </x:c>
      <x:c r="AX404" s="8" t="s">
        <x:v>82</x:v>
      </x:c>
      <x:c r="AY404" s="8"/>
    </x:row>
    <x:row r="405" ht="69.94999694824219" customHeight="1">
      <x:c r="A405" s="1" t="s">
        <x:v>4957</x:v>
      </x:c>
      <x:c r="B405" s="8" t="s">
        <x:v>4958</x:v>
      </x:c>
      <x:c r="C405" s="1" t="s">
        <x:v>4959</x:v>
      </x:c>
      <x:c r="D405" s="8" t="s">
        <x:v>4960</x:v>
      </x:c>
      <x:c r="E405" s="1" t="s">
        <x:v>76</x:v>
      </x:c>
      <x:c r="F405" s="8" t="s">
        <x:v>4961</x:v>
      </x:c>
      <x:c r="G405" s="1" t="s">
        <x:v>4962</x:v>
      </x:c>
      <x:c r="H405" s="8" t="s">
        <x:v>4963</x:v>
      </x:c>
      <x:c r="I405" s="4">
        <x:v>2006</x:v>
      </x:c>
      <x:c r="J405" s="8"/>
      <x:c r="K405" s="1"/>
      <x:c r="L405" s="8" t="s">
        <x:v>4964</x:v>
      </x:c>
      <x:c r="M405" s="1" t="s">
        <x:v>61</x:v>
      </x:c>
      <x:c r="N405" s="8" t="s">
        <x:v>4965</x:v>
      </x:c>
      <x:c r="O405" s="1" t="s">
        <x:v>1122</x:v>
      </x:c>
      <x:c r="P405" s="8"/>
      <x:c r="Q405" s="1"/>
      <x:c r="R405" s="8"/>
      <x:c r="S405" s="3"/>
      <x:c r="T405" s="8" t="s">
        <x:v>4905</x:v>
      </x:c>
      <x:c r="U405" s="1" t="s">
        <x:v>4906</x:v>
      </x:c>
      <x:c r="V405" s="13">
        <x:v>8</x:v>
      </x:c>
      <x:c r="W405" s="1" t="s">
        <x:v>4907</x:v>
      </x:c>
      <x:c r="X405" s="8" t="s">
        <x:v>66</x:v>
      </x:c>
      <x:c r="Y405" s="1" t="str">
        <x:v>Проверено автором исследования</x:v>
      </x:c>
      <x:c r="Z405" s="8"/>
      <x:c r="AA405" s="1" t="s">
        <x:v>4908</x:v>
      </x:c>
      <x:c r="AB405" s="13">
        <x:v>2017</x:v>
      </x:c>
      <x:c r="AC405" s="3"/>
      <x:c r="AD405" s="8" t="s">
        <x:v>93</x:v>
      </x:c>
      <x:c r="AE405" s="1"/>
      <x:c r="AF405" s="8" t="s">
        <x:v>118</x:v>
      </x:c>
      <x:c r="AG405" s="1" t="s">
        <x:v>4909</x:v>
      </x:c>
      <x:c r="AH405" s="8" t="str">
        <x:v>Краткая затекстовая ссылка; повторная документальная сверка выполнена</x:v>
      </x:c>
      <x:c r="AI405" s="1"/>
      <x:c r="AJ405" s="17"/>
      <x:c r="AK405" s="1" t="s">
        <x:v>4910</x:v>
      </x:c>
      <x:c r="AL405" s="8" t="s">
        <x:v>4911</x:v>
      </x:c>
      <x:c r="AM405" s="1" t="s">
        <x:v>4912</x:v>
      </x:c>
      <x:c r="AN405" s="8" t="s">
        <x:v>95</x:v>
      </x:c>
      <x:c r="AO405" s="1" t="s">
        <x:v>76</x:v>
      </x:c>
      <x:c r="AP405" s="8"/>
      <x:c r="AQ405" s="1" t="s">
        <x:v>4966</x:v>
      </x:c>
      <x:c r="AR405" s="8" t="str">
        <x:v>Проверка автором исследования</x:v>
      </x:c>
      <x:c r="AS405" s="1"/>
      <x:c r="AT405" s="8" t="s">
        <x:v>96</x:v>
      </x:c>
      <x:c r="AU405" s="1" t="s">
        <x:v>4914</x:v>
      </x:c>
      <x:c r="AV405" s="17"/>
      <x:c r="AW405" s="1" t="s">
        <x:v>4915</x:v>
      </x:c>
      <x:c r="AX405" s="8" t="s">
        <x:v>82</x:v>
      </x:c>
      <x:c r="AY405" s="8"/>
    </x:row>
    <x:row r="406" ht="69.94999694824219" customHeight="1">
      <x:c r="A406" s="1" t="s">
        <x:v>4967</x:v>
      </x:c>
      <x:c r="B406" s="8" t="s">
        <x:v>4968</x:v>
      </x:c>
      <x:c r="C406" s="1" t="s">
        <x:v>4969</x:v>
      </x:c>
      <x:c r="D406" s="8" t="s">
        <x:v>86</x:v>
      </x:c>
      <x:c r="E406" s="1" t="s">
        <x:v>76</x:v>
      </x:c>
      <x:c r="F406" s="8" t="s">
        <x:v>4970</x:v>
      </x:c>
      <x:c r="G406" s="1" t="s">
        <x:v>4971</x:v>
      </x:c>
      <x:c r="H406" s="8"/>
      <x:c r="I406" s="4">
        <x:v>2008</x:v>
      </x:c>
      <x:c r="J406" s="8"/>
      <x:c r="K406" s="1"/>
      <x:c r="L406" s="8" t="s">
        <x:v>4972</x:v>
      </x:c>
      <x:c r="M406" s="1" t="s">
        <x:v>90</x:v>
      </x:c>
      <x:c r="N406" s="8"/>
      <x:c r="O406" s="1" t="s">
        <x:v>4904</x:v>
      </x:c>
      <x:c r="P406" s="8"/>
      <x:c r="Q406" s="1"/>
      <x:c r="R406" s="8"/>
      <x:c r="S406" s="3"/>
      <x:c r="T406" s="8" t="s">
        <x:v>4905</x:v>
      </x:c>
      <x:c r="U406" s="1" t="s">
        <x:v>4906</x:v>
      </x:c>
      <x:c r="V406" s="13">
        <x:v>9</x:v>
      </x:c>
      <x:c r="W406" s="1" t="s">
        <x:v>4973</x:v>
      </x:c>
      <x:c r="X406" s="8" t="s">
        <x:v>66</x:v>
      </x:c>
      <x:c r="Y406" s="1" t="str">
        <x:v>Проверено автором; дополнительно проверено Михаилом Саяпиным</x:v>
      </x:c>
      <x:c r="Z406" s="8"/>
      <x:c r="AA406" s="1" t="s">
        <x:v>4908</x:v>
      </x:c>
      <x:c r="AB406" s="13">
        <x:v>2017</x:v>
      </x:c>
      <x:c r="AC406" s="3"/>
      <x:c r="AD406" s="8" t="s">
        <x:v>93</x:v>
      </x:c>
      <x:c r="AE406" s="1"/>
      <x:c r="AF406" s="8" t="s">
        <x:v>118</x:v>
      </x:c>
      <x:c r="AG406" s="1" t="s">
        <x:v>4909</x:v>
      </x:c>
      <x:c r="AH406" s="8" t="s">
        <x:v>1375</x:v>
      </x:c>
      <x:c r="AI406" s="1" t="s">
        <x:v>145</x:v>
      </x:c>
      <x:c r="AJ406" s="17">
        <x:v>46323</x:v>
      </x:c>
      <x:c r="AK406" s="1" t="s">
        <x:v>4910</x:v>
      </x:c>
      <x:c r="AL406" s="8" t="s">
        <x:v>4911</x:v>
      </x:c>
      <x:c r="AM406" s="1" t="s">
        <x:v>4912</x:v>
      </x:c>
      <x:c r="AN406" s="8" t="s">
        <x:v>95</x:v>
      </x:c>
      <x:c r="AO406" s="1" t="s">
        <x:v>76</x:v>
      </x:c>
      <x:c r="AP406" s="8"/>
      <x:c r="AQ406" s="1" t="s">
        <x:v>4974</x:v>
      </x:c>
      <x:c r="AR406" s="8" t="str">
        <x:v>Проверка автором исследования; дополнительная проверка Михаилом Саяпиным; согласование 28.10.2026</x:v>
      </x:c>
      <x:c r="AS406" s="1"/>
      <x:c r="AT406" s="8" t="s">
        <x:v>96</x:v>
      </x:c>
      <x:c r="AU406" s="1" t="s">
        <x:v>4914</x:v>
      </x:c>
      <x:c r="AV406" s="17"/>
      <x:c r="AW406" s="1" t="s">
        <x:v>4915</x:v>
      </x:c>
      <x:c r="AX406" s="8" t="s">
        <x:v>146</x:v>
      </x:c>
      <x:c r="AY406" s="8" t="s">
        <x:v>4975</x:v>
      </x:c>
    </x:row>
    <x:row r="407" ht="69.94999694824219" customHeight="1">
      <x:c r="A407" s="1" t="s">
        <x:v>4976</x:v>
      </x:c>
      <x:c r="B407" s="8" t="s">
        <x:v>4977</x:v>
      </x:c>
      <x:c r="C407" s="1" t="s">
        <x:v>4978</x:v>
      </x:c>
      <x:c r="D407" s="8" t="s">
        <x:v>86</x:v>
      </x:c>
      <x:c r="E407" s="1" t="s">
        <x:v>76</x:v>
      </x:c>
      <x:c r="F407" s="8" t="s">
        <x:v>4979</x:v>
      </x:c>
      <x:c r="G407" s="1" t="s">
        <x:v>4980</x:v>
      </x:c>
      <x:c r="H407" s="8"/>
      <x:c r="I407" s="4">
        <x:v>2013</x:v>
      </x:c>
      <x:c r="J407" s="8"/>
      <x:c r="K407" s="1"/>
      <x:c r="L407" s="8" t="s">
        <x:v>4320</x:v>
      </x:c>
      <x:c r="M407" s="1" t="s">
        <x:v>90</x:v>
      </x:c>
      <x:c r="N407" s="8" t="s">
        <x:v>4981</x:v>
      </x:c>
      <x:c r="O407" s="1" t="s">
        <x:v>1122</x:v>
      </x:c>
      <x:c r="P407" s="8" t="s">
        <x:v>4982</x:v>
      </x:c>
      <x:c r="Q407" s="1"/>
      <x:c r="R407" s="8"/>
      <x:c r="S407" s="3"/>
      <x:c r="T407" s="8" t="s">
        <x:v>4905</x:v>
      </x:c>
      <x:c r="U407" s="1" t="s">
        <x:v>4906</x:v>
      </x:c>
      <x:c r="V407" s="13">
        <x:v>11</x:v>
      </x:c>
      <x:c r="W407" s="1" t="s">
        <x:v>4907</x:v>
      </x:c>
      <x:c r="X407" s="8" t="s">
        <x:v>66</x:v>
      </x:c>
      <x:c r="Y407" s="1" t="str">
        <x:v>Проверено автором исследования</x:v>
      </x:c>
      <x:c r="Z407" s="8"/>
      <x:c r="AA407" s="1" t="s">
        <x:v>4908</x:v>
      </x:c>
      <x:c r="AB407" s="13">
        <x:v>2017</x:v>
      </x:c>
      <x:c r="AC407" s="3"/>
      <x:c r="AD407" s="8" t="s">
        <x:v>93</x:v>
      </x:c>
      <x:c r="AE407" s="1"/>
      <x:c r="AF407" s="8" t="s">
        <x:v>118</x:v>
      </x:c>
      <x:c r="AG407" s="1" t="s">
        <x:v>4909</x:v>
      </x:c>
      <x:c r="AH407" s="8" t="str">
        <x:v>Краткая затекстовая ссылка; повторная документальная сверка выполнена</x:v>
      </x:c>
      <x:c r="AI407" s="1"/>
      <x:c r="AJ407" s="17"/>
      <x:c r="AK407" s="1" t="s">
        <x:v>4910</x:v>
      </x:c>
      <x:c r="AL407" s="8" t="s">
        <x:v>4911</x:v>
      </x:c>
      <x:c r="AM407" s="1" t="s">
        <x:v>4912</x:v>
      </x:c>
      <x:c r="AN407" s="8" t="s">
        <x:v>95</x:v>
      </x:c>
      <x:c r="AO407" s="1" t="s">
        <x:v>76</x:v>
      </x:c>
      <x:c r="AP407" s="8"/>
      <x:c r="AQ407" s="1" t="s">
        <x:v>4983</x:v>
      </x:c>
      <x:c r="AR407" s="8" t="str">
        <x:v>Проверка автором исследования</x:v>
      </x:c>
      <x:c r="AS407" s="1"/>
      <x:c r="AT407" s="8" t="s">
        <x:v>96</x:v>
      </x:c>
      <x:c r="AU407" s="1" t="s">
        <x:v>4914</x:v>
      </x:c>
      <x:c r="AV407" s="17"/>
      <x:c r="AW407" s="1" t="s">
        <x:v>4915</x:v>
      </x:c>
      <x:c r="AX407" s="8" t="s">
        <x:v>82</x:v>
      </x:c>
      <x:c r="AY407" s="8"/>
    </x:row>
    <x:row r="408" ht="84" customHeight="1">
      <x:c r="A408" s="1" t="s">
        <x:v>4984</x:v>
      </x:c>
      <x:c r="B408" s="8" t="s">
        <x:v>4985</x:v>
      </x:c>
      <x:c r="C408" s="1" t="s">
        <x:v>4986</x:v>
      </x:c>
      <x:c r="D408" s="8" t="s">
        <x:v>4987</x:v>
      </x:c>
      <x:c r="E408" s="1" t="s">
        <x:v>76</x:v>
      </x:c>
      <x:c r="F408" s="8"/>
      <x:c r="G408" s="1" t="s">
        <x:v>4988</x:v>
      </x:c>
      <x:c r="H408" s="8" t="s">
        <x:v>4989</x:v>
      </x:c>
      <x:c r="I408" s="4">
        <x:v>2017</x:v>
      </x:c>
      <x:c r="J408" s="8"/>
      <x:c r="K408" s="1" t="s">
        <x:v>4990</x:v>
      </x:c>
      <x:c r="L408" s="8"/>
      <x:c r="M408" s="1" t="s">
        <x:v>61</x:v>
      </x:c>
      <x:c r="N408" s="8"/>
      <x:c r="O408" s="1"/>
      <x:c r="P408" s="8"/>
      <x:c r="Q408" s="1"/>
      <x:c r="R408" s="8"/>
      <x:c r="S408" s="3"/>
      <x:c r="T408" s="8" t="s">
        <x:v>4905</x:v>
      </x:c>
      <x:c r="U408" s="1" t="s">
        <x:v>4906</x:v>
      </x:c>
      <x:c r="V408" s="13">
        <x:v>12</x:v>
      </x:c>
      <x:c r="W408" s="1" t="s">
        <x:v>4991</x:v>
      </x:c>
      <x:c r="X408" s="8" t="s">
        <x:v>66</x:v>
      </x:c>
      <x:c r="Y408" s="1" t="str">
        <x:v>Проверено автором исследования</x:v>
      </x:c>
      <x:c r="Z408" s="8"/>
      <x:c r="AA408" s="1" t="s">
        <x:v>4908</x:v>
      </x:c>
      <x:c r="AB408" s="13">
        <x:v>2017</x:v>
      </x:c>
      <x:c r="AC408" s="3"/>
      <x:c r="AD408" s="8" t="s">
        <x:v>93</x:v>
      </x:c>
      <x:c r="AE408" s="1"/>
      <x:c r="AF408" s="8" t="s">
        <x:v>118</x:v>
      </x:c>
      <x:c r="AG408" s="1" t="s">
        <x:v>4909</x:v>
      </x:c>
      <x:c r="AH408" s="8" t="str">
        <x:v>Краткая затекстовая ссылка; повторная документальная сверка выполнена</x:v>
      </x:c>
      <x:c r="AI408" s="1"/>
      <x:c r="AJ408" s="17"/>
      <x:c r="AK408" s="1" t="s">
        <x:v>4910</x:v>
      </x:c>
      <x:c r="AL408" s="8" t="s">
        <x:v>4911</x:v>
      </x:c>
      <x:c r="AM408" s="1" t="s">
        <x:v>4912</x:v>
      </x:c>
      <x:c r="AN408" s="8" t="s">
        <x:v>95</x:v>
      </x:c>
      <x:c r="AO408" s="1" t="s">
        <x:v>76</x:v>
      </x:c>
      <x:c r="AP408" s="8"/>
      <x:c r="AQ408" s="1" t="s">
        <x:v>4992</x:v>
      </x:c>
      <x:c r="AR408" s="8" t="str">
        <x:v>Проверка автором исследования</x:v>
      </x:c>
      <x:c r="AS408" s="1"/>
      <x:c r="AT408" s="8" t="s">
        <x:v>96</x:v>
      </x:c>
      <x:c r="AU408" s="1" t="s">
        <x:v>4914</x:v>
      </x:c>
      <x:c r="AV408" s="17"/>
      <x:c r="AW408" s="1" t="s">
        <x:v>4915</x:v>
      </x:c>
      <x:c r="AX408" s="8" t="s">
        <x:v>82</x:v>
      </x:c>
      <x:c r="AY408" s="8" t="s">
        <x:v>4993</x:v>
      </x:c>
    </x:row>
    <x:row r="409" ht="69.94999694824219" customHeight="1">
      <x:c r="A409" s="1" t="s">
        <x:v>4994</x:v>
      </x:c>
      <x:c r="B409" s="8" t="s">
        <x:v>4995</x:v>
      </x:c>
      <x:c r="C409" s="1" t="s">
        <x:v>4996</x:v>
      </x:c>
      <x:c r="D409" s="8" t="s">
        <x:v>86</x:v>
      </x:c>
      <x:c r="E409" s="1" t="s">
        <x:v>76</x:v>
      </x:c>
      <x:c r="F409" s="8" t="s">
        <x:v>4997</x:v>
      </x:c>
      <x:c r="G409" s="1" t="s">
        <x:v>4998</x:v>
      </x:c>
      <x:c r="H409" s="8"/>
      <x:c r="I409" s="4">
        <x:v>2009</x:v>
      </x:c>
      <x:c r="J409" s="8"/>
      <x:c r="K409" s="1"/>
      <x:c r="L409" s="8" t="s">
        <x:v>974</x:v>
      </x:c>
      <x:c r="M409" s="1" t="s">
        <x:v>90</x:v>
      </x:c>
      <x:c r="N409" s="8" t="s">
        <x:v>2958</x:v>
      </x:c>
      <x:c r="O409" s="1" t="s">
        <x:v>3838</x:v>
      </x:c>
      <x:c r="P409" s="8" t="s">
        <x:v>4999</x:v>
      </x:c>
      <x:c r="Q409" s="1"/>
      <x:c r="R409" s="8"/>
      <x:c r="S409" s="3"/>
      <x:c r="T409" s="8" t="s">
        <x:v>4905</x:v>
      </x:c>
      <x:c r="U409" s="1" t="s">
        <x:v>4906</x:v>
      </x:c>
      <x:c r="V409" s="13">
        <x:v>13</x:v>
      </x:c>
      <x:c r="W409" s="1" t="s">
        <x:v>5000</x:v>
      </x:c>
      <x:c r="X409" s="8" t="s">
        <x:v>66</x:v>
      </x:c>
      <x:c r="Y409" s="1" t="str">
        <x:v>Проверено автором; дополнительно проверено Михаилом Саяпиным</x:v>
      </x:c>
      <x:c r="Z409" s="8"/>
      <x:c r="AA409" s="1" t="s">
        <x:v>4908</x:v>
      </x:c>
      <x:c r="AB409" s="13">
        <x:v>2017</x:v>
      </x:c>
      <x:c r="AC409" s="3"/>
      <x:c r="AD409" s="8" t="s">
        <x:v>93</x:v>
      </x:c>
      <x:c r="AE409" s="1"/>
      <x:c r="AF409" s="8" t="s">
        <x:v>118</x:v>
      </x:c>
      <x:c r="AG409" s="1" t="s">
        <x:v>4909</x:v>
      </x:c>
      <x:c r="AH409" s="8" t="s">
        <x:v>144</x:v>
      </x:c>
      <x:c r="AI409" s="1" t="s">
        <x:v>145</x:v>
      </x:c>
      <x:c r="AJ409" s="17">
        <x:v>46323</x:v>
      </x:c>
      <x:c r="AK409" s="1" t="s">
        <x:v>4910</x:v>
      </x:c>
      <x:c r="AL409" s="8" t="s">
        <x:v>4911</x:v>
      </x:c>
      <x:c r="AM409" s="1" t="s">
        <x:v>4912</x:v>
      </x:c>
      <x:c r="AN409" s="8" t="s">
        <x:v>95</x:v>
      </x:c>
      <x:c r="AO409" s="1" t="s">
        <x:v>76</x:v>
      </x:c>
      <x:c r="AP409" s="8"/>
      <x:c r="AQ409" s="1" t="s">
        <x:v>5001</x:v>
      </x:c>
      <x:c r="AR409" s="8" t="str">
        <x:v>Проверка автором исследования; дополнительная проверка Михаилом Саяпиным; согласование 28.10.2026</x:v>
      </x:c>
      <x:c r="AS409" s="1"/>
      <x:c r="AT409" s="8" t="s">
        <x:v>96</x:v>
      </x:c>
      <x:c r="AU409" s="1" t="s">
        <x:v>4914</x:v>
      </x:c>
      <x:c r="AV409" s="17"/>
      <x:c r="AW409" s="1" t="s">
        <x:v>4915</x:v>
      </x:c>
      <x:c r="AX409" s="8" t="s">
        <x:v>146</x:v>
      </x:c>
      <x:c r="AY409" s="8" t="s">
        <x:v>5002</x:v>
      </x:c>
    </x:row>
    <x:row r="410" ht="69.94999694824219" customHeight="1">
      <x:c r="A410" s="1" t="s">
        <x:v>5003</x:v>
      </x:c>
      <x:c r="B410" s="8" t="s">
        <x:v>5004</x:v>
      </x:c>
      <x:c r="C410" s="1" t="s">
        <x:v>5005</x:v>
      </x:c>
      <x:c r="D410" s="8" t="s">
        <x:v>86</x:v>
      </x:c>
      <x:c r="E410" s="1" t="s">
        <x:v>76</x:v>
      </x:c>
      <x:c r="F410" s="8" t="s">
        <x:v>5006</x:v>
      </x:c>
      <x:c r="G410" s="1" t="s">
        <x:v>5007</x:v>
      </x:c>
      <x:c r="H410" s="8"/>
      <x:c r="I410" s="4">
        <x:v>2013</x:v>
      </x:c>
      <x:c r="J410" s="8"/>
      <x:c r="K410" s="1"/>
      <x:c r="L410" s="8" t="s">
        <x:v>5008</x:v>
      </x:c>
      <x:c r="M410" s="1" t="s">
        <x:v>90</x:v>
      </x:c>
      <x:c r="N410" s="8" t="s">
        <x:v>5009</x:v>
      </x:c>
      <x:c r="O410" s="1" t="s">
        <x:v>1122</x:v>
      </x:c>
      <x:c r="P410" s="8"/>
      <x:c r="Q410" s="1"/>
      <x:c r="R410" s="8"/>
      <x:c r="S410" s="3"/>
      <x:c r="T410" s="8" t="s">
        <x:v>4905</x:v>
      </x:c>
      <x:c r="U410" s="1" t="s">
        <x:v>4906</x:v>
      </x:c>
      <x:c r="V410" s="13">
        <x:v>14</x:v>
      </x:c>
      <x:c r="W410" s="1" t="s">
        <x:v>5010</x:v>
      </x:c>
      <x:c r="X410" s="8" t="s">
        <x:v>66</x:v>
      </x:c>
      <x:c r="Y410" s="1" t="str">
        <x:v>Проверено автором исследования</x:v>
      </x:c>
      <x:c r="Z410" s="8"/>
      <x:c r="AA410" s="1" t="s">
        <x:v>4908</x:v>
      </x:c>
      <x:c r="AB410" s="13">
        <x:v>2017</x:v>
      </x:c>
      <x:c r="AC410" s="3"/>
      <x:c r="AD410" s="8" t="s">
        <x:v>93</x:v>
      </x:c>
      <x:c r="AE410" s="1"/>
      <x:c r="AF410" s="8" t="s">
        <x:v>118</x:v>
      </x:c>
      <x:c r="AG410" s="1" t="s">
        <x:v>4909</x:v>
      </x:c>
      <x:c r="AH410" s="8" t="str">
        <x:v>Краткая затекстовая ссылка; повторная документальная сверка выполнена</x:v>
      </x:c>
      <x:c r="AI410" s="1"/>
      <x:c r="AJ410" s="17"/>
      <x:c r="AK410" s="1" t="s">
        <x:v>4910</x:v>
      </x:c>
      <x:c r="AL410" s="8" t="s">
        <x:v>4911</x:v>
      </x:c>
      <x:c r="AM410" s="1" t="s">
        <x:v>4912</x:v>
      </x:c>
      <x:c r="AN410" s="8" t="s">
        <x:v>95</x:v>
      </x:c>
      <x:c r="AO410" s="1" t="s">
        <x:v>76</x:v>
      </x:c>
      <x:c r="AP410" s="8" t="s">
        <x:v>5011</x:v>
      </x:c>
      <x:c r="AQ410" s="1" t="s">
        <x:v>5012</x:v>
      </x:c>
      <x:c r="AR410" s="8" t="str">
        <x:v>Проверка автором исследования</x:v>
      </x:c>
      <x:c r="AS410" s="1"/>
      <x:c r="AT410" s="8" t="s">
        <x:v>96</x:v>
      </x:c>
      <x:c r="AU410" s="1" t="s">
        <x:v>4914</x:v>
      </x:c>
      <x:c r="AV410" s="17"/>
      <x:c r="AW410" s="1" t="s">
        <x:v>4915</x:v>
      </x:c>
      <x:c r="AX410" s="8" t="s">
        <x:v>82</x:v>
      </x:c>
      <x:c r="AY410" s="8"/>
    </x:row>
    <x:row r="411" ht="69.94999694824219" customHeight="1">
      <x:c r="A411" s="1" t="s">
        <x:v>5013</x:v>
      </x:c>
      <x:c r="B411" s="8" t="s">
        <x:v>5014</x:v>
      </x:c>
      <x:c r="C411" s="1" t="s">
        <x:v>5015</x:v>
      </x:c>
      <x:c r="D411" s="8" t="s">
        <x:v>86</x:v>
      </x:c>
      <x:c r="E411" s="1" t="s">
        <x:v>76</x:v>
      </x:c>
      <x:c r="F411" s="8" t="s">
        <x:v>5016</x:v>
      </x:c>
      <x:c r="G411" s="1" t="s">
        <x:v>5017</x:v>
      </x:c>
      <x:c r="H411" s="8"/>
      <x:c r="I411" s="4">
        <x:v>2014</x:v>
      </x:c>
      <x:c r="J411" s="8"/>
      <x:c r="K411" s="1"/>
      <x:c r="L411" s="8" t="s">
        <x:v>5018</x:v>
      </x:c>
      <x:c r="M411" s="1" t="s">
        <x:v>90</x:v>
      </x:c>
      <x:c r="N411" s="8"/>
      <x:c r="O411" s="1" t="s">
        <x:v>1122</x:v>
      </x:c>
      <x:c r="P411" s="8" t="s">
        <x:v>5019</x:v>
      </x:c>
      <x:c r="Q411" s="1"/>
      <x:c r="R411" s="8"/>
      <x:c r="S411" s="3"/>
      <x:c r="T411" s="8" t="s">
        <x:v>4905</x:v>
      </x:c>
      <x:c r="U411" s="1" t="s">
        <x:v>5020</x:v>
      </x:c>
      <x:c r="V411" s="13">
        <x:v>17</x:v>
      </x:c>
      <x:c r="W411" s="1" t="s">
        <x:v>4907</x:v>
      </x:c>
      <x:c r="X411" s="8" t="s">
        <x:v>66</x:v>
      </x:c>
      <x:c r="Y411" s="1" t="str">
        <x:v>Проверено автором исследования</x:v>
      </x:c>
      <x:c r="Z411" s="8"/>
      <x:c r="AA411" s="1" t="s">
        <x:v>4908</x:v>
      </x:c>
      <x:c r="AB411" s="13">
        <x:v>2017</x:v>
      </x:c>
      <x:c r="AC411" s="3"/>
      <x:c r="AD411" s="8" t="s">
        <x:v>93</x:v>
      </x:c>
      <x:c r="AE411" s="1"/>
      <x:c r="AF411" s="8" t="s">
        <x:v>118</x:v>
      </x:c>
      <x:c r="AG411" s="1" t="s">
        <x:v>4909</x:v>
      </x:c>
      <x:c r="AH411" s="8" t="str">
        <x:v>Краткая затекстовая ссылка; повторная документальная сверка выполнена</x:v>
      </x:c>
      <x:c r="AI411" s="1"/>
      <x:c r="AJ411" s="17"/>
      <x:c r="AK411" s="1" t="s">
        <x:v>4910</x:v>
      </x:c>
      <x:c r="AL411" s="8" t="s">
        <x:v>4911</x:v>
      </x:c>
      <x:c r="AM411" s="1" t="s">
        <x:v>5021</x:v>
      </x:c>
      <x:c r="AN411" s="8" t="s">
        <x:v>95</x:v>
      </x:c>
      <x:c r="AO411" s="1" t="s">
        <x:v>76</x:v>
      </x:c>
      <x:c r="AP411" s="8"/>
      <x:c r="AQ411" s="1" t="s">
        <x:v>5022</x:v>
      </x:c>
      <x:c r="AR411" s="8" t="str">
        <x:v>Проверка автором исследования</x:v>
      </x:c>
      <x:c r="AS411" s="1"/>
      <x:c r="AT411" s="8" t="s">
        <x:v>96</x:v>
      </x:c>
      <x:c r="AU411" s="1" t="s">
        <x:v>4914</x:v>
      </x:c>
      <x:c r="AV411" s="17"/>
      <x:c r="AW411" s="1" t="s">
        <x:v>4915</x:v>
      </x:c>
      <x:c r="AX411" s="8" t="s">
        <x:v>82</x:v>
      </x:c>
      <x:c r="AY411" s="8"/>
    </x:row>
    <x:row r="412" ht="69.94999694824219" customHeight="1">
      <x:c r="A412" s="1" t="s">
        <x:v>5023</x:v>
      </x:c>
      <x:c r="B412" s="8" t="s">
        <x:v>5024</x:v>
      </x:c>
      <x:c r="C412" s="1" t="s">
        <x:v>5025</x:v>
      </x:c>
      <x:c r="D412" s="8" t="s">
        <x:v>4939</x:v>
      </x:c>
      <x:c r="E412" s="1" t="s">
        <x:v>54</x:v>
      </x:c>
      <x:c r="F412" s="8"/>
      <x:c r="G412" s="1" t="s">
        <x:v>5026</x:v>
      </x:c>
      <x:c r="H412" s="8" t="s">
        <x:v>5027</x:v>
      </x:c>
      <x:c r="I412" s="4"/>
      <x:c r="J412" s="8"/>
      <x:c r="K412" s="1"/>
      <x:c r="L412" s="8"/>
      <x:c r="M412" s="1" t="s">
        <x:v>61</x:v>
      </x:c>
      <x:c r="N412" s="8"/>
      <x:c r="O412" s="1"/>
      <x:c r="P412" s="8"/>
      <x:c r="Q412" s="1"/>
      <x:c r="R412" s="8" t="s">
        <x:v>5028</x:v>
      </x:c>
      <x:c r="S412" s="3"/>
      <x:c r="T412" s="8" t="s">
        <x:v>4905</x:v>
      </x:c>
      <x:c r="U412" s="1" t="s">
        <x:v>5020</x:v>
      </x:c>
      <x:c r="V412" s="13">
        <x:v>19</x:v>
      </x:c>
      <x:c r="W412" s="1" t="s">
        <x:v>4943</x:v>
      </x:c>
      <x:c r="X412" s="8" t="s">
        <x:v>66</x:v>
      </x:c>
      <x:c r="Y412" s="1" t="str">
        <x:v>Проверено автором исследования</x:v>
      </x:c>
      <x:c r="Z412" s="8"/>
      <x:c r="AA412" s="1" t="s">
        <x:v>4908</x:v>
      </x:c>
      <x:c r="AB412" s="13">
        <x:v>2017</x:v>
      </x:c>
      <x:c r="AC412" s="3">
        <x:v>46322</x:v>
      </x:c>
      <x:c r="AD412" s="8" t="s">
        <x:v>69</x:v>
      </x:c>
      <x:c r="AE412" s="1"/>
      <x:c r="AF412" s="8" t="s">
        <x:v>118</x:v>
      </x:c>
      <x:c r="AG412" s="1" t="s">
        <x:v>4909</x:v>
      </x:c>
      <x:c r="AH412" s="8" t="str">
        <x:v>Краткая затекстовая ссылка; повторная документальная сверка выполнена</x:v>
      </x:c>
      <x:c r="AI412" s="1"/>
      <x:c r="AJ412" s="17"/>
      <x:c r="AK412" s="1" t="s">
        <x:v>4910</x:v>
      </x:c>
      <x:c r="AL412" s="8" t="s">
        <x:v>4911</x:v>
      </x:c>
      <x:c r="AM412" s="1" t="s">
        <x:v>5021</x:v>
      </x:c>
      <x:c r="AN412" s="8" t="s">
        <x:v>75</x:v>
      </x:c>
      <x:c r="AO412" s="1" t="s">
        <x:v>54</x:v>
      </x:c>
      <x:c r="AP412" s="8"/>
      <x:c r="AQ412" s="1" t="s">
        <x:v>5029</x:v>
      </x:c>
      <x:c r="AR412" s="8" t="str">
        <x:v>Проверка автором исследования</x:v>
      </x:c>
      <x:c r="AS412" s="1" t="s">
        <x:v>5028</x:v>
      </x:c>
      <x:c r="AT412" s="8" t="s">
        <x:v>5030</x:v>
      </x:c>
      <x:c r="AU412" s="1" t="s">
        <x:v>5031</x:v>
      </x:c>
      <x:c r="AV412" s="17">
        <x:v>46322</x:v>
      </x:c>
      <x:c r="AW412" s="1" t="s">
        <x:v>4948</x:v>
      </x:c>
      <x:c r="AX412" s="8" t="s">
        <x:v>82</x:v>
      </x:c>
      <x:c r="AY412" s="8"/>
    </x:row>
    <x:row r="413" ht="69.94999694824219" customHeight="1">
      <x:c r="A413" s="1" t="s">
        <x:v>5032</x:v>
      </x:c>
      <x:c r="B413" s="8" t="s">
        <x:v>5033</x:v>
      </x:c>
      <x:c r="C413" s="1" t="s">
        <x:v>5034</x:v>
      </x:c>
      <x:c r="D413" s="8" t="s">
        <x:v>86</x:v>
      </x:c>
      <x:c r="E413" s="1" t="s">
        <x:v>76</x:v>
      </x:c>
      <x:c r="F413" s="8" t="s">
        <x:v>5035</x:v>
      </x:c>
      <x:c r="G413" s="1" t="s">
        <x:v>5036</x:v>
      </x:c>
      <x:c r="H413" s="8"/>
      <x:c r="I413" s="4">
        <x:v>1896</x:v>
      </x:c>
      <x:c r="J413" s="8"/>
      <x:c r="K413" s="1"/>
      <x:c r="L413" s="8" t="s">
        <x:v>5037</x:v>
      </x:c>
      <x:c r="M413" s="1" t="s">
        <x:v>90</x:v>
      </x:c>
      <x:c r="N413" s="8"/>
      <x:c r="O413" s="1" t="s">
        <x:v>1230</x:v>
      </x:c>
      <x:c r="P413" s="8"/>
      <x:c r="Q413" s="1"/>
      <x:c r="R413" s="8"/>
      <x:c r="S413" s="3"/>
      <x:c r="T413" s="8" t="s">
        <x:v>4905</x:v>
      </x:c>
      <x:c r="U413" s="1" t="s">
        <x:v>5020</x:v>
      </x:c>
      <x:c r="V413" s="13">
        <x:v>21</x:v>
      </x:c>
      <x:c r="W413" s="1" t="s">
        <x:v>4907</x:v>
      </x:c>
      <x:c r="X413" s="8" t="s">
        <x:v>66</x:v>
      </x:c>
      <x:c r="Y413" s="1" t="str">
        <x:v>Проверено автором исследования</x:v>
      </x:c>
      <x:c r="Z413" s="8"/>
      <x:c r="AA413" s="1" t="s">
        <x:v>4908</x:v>
      </x:c>
      <x:c r="AB413" s="13">
        <x:v>2017</x:v>
      </x:c>
      <x:c r="AC413" s="3"/>
      <x:c r="AD413" s="8" t="s">
        <x:v>93</x:v>
      </x:c>
      <x:c r="AE413" s="1"/>
      <x:c r="AF413" s="8" t="s">
        <x:v>118</x:v>
      </x:c>
      <x:c r="AG413" s="1" t="s">
        <x:v>4909</x:v>
      </x:c>
      <x:c r="AH413" s="8" t="str">
        <x:v>Краткая затекстовая ссылка; повторная документальная сверка выполнена</x:v>
      </x:c>
      <x:c r="AI413" s="1"/>
      <x:c r="AJ413" s="17"/>
      <x:c r="AK413" s="1" t="s">
        <x:v>4910</x:v>
      </x:c>
      <x:c r="AL413" s="8" t="s">
        <x:v>4911</x:v>
      </x:c>
      <x:c r="AM413" s="1" t="s">
        <x:v>5021</x:v>
      </x:c>
      <x:c r="AN413" s="8" t="s">
        <x:v>95</x:v>
      </x:c>
      <x:c r="AO413" s="1" t="s">
        <x:v>76</x:v>
      </x:c>
      <x:c r="AP413" s="8"/>
      <x:c r="AQ413" s="1" t="s">
        <x:v>5038</x:v>
      </x:c>
      <x:c r="AR413" s="8" t="str">
        <x:v>Проверка автором исследования</x:v>
      </x:c>
      <x:c r="AS413" s="1"/>
      <x:c r="AT413" s="8" t="s">
        <x:v>96</x:v>
      </x:c>
      <x:c r="AU413" s="1" t="s">
        <x:v>4914</x:v>
      </x:c>
      <x:c r="AV413" s="17"/>
      <x:c r="AW413" s="1" t="s">
        <x:v>4915</x:v>
      </x:c>
      <x:c r="AX413" s="8" t="s">
        <x:v>82</x:v>
      </x:c>
      <x:c r="AY413" s="8"/>
    </x:row>
    <x:row r="414" ht="69.94999694824219" customHeight="1">
      <x:c r="A414" s="1" t="s">
        <x:v>5039</x:v>
      </x:c>
      <x:c r="B414" s="8" t="s">
        <x:v>5040</x:v>
      </x:c>
      <x:c r="C414" s="1" t="s">
        <x:v>5041</x:v>
      </x:c>
      <x:c r="D414" s="8" t="s">
        <x:v>86</x:v>
      </x:c>
      <x:c r="E414" s="1" t="s">
        <x:v>76</x:v>
      </x:c>
      <x:c r="F414" s="8" t="s">
        <x:v>5042</x:v>
      </x:c>
      <x:c r="G414" s="1" t="s">
        <x:v>5043</x:v>
      </x:c>
      <x:c r="H414" s="8"/>
      <x:c r="I414" s="4">
        <x:v>2007</x:v>
      </x:c>
      <x:c r="J414" s="8"/>
      <x:c r="K414" s="1"/>
      <x:c r="L414" s="8" t="s">
        <x:v>106</x:v>
      </x:c>
      <x:c r="M414" s="1" t="s">
        <x:v>90</x:v>
      </x:c>
      <x:c r="N414" s="8" t="s">
        <x:v>5044</x:v>
      </x:c>
      <x:c r="O414" s="1"/>
      <x:c r="P414" s="8"/>
      <x:c r="Q414" s="1"/>
      <x:c r="R414" s="8"/>
      <x:c r="S414" s="3"/>
      <x:c r="T414" s="8" t="s">
        <x:v>4905</x:v>
      </x:c>
      <x:c r="U414" s="1" t="s">
        <x:v>5020</x:v>
      </x:c>
      <x:c r="V414" s="13">
        <x:v>23</x:v>
      </x:c>
      <x:c r="W414" s="1" t="s">
        <x:v>4907</x:v>
      </x:c>
      <x:c r="X414" s="8" t="s">
        <x:v>66</x:v>
      </x:c>
      <x:c r="Y414" s="1" t="str">
        <x:v>Проверено автором исследования</x:v>
      </x:c>
      <x:c r="Z414" s="8"/>
      <x:c r="AA414" s="1" t="s">
        <x:v>4908</x:v>
      </x:c>
      <x:c r="AB414" s="13">
        <x:v>2017</x:v>
      </x:c>
      <x:c r="AC414" s="3"/>
      <x:c r="AD414" s="8" t="s">
        <x:v>93</x:v>
      </x:c>
      <x:c r="AE414" s="1"/>
      <x:c r="AF414" s="8" t="s">
        <x:v>118</x:v>
      </x:c>
      <x:c r="AG414" s="1" t="s">
        <x:v>4909</x:v>
      </x:c>
      <x:c r="AH414" s="8" t="str">
        <x:v>Краткая затекстовая ссылка; повторная документальная сверка выполнена</x:v>
      </x:c>
      <x:c r="AI414" s="1"/>
      <x:c r="AJ414" s="17"/>
      <x:c r="AK414" s="1" t="s">
        <x:v>4910</x:v>
      </x:c>
      <x:c r="AL414" s="8" t="s">
        <x:v>4911</x:v>
      </x:c>
      <x:c r="AM414" s="1" t="s">
        <x:v>5021</x:v>
      </x:c>
      <x:c r="AN414" s="8" t="s">
        <x:v>95</x:v>
      </x:c>
      <x:c r="AO414" s="1" t="s">
        <x:v>76</x:v>
      </x:c>
      <x:c r="AP414" s="8"/>
      <x:c r="AQ414" s="1" t="s">
        <x:v>5045</x:v>
      </x:c>
      <x:c r="AR414" s="8" t="str">
        <x:v>Проверка автором исследования</x:v>
      </x:c>
      <x:c r="AS414" s="1"/>
      <x:c r="AT414" s="8" t="s">
        <x:v>96</x:v>
      </x:c>
      <x:c r="AU414" s="1" t="s">
        <x:v>4914</x:v>
      </x:c>
      <x:c r="AV414" s="17"/>
      <x:c r="AW414" s="1" t="s">
        <x:v>4915</x:v>
      </x:c>
      <x:c r="AX414" s="8" t="s">
        <x:v>82</x:v>
      </x:c>
      <x:c r="AY414" s="8"/>
    </x:row>
    <x:row r="415" ht="69.94999694824219" customHeight="1">
      <x:c r="A415" s="1" t="s">
        <x:v>5046</x:v>
      </x:c>
      <x:c r="B415" s="8" t="s">
        <x:v>5047</x:v>
      </x:c>
      <x:c r="C415" s="1" t="s">
        <x:v>5048</x:v>
      </x:c>
      <x:c r="D415" s="8" t="s">
        <x:v>86</x:v>
      </x:c>
      <x:c r="E415" s="1" t="s">
        <x:v>76</x:v>
      </x:c>
      <x:c r="F415" s="8" t="s">
        <x:v>5049</x:v>
      </x:c>
      <x:c r="G415" s="1" t="s">
        <x:v>5050</x:v>
      </x:c>
      <x:c r="H415" s="8"/>
      <x:c r="I415" s="4">
        <x:v>1997</x:v>
      </x:c>
      <x:c r="J415" s="8"/>
      <x:c r="K415" s="1"/>
      <x:c r="L415" s="8" t="s">
        <x:v>5051</x:v>
      </x:c>
      <x:c r="M415" s="1" t="s">
        <x:v>90</x:v>
      </x:c>
      <x:c r="N415" s="8" t="s">
        <x:v>5052</x:v>
      </x:c>
      <x:c r="O415" s="1" t="s">
        <x:v>1122</x:v>
      </x:c>
      <x:c r="P415" s="8"/>
      <x:c r="Q415" s="1"/>
      <x:c r="R415" s="8"/>
      <x:c r="S415" s="3"/>
      <x:c r="T415" s="8" t="s">
        <x:v>4905</x:v>
      </x:c>
      <x:c r="U415" s="1" t="s">
        <x:v>5020</x:v>
      </x:c>
      <x:c r="V415" s="13">
        <x:v>24</x:v>
      </x:c>
      <x:c r="W415" s="1" t="s">
        <x:v>4933</x:v>
      </x:c>
      <x:c r="X415" s="8" t="s">
        <x:v>66</x:v>
      </x:c>
      <x:c r="Y415" s="1" t="str">
        <x:v>Проверено автором; дополнительно проверено Михаилом Саяпиным</x:v>
      </x:c>
      <x:c r="Z415" s="8"/>
      <x:c r="AA415" s="1" t="s">
        <x:v>4908</x:v>
      </x:c>
      <x:c r="AB415" s="13">
        <x:v>2017</x:v>
      </x:c>
      <x:c r="AC415" s="3"/>
      <x:c r="AD415" s="8" t="s">
        <x:v>93</x:v>
      </x:c>
      <x:c r="AE415" s="1"/>
      <x:c r="AF415" s="8" t="s">
        <x:v>118</x:v>
      </x:c>
      <x:c r="AG415" s="1" t="s">
        <x:v>4909</x:v>
      </x:c>
      <x:c r="AH415" s="8" t="s">
        <x:v>144</x:v>
      </x:c>
      <x:c r="AI415" s="1" t="s">
        <x:v>145</x:v>
      </x:c>
      <x:c r="AJ415" s="17">
        <x:v>46323</x:v>
      </x:c>
      <x:c r="AK415" s="1" t="s">
        <x:v>4910</x:v>
      </x:c>
      <x:c r="AL415" s="8" t="s">
        <x:v>4911</x:v>
      </x:c>
      <x:c r="AM415" s="1" t="s">
        <x:v>5021</x:v>
      </x:c>
      <x:c r="AN415" s="8" t="s">
        <x:v>95</x:v>
      </x:c>
      <x:c r="AO415" s="1" t="s">
        <x:v>76</x:v>
      </x:c>
      <x:c r="AP415" s="8"/>
      <x:c r="AQ415" s="1" t="s">
        <x:v>5053</x:v>
      </x:c>
      <x:c r="AR415" s="8" t="str">
        <x:v>Проверка автором исследования; дополнительная проверка Михаилом Саяпиным; согласование 28.10.2026</x:v>
      </x:c>
      <x:c r="AS415" s="1"/>
      <x:c r="AT415" s="8" t="s">
        <x:v>96</x:v>
      </x:c>
      <x:c r="AU415" s="1" t="s">
        <x:v>4914</x:v>
      </x:c>
      <x:c r="AV415" s="17"/>
      <x:c r="AW415" s="1" t="s">
        <x:v>4915</x:v>
      </x:c>
      <x:c r="AX415" s="8" t="s">
        <x:v>146</x:v>
      </x:c>
      <x:c r="AY415" s="8" t="s">
        <x:v>5054</x:v>
      </x:c>
    </x:row>
    <x:row r="416" ht="69.94999694824219" customHeight="1">
      <x:c r="A416" s="1" t="s">
        <x:v>5055</x:v>
      </x:c>
      <x:c r="B416" s="8" t="s">
        <x:v>5056</x:v>
      </x:c>
      <x:c r="C416" s="1" t="s">
        <x:v>5057</x:v>
      </x:c>
      <x:c r="D416" s="8" t="s">
        <x:v>5058</x:v>
      </x:c>
      <x:c r="E416" s="1" t="s">
        <x:v>76</x:v>
      </x:c>
      <x:c r="F416" s="8"/>
      <x:c r="G416" s="1" t="s">
        <x:v>5059</x:v>
      </x:c>
      <x:c r="H416" s="8" t="s">
        <x:v>5060</x:v>
      </x:c>
      <x:c r="I416" s="4">
        <x:v>2014</x:v>
      </x:c>
      <x:c r="J416" s="8"/>
      <x:c r="K416" s="1" t="s">
        <x:v>3286</x:v>
      </x:c>
      <x:c r="L416" s="8" t="s">
        <x:v>5061</x:v>
      </x:c>
      <x:c r="M416" s="1" t="s">
        <x:v>5062</x:v>
      </x:c>
      <x:c r="N416" s="8"/>
      <x:c r="O416" s="1"/>
      <x:c r="P416" s="8"/>
      <x:c r="Q416" s="1"/>
      <x:c r="R416" s="8"/>
      <x:c r="S416" s="3"/>
      <x:c r="T416" s="8" t="s">
        <x:v>4905</x:v>
      </x:c>
      <x:c r="U416" s="1" t="s">
        <x:v>5020</x:v>
      </x:c>
      <x:c r="V416" s="13">
        <x:v>25</x:v>
      </x:c>
      <x:c r="W416" s="1" t="s">
        <x:v>5063</x:v>
      </x:c>
      <x:c r="X416" s="8" t="s">
        <x:v>66</x:v>
      </x:c>
      <x:c r="Y416" s="1" t="str">
        <x:v>Проверено автором; дополнительно проверено Михаилом Саяпиным</x:v>
      </x:c>
      <x:c r="Z416" s="8"/>
      <x:c r="AA416" s="1" t="s">
        <x:v>4908</x:v>
      </x:c>
      <x:c r="AB416" s="13">
        <x:v>2017</x:v>
      </x:c>
      <x:c r="AC416" s="3"/>
      <x:c r="AD416" s="8" t="s">
        <x:v>93</x:v>
      </x:c>
      <x:c r="AE416" s="1"/>
      <x:c r="AF416" s="8" t="s">
        <x:v>118</x:v>
      </x:c>
      <x:c r="AG416" s="1" t="s">
        <x:v>4909</x:v>
      </x:c>
      <x:c r="AH416" s="8" t="s">
        <x:v>144</x:v>
      </x:c>
      <x:c r="AI416" s="1" t="s">
        <x:v>145</x:v>
      </x:c>
      <x:c r="AJ416" s="17">
        <x:v>46323</x:v>
      </x:c>
      <x:c r="AK416" s="1" t="s">
        <x:v>4910</x:v>
      </x:c>
      <x:c r="AL416" s="8" t="s">
        <x:v>4911</x:v>
      </x:c>
      <x:c r="AM416" s="1" t="s">
        <x:v>5021</x:v>
      </x:c>
      <x:c r="AN416" s="8" t="s">
        <x:v>95</x:v>
      </x:c>
      <x:c r="AO416" s="1" t="s">
        <x:v>76</x:v>
      </x:c>
      <x:c r="AP416" s="8"/>
      <x:c r="AQ416" s="1" t="s">
        <x:v>5064</x:v>
      </x:c>
      <x:c r="AR416" s="8" t="str">
        <x:v>Проверка автором исследования; дополнительная проверка Михаилом Саяпиным; согласование 28.10.2026</x:v>
      </x:c>
      <x:c r="AS416" s="1"/>
      <x:c r="AT416" s="8" t="s">
        <x:v>96</x:v>
      </x:c>
      <x:c r="AU416" s="1" t="s">
        <x:v>4914</x:v>
      </x:c>
      <x:c r="AV416" s="17"/>
      <x:c r="AW416" s="1" t="s">
        <x:v>4915</x:v>
      </x:c>
      <x:c r="AX416" s="8" t="s">
        <x:v>146</x:v>
      </x:c>
      <x:c r="AY416" s="8" t="s">
        <x:v>5065</x:v>
      </x:c>
    </x:row>
    <x:row r="417" ht="69.94999694824219" customHeight="1">
      <x:c r="A417" s="1" t="s">
        <x:v>5066</x:v>
      </x:c>
      <x:c r="B417" s="8" t="s">
        <x:v>5067</x:v>
      </x:c>
      <x:c r="C417" s="1" t="s">
        <x:v>5068</x:v>
      </x:c>
      <x:c r="D417" s="8" t="s">
        <x:v>5058</x:v>
      </x:c>
      <x:c r="E417" s="1" t="s">
        <x:v>76</x:v>
      </x:c>
      <x:c r="F417" s="8"/>
      <x:c r="G417" s="1" t="s">
        <x:v>5069</x:v>
      </x:c>
      <x:c r="H417" s="8" t="s">
        <x:v>5060</x:v>
      </x:c>
      <x:c r="I417" s="4">
        <x:v>2004</x:v>
      </x:c>
      <x:c r="J417" s="8"/>
      <x:c r="K417" s="1" t="s">
        <x:v>3286</x:v>
      </x:c>
      <x:c r="L417" s="8" t="s">
        <x:v>5070</x:v>
      </x:c>
      <x:c r="M417" s="1" t="s">
        <x:v>5062</x:v>
      </x:c>
      <x:c r="N417" s="8"/>
      <x:c r="O417" s="1"/>
      <x:c r="P417" s="8"/>
      <x:c r="Q417" s="1"/>
      <x:c r="R417" s="8"/>
      <x:c r="S417" s="3"/>
      <x:c r="T417" s="8" t="s">
        <x:v>4905</x:v>
      </x:c>
      <x:c r="U417" s="1" t="s">
        <x:v>5020</x:v>
      </x:c>
      <x:c r="V417" s="13">
        <x:v>26</x:v>
      </x:c>
      <x:c r="W417" s="1" t="s">
        <x:v>5071</x:v>
      </x:c>
      <x:c r="X417" s="8" t="s">
        <x:v>66</x:v>
      </x:c>
      <x:c r="Y417" s="1" t="str">
        <x:v>Проверено автором исследования</x:v>
      </x:c>
      <x:c r="Z417" s="8"/>
      <x:c r="AA417" s="1" t="s">
        <x:v>4908</x:v>
      </x:c>
      <x:c r="AB417" s="13">
        <x:v>2017</x:v>
      </x:c>
      <x:c r="AC417" s="3"/>
      <x:c r="AD417" s="8" t="s">
        <x:v>93</x:v>
      </x:c>
      <x:c r="AE417" s="1"/>
      <x:c r="AF417" s="8" t="s">
        <x:v>118</x:v>
      </x:c>
      <x:c r="AG417" s="1" t="s">
        <x:v>4909</x:v>
      </x:c>
      <x:c r="AH417" s="8" t="str">
        <x:v>Краткая затекстовая ссылка; повторная документальная сверка выполнена</x:v>
      </x:c>
      <x:c r="AI417" s="1"/>
      <x:c r="AJ417" s="17"/>
      <x:c r="AK417" s="1" t="s">
        <x:v>4910</x:v>
      </x:c>
      <x:c r="AL417" s="8" t="s">
        <x:v>4911</x:v>
      </x:c>
      <x:c r="AM417" s="1" t="s">
        <x:v>5021</x:v>
      </x:c>
      <x:c r="AN417" s="8" t="s">
        <x:v>95</x:v>
      </x:c>
      <x:c r="AO417" s="1" t="s">
        <x:v>76</x:v>
      </x:c>
      <x:c r="AP417" s="8"/>
      <x:c r="AQ417" s="1" t="s">
        <x:v>5072</x:v>
      </x:c>
      <x:c r="AR417" s="8" t="str">
        <x:v>Проверка автором исследования</x:v>
      </x:c>
      <x:c r="AS417" s="1"/>
      <x:c r="AT417" s="8" t="s">
        <x:v>96</x:v>
      </x:c>
      <x:c r="AU417" s="1" t="s">
        <x:v>4914</x:v>
      </x:c>
      <x:c r="AV417" s="17"/>
      <x:c r="AW417" s="1" t="s">
        <x:v>4915</x:v>
      </x:c>
      <x:c r="AX417" s="8" t="s">
        <x:v>82</x:v>
      </x:c>
      <x:c r="AY417" s="8"/>
    </x:row>
    <x:row r="418" ht="69.94999694824219" customHeight="1">
      <x:c r="A418" s="1" t="s">
        <x:v>5073</x:v>
      </x:c>
      <x:c r="B418" s="8" t="s">
        <x:v>5074</x:v>
      </x:c>
      <x:c r="C418" s="1" t="s">
        <x:v>5075</x:v>
      </x:c>
      <x:c r="D418" s="8" t="s">
        <x:v>5058</x:v>
      </x:c>
      <x:c r="E418" s="1" t="s">
        <x:v>76</x:v>
      </x:c>
      <x:c r="F418" s="8"/>
      <x:c r="G418" s="1" t="s">
        <x:v>5076</x:v>
      </x:c>
      <x:c r="H418" s="8" t="s">
        <x:v>5077</x:v>
      </x:c>
      <x:c r="I418" s="4">
        <x:v>2003</x:v>
      </x:c>
      <x:c r="J418" s="8"/>
      <x:c r="K418" s="1" t="s">
        <x:v>5078</x:v>
      </x:c>
      <x:c r="L418" s="8"/>
      <x:c r="M418" s="1"/>
      <x:c r="N418" s="8"/>
      <x:c r="O418" s="1"/>
      <x:c r="P418" s="8"/>
      <x:c r="Q418" s="1"/>
      <x:c r="R418" s="8"/>
      <x:c r="S418" s="3"/>
      <x:c r="T418" s="8" t="s">
        <x:v>4905</x:v>
      </x:c>
      <x:c r="U418" s="1" t="s">
        <x:v>5020</x:v>
      </x:c>
      <x:c r="V418" s="13">
        <x:v>27</x:v>
      </x:c>
      <x:c r="W418" s="1" t="s">
        <x:v>5079</x:v>
      </x:c>
      <x:c r="X418" s="8" t="s">
        <x:v>66</x:v>
      </x:c>
      <x:c r="Y418" s="1" t="str">
        <x:v>Проверено автором; дополнительно проверено Михаилом Саяпиным</x:v>
      </x:c>
      <x:c r="Z418" s="8"/>
      <x:c r="AA418" s="1" t="s">
        <x:v>4908</x:v>
      </x:c>
      <x:c r="AB418" s="13">
        <x:v>2017</x:v>
      </x:c>
      <x:c r="AC418" s="3"/>
      <x:c r="AD418" s="8" t="s">
        <x:v>93</x:v>
      </x:c>
      <x:c r="AE418" s="1"/>
      <x:c r="AF418" s="8" t="s">
        <x:v>118</x:v>
      </x:c>
      <x:c r="AG418" s="1" t="s">
        <x:v>4909</x:v>
      </x:c>
      <x:c r="AH418" s="8" t="s">
        <x:v>144</x:v>
      </x:c>
      <x:c r="AI418" s="1" t="s">
        <x:v>145</x:v>
      </x:c>
      <x:c r="AJ418" s="17">
        <x:v>46323</x:v>
      </x:c>
      <x:c r="AK418" s="1" t="s">
        <x:v>4910</x:v>
      </x:c>
      <x:c r="AL418" s="8" t="s">
        <x:v>4911</x:v>
      </x:c>
      <x:c r="AM418" s="1" t="s">
        <x:v>5021</x:v>
      </x:c>
      <x:c r="AN418" s="8" t="s">
        <x:v>95</x:v>
      </x:c>
      <x:c r="AO418" s="1" t="s">
        <x:v>76</x:v>
      </x:c>
      <x:c r="AP418" s="8"/>
      <x:c r="AQ418" s="1" t="s">
        <x:v>5080</x:v>
      </x:c>
      <x:c r="AR418" s="8" t="str">
        <x:v>Проверка автором исследования; дополнительная проверка Михаилом Саяпиным; согласование 28.10.2026</x:v>
      </x:c>
      <x:c r="AS418" s="1"/>
      <x:c r="AT418" s="8" t="s">
        <x:v>96</x:v>
      </x:c>
      <x:c r="AU418" s="1" t="s">
        <x:v>4914</x:v>
      </x:c>
      <x:c r="AV418" s="17"/>
      <x:c r="AW418" s="1" t="s">
        <x:v>4915</x:v>
      </x:c>
      <x:c r="AX418" s="8" t="s">
        <x:v>146</x:v>
      </x:c>
      <x:c r="AY418" s="8" t="s">
        <x:v>5081</x:v>
      </x:c>
    </x:row>
    <x:row r="419" ht="69.94999694824219" customHeight="1">
      <x:c r="A419" s="1" t="s">
        <x:v>5082</x:v>
      </x:c>
      <x:c r="B419" s="8" t="s">
        <x:v>5083</x:v>
      </x:c>
      <x:c r="C419" s="1" t="s">
        <x:v>5084</x:v>
      </x:c>
      <x:c r="D419" s="8" t="s">
        <x:v>5058</x:v>
      </x:c>
      <x:c r="E419" s="1" t="s">
        <x:v>76</x:v>
      </x:c>
      <x:c r="F419" s="8"/>
      <x:c r="G419" s="1" t="s">
        <x:v>5085</x:v>
      </x:c>
      <x:c r="H419" s="8" t="s">
        <x:v>4989</x:v>
      </x:c>
      <x:c r="I419" s="4">
        <x:v>2006</x:v>
      </x:c>
      <x:c r="J419" s="8"/>
      <x:c r="K419" s="1" t="s">
        <x:v>5086</x:v>
      </x:c>
      <x:c r="L419" s="8"/>
      <x:c r="M419" s="1"/>
      <x:c r="N419" s="8"/>
      <x:c r="O419" s="1"/>
      <x:c r="P419" s="8"/>
      <x:c r="Q419" s="1"/>
      <x:c r="R419" s="8"/>
      <x:c r="S419" s="3"/>
      <x:c r="T419" s="8" t="s">
        <x:v>4905</x:v>
      </x:c>
      <x:c r="U419" s="1" t="s">
        <x:v>5020</x:v>
      </x:c>
      <x:c r="V419" s="13">
        <x:v>29</x:v>
      </x:c>
      <x:c r="W419" s="1" t="s">
        <x:v>5087</x:v>
      </x:c>
      <x:c r="X419" s="8" t="s">
        <x:v>66</x:v>
      </x:c>
      <x:c r="Y419" s="1" t="str">
        <x:v>Проверено автором; дополнительно проверено Михаилом Саяпиным</x:v>
      </x:c>
      <x:c r="Z419" s="8"/>
      <x:c r="AA419" s="1" t="s">
        <x:v>4908</x:v>
      </x:c>
      <x:c r="AB419" s="13">
        <x:v>2017</x:v>
      </x:c>
      <x:c r="AC419" s="3"/>
      <x:c r="AD419" s="8" t="s">
        <x:v>93</x:v>
      </x:c>
      <x:c r="AE419" s="1"/>
      <x:c r="AF419" s="8" t="s">
        <x:v>118</x:v>
      </x:c>
      <x:c r="AG419" s="1" t="s">
        <x:v>4909</x:v>
      </x:c>
      <x:c r="AH419" s="8" t="s">
        <x:v>144</x:v>
      </x:c>
      <x:c r="AI419" s="1" t="s">
        <x:v>145</x:v>
      </x:c>
      <x:c r="AJ419" s="17">
        <x:v>46323</x:v>
      </x:c>
      <x:c r="AK419" s="1" t="s">
        <x:v>4910</x:v>
      </x:c>
      <x:c r="AL419" s="8" t="s">
        <x:v>4911</x:v>
      </x:c>
      <x:c r="AM419" s="1" t="s">
        <x:v>5021</x:v>
      </x:c>
      <x:c r="AN419" s="8" t="s">
        <x:v>95</x:v>
      </x:c>
      <x:c r="AO419" s="1" t="s">
        <x:v>76</x:v>
      </x:c>
      <x:c r="AP419" s="8"/>
      <x:c r="AQ419" s="1" t="s">
        <x:v>5088</x:v>
      </x:c>
      <x:c r="AR419" s="8" t="str">
        <x:v>Проверка автором исследования; дополнительная проверка Михаилом Саяпиным; согласование 28.10.2026</x:v>
      </x:c>
      <x:c r="AS419" s="1"/>
      <x:c r="AT419" s="8" t="s">
        <x:v>96</x:v>
      </x:c>
      <x:c r="AU419" s="1" t="s">
        <x:v>4914</x:v>
      </x:c>
      <x:c r="AV419" s="17"/>
      <x:c r="AW419" s="1" t="s">
        <x:v>4915</x:v>
      </x:c>
      <x:c r="AX419" s="8" t="s">
        <x:v>146</x:v>
      </x:c>
      <x:c r="AY419" s="8" t="s">
        <x:v>5089</x:v>
      </x:c>
    </x:row>
    <x:row r="420" ht="69.94999694824219" customHeight="1">
      <x:c r="A420" s="1" t="s">
        <x:v>5090</x:v>
      </x:c>
      <x:c r="B420" s="8" t="s">
        <x:v>5091</x:v>
      </x:c>
      <x:c r="C420" s="1" t="s">
        <x:v>5092</x:v>
      </x:c>
      <x:c r="D420" s="8" t="s">
        <x:v>5058</x:v>
      </x:c>
      <x:c r="E420" s="1" t="s">
        <x:v>76</x:v>
      </x:c>
      <x:c r="F420" s="8"/>
      <x:c r="G420" s="1" t="s">
        <x:v>5093</x:v>
      </x:c>
      <x:c r="H420" s="8" t="s">
        <x:v>5094</x:v>
      </x:c>
      <x:c r="I420" s="4">
        <x:v>2005</x:v>
      </x:c>
      <x:c r="J420" s="8"/>
      <x:c r="K420" s="1" t="s">
        <x:v>5095</x:v>
      </x:c>
      <x:c r="L420" s="8"/>
      <x:c r="M420" s="1"/>
      <x:c r="N420" s="8"/>
      <x:c r="O420" s="1"/>
      <x:c r="P420" s="8"/>
      <x:c r="Q420" s="1"/>
      <x:c r="R420" s="8"/>
      <x:c r="S420" s="3"/>
      <x:c r="T420" s="8" t="s">
        <x:v>4905</x:v>
      </x:c>
      <x:c r="U420" s="1" t="s">
        <x:v>5020</x:v>
      </x:c>
      <x:c r="V420" s="13">
        <x:v>30</x:v>
      </x:c>
      <x:c r="W420" s="1" t="s">
        <x:v>5096</x:v>
      </x:c>
      <x:c r="X420" s="8" t="s">
        <x:v>66</x:v>
      </x:c>
      <x:c r="Y420" s="1" t="str">
        <x:v>Проверено автором; дополнительно проверено Михаилом Саяпиным</x:v>
      </x:c>
      <x:c r="Z420" s="8"/>
      <x:c r="AA420" s="1" t="s">
        <x:v>4908</x:v>
      </x:c>
      <x:c r="AB420" s="13">
        <x:v>2017</x:v>
      </x:c>
      <x:c r="AC420" s="3"/>
      <x:c r="AD420" s="8" t="s">
        <x:v>93</x:v>
      </x:c>
      <x:c r="AE420" s="1"/>
      <x:c r="AF420" s="8" t="s">
        <x:v>118</x:v>
      </x:c>
      <x:c r="AG420" s="1" t="s">
        <x:v>4909</x:v>
      </x:c>
      <x:c r="AH420" s="8" t="s">
        <x:v>1375</x:v>
      </x:c>
      <x:c r="AI420" s="1" t="s">
        <x:v>145</x:v>
      </x:c>
      <x:c r="AJ420" s="17">
        <x:v>46323</x:v>
      </x:c>
      <x:c r="AK420" s="1" t="s">
        <x:v>4910</x:v>
      </x:c>
      <x:c r="AL420" s="8" t="s">
        <x:v>4911</x:v>
      </x:c>
      <x:c r="AM420" s="1" t="s">
        <x:v>5021</x:v>
      </x:c>
      <x:c r="AN420" s="8" t="s">
        <x:v>95</x:v>
      </x:c>
      <x:c r="AO420" s="1" t="s">
        <x:v>76</x:v>
      </x:c>
      <x:c r="AP420" s="8"/>
      <x:c r="AQ420" s="1" t="s">
        <x:v>5097</x:v>
      </x:c>
      <x:c r="AR420" s="8" t="str">
        <x:v>Проверка автором исследования; дополнительная проверка Михаилом Саяпиным; согласование 28.10.2026</x:v>
      </x:c>
      <x:c r="AS420" s="1"/>
      <x:c r="AT420" s="8" t="s">
        <x:v>96</x:v>
      </x:c>
      <x:c r="AU420" s="1" t="s">
        <x:v>4914</x:v>
      </x:c>
      <x:c r="AV420" s="17"/>
      <x:c r="AW420" s="1" t="s">
        <x:v>4915</x:v>
      </x:c>
      <x:c r="AX420" s="8" t="s">
        <x:v>146</x:v>
      </x:c>
      <x:c r="AY420" s="8" t="s">
        <x:v>5098</x:v>
      </x:c>
    </x:row>
    <x:row r="421" ht="69.94999694824219" customHeight="1">
      <x:c r="A421" s="1" t="s">
        <x:v>5099</x:v>
      </x:c>
      <x:c r="B421" s="8" t="s">
        <x:v>5100</x:v>
      </x:c>
      <x:c r="C421" s="1" t="s">
        <x:v>5101</x:v>
      </x:c>
      <x:c r="D421" s="8" t="s">
        <x:v>5058</x:v>
      </x:c>
      <x:c r="E421" s="1" t="s">
        <x:v>76</x:v>
      </x:c>
      <x:c r="F421" s="8"/>
      <x:c r="G421" s="1" t="s">
        <x:v>5102</x:v>
      </x:c>
      <x:c r="H421" s="8" t="s">
        <x:v>4989</x:v>
      </x:c>
      <x:c r="I421" s="4">
        <x:v>2007</x:v>
      </x:c>
      <x:c r="J421" s="8"/>
      <x:c r="K421" s="1" t="s">
        <x:v>5103</x:v>
      </x:c>
      <x:c r="L421" s="8"/>
      <x:c r="M421" s="1"/>
      <x:c r="N421" s="8"/>
      <x:c r="O421" s="1"/>
      <x:c r="P421" s="8"/>
      <x:c r="Q421" s="1"/>
      <x:c r="R421" s="8"/>
      <x:c r="S421" s="3"/>
      <x:c r="T421" s="8" t="s">
        <x:v>4905</x:v>
      </x:c>
      <x:c r="U421" s="1" t="s">
        <x:v>5104</x:v>
      </x:c>
      <x:c r="V421" s="13">
        <x:v>32</x:v>
      </x:c>
      <x:c r="W421" s="1" t="s">
        <x:v>5105</x:v>
      </x:c>
      <x:c r="X421" s="8" t="s">
        <x:v>66</x:v>
      </x:c>
      <x:c r="Y421" s="1" t="str">
        <x:v>Проверено автором; дополнительно проверено Михаилом Саяпиным</x:v>
      </x:c>
      <x:c r="Z421" s="8"/>
      <x:c r="AA421" s="1" t="s">
        <x:v>4908</x:v>
      </x:c>
      <x:c r="AB421" s="13">
        <x:v>2017</x:v>
      </x:c>
      <x:c r="AC421" s="3"/>
      <x:c r="AD421" s="8" t="s">
        <x:v>93</x:v>
      </x:c>
      <x:c r="AE421" s="1"/>
      <x:c r="AF421" s="8" t="s">
        <x:v>118</x:v>
      </x:c>
      <x:c r="AG421" s="1" t="s">
        <x:v>4909</x:v>
      </x:c>
      <x:c r="AH421" s="8" t="s">
        <x:v>144</x:v>
      </x:c>
      <x:c r="AI421" s="1" t="s">
        <x:v>145</x:v>
      </x:c>
      <x:c r="AJ421" s="17">
        <x:v>46323</x:v>
      </x:c>
      <x:c r="AK421" s="1" t="s">
        <x:v>4910</x:v>
      </x:c>
      <x:c r="AL421" s="8" t="s">
        <x:v>4911</x:v>
      </x:c>
      <x:c r="AM421" s="1" t="s">
        <x:v>5106</x:v>
      </x:c>
      <x:c r="AN421" s="8" t="s">
        <x:v>95</x:v>
      </x:c>
      <x:c r="AO421" s="1" t="s">
        <x:v>76</x:v>
      </x:c>
      <x:c r="AP421" s="8"/>
      <x:c r="AQ421" s="1" t="s">
        <x:v>5107</x:v>
      </x:c>
      <x:c r="AR421" s="8" t="str">
        <x:v>Проверка автором исследования; дополнительная проверка Михаилом Саяпиным; согласование 28.10.2026</x:v>
      </x:c>
      <x:c r="AS421" s="1"/>
      <x:c r="AT421" s="8" t="s">
        <x:v>96</x:v>
      </x:c>
      <x:c r="AU421" s="1" t="s">
        <x:v>4914</x:v>
      </x:c>
      <x:c r="AV421" s="17"/>
      <x:c r="AW421" s="1" t="s">
        <x:v>4915</x:v>
      </x:c>
      <x:c r="AX421" s="8" t="s">
        <x:v>146</x:v>
      </x:c>
      <x:c r="AY421" s="8" t="s">
        <x:v>5108</x:v>
      </x:c>
    </x:row>
    <x:row r="422" ht="69.94999694824219" customHeight="1">
      <x:c r="A422" s="1" t="s">
        <x:v>5109</x:v>
      </x:c>
      <x:c r="B422" s="8" t="s">
        <x:v>5110</x:v>
      </x:c>
      <x:c r="C422" s="1" t="s">
        <x:v>5111</x:v>
      </x:c>
      <x:c r="D422" s="8" t="s">
        <x:v>5058</x:v>
      </x:c>
      <x:c r="E422" s="1" t="s">
        <x:v>76</x:v>
      </x:c>
      <x:c r="F422" s="8"/>
      <x:c r="G422" s="1" t="s">
        <x:v>5112</x:v>
      </x:c>
      <x:c r="H422" s="8" t="s">
        <x:v>5113</x:v>
      </x:c>
      <x:c r="I422" s="4">
        <x:v>2003</x:v>
      </x:c>
      <x:c r="J422" s="8"/>
      <x:c r="K422" s="1" t="s">
        <x:v>5114</x:v>
      </x:c>
      <x:c r="L422" s="8"/>
      <x:c r="M422" s="1"/>
      <x:c r="N422" s="8"/>
      <x:c r="O422" s="1"/>
      <x:c r="P422" s="8"/>
      <x:c r="Q422" s="1"/>
      <x:c r="R422" s="8"/>
      <x:c r="S422" s="3"/>
      <x:c r="T422" s="8" t="s">
        <x:v>4905</x:v>
      </x:c>
      <x:c r="U422" s="1" t="s">
        <x:v>5104</x:v>
      </x:c>
      <x:c r="V422" s="13">
        <x:v>33</x:v>
      </x:c>
      <x:c r="W422" s="1" t="s">
        <x:v>5079</x:v>
      </x:c>
      <x:c r="X422" s="8" t="s">
        <x:v>66</x:v>
      </x:c>
      <x:c r="Y422" s="1" t="str">
        <x:v>Проверено автором; дополнительно проверено Михаилом Саяпиным</x:v>
      </x:c>
      <x:c r="Z422" s="8"/>
      <x:c r="AA422" s="1" t="s">
        <x:v>4908</x:v>
      </x:c>
      <x:c r="AB422" s="13">
        <x:v>2017</x:v>
      </x:c>
      <x:c r="AC422" s="3"/>
      <x:c r="AD422" s="8" t="s">
        <x:v>93</x:v>
      </x:c>
      <x:c r="AE422" s="1"/>
      <x:c r="AF422" s="8" t="s">
        <x:v>118</x:v>
      </x:c>
      <x:c r="AG422" s="1" t="s">
        <x:v>4909</x:v>
      </x:c>
      <x:c r="AH422" s="8" t="s">
        <x:v>144</x:v>
      </x:c>
      <x:c r="AI422" s="1" t="s">
        <x:v>145</x:v>
      </x:c>
      <x:c r="AJ422" s="17">
        <x:v>46323</x:v>
      </x:c>
      <x:c r="AK422" s="1" t="s">
        <x:v>4910</x:v>
      </x:c>
      <x:c r="AL422" s="8" t="s">
        <x:v>4911</x:v>
      </x:c>
      <x:c r="AM422" s="1" t="s">
        <x:v>5106</x:v>
      </x:c>
      <x:c r="AN422" s="8" t="s">
        <x:v>95</x:v>
      </x:c>
      <x:c r="AO422" s="1" t="s">
        <x:v>76</x:v>
      </x:c>
      <x:c r="AP422" s="8"/>
      <x:c r="AQ422" s="1" t="s">
        <x:v>5115</x:v>
      </x:c>
      <x:c r="AR422" s="8" t="str">
        <x:v>Проверка автором исследования; дополнительная проверка Михаилом Саяпиным; согласование 28.10.2026</x:v>
      </x:c>
      <x:c r="AS422" s="1"/>
      <x:c r="AT422" s="8" t="s">
        <x:v>96</x:v>
      </x:c>
      <x:c r="AU422" s="1" t="s">
        <x:v>4914</x:v>
      </x:c>
      <x:c r="AV422" s="17"/>
      <x:c r="AW422" s="1" t="s">
        <x:v>4915</x:v>
      </x:c>
      <x:c r="AX422" s="8" t="s">
        <x:v>146</x:v>
      </x:c>
      <x:c r="AY422" s="8" t="s">
        <x:v>5116</x:v>
      </x:c>
    </x:row>
    <x:row r="423" ht="69.94999694824219" customHeight="1">
      <x:c r="A423" s="1" t="s">
        <x:v>5117</x:v>
      </x:c>
      <x:c r="B423" s="8" t="s">
        <x:v>5118</x:v>
      </x:c>
      <x:c r="C423" s="1" t="s">
        <x:v>5119</x:v>
      </x:c>
      <x:c r="D423" s="8" t="s">
        <x:v>86</x:v>
      </x:c>
      <x:c r="E423" s="1" t="s">
        <x:v>76</x:v>
      </x:c>
      <x:c r="F423" s="8" t="s">
        <x:v>5120</x:v>
      </x:c>
      <x:c r="G423" s="1" t="s">
        <x:v>5121</x:v>
      </x:c>
      <x:c r="H423" s="8"/>
      <x:c r="I423" s="4">
        <x:v>1991</x:v>
      </x:c>
      <x:c r="J423" s="8"/>
      <x:c r="K423" s="1"/>
      <x:c r="L423" s="8" t="s">
        <x:v>5122</x:v>
      </x:c>
      <x:c r="M423" s="1" t="s">
        <x:v>61</x:v>
      </x:c>
      <x:c r="N423" s="8" t="s">
        <x:v>5123</x:v>
      </x:c>
      <x:c r="O423" s="1" t="s">
        <x:v>1122</x:v>
      </x:c>
      <x:c r="P423" s="8"/>
      <x:c r="Q423" s="1"/>
      <x:c r="R423" s="8"/>
      <x:c r="S423" s="3"/>
      <x:c r="T423" s="8" t="s">
        <x:v>4905</x:v>
      </x:c>
      <x:c r="U423" s="1" t="s">
        <x:v>5104</x:v>
      </x:c>
      <x:c r="V423" s="13">
        <x:v>34</x:v>
      </x:c>
      <x:c r="W423" s="1" t="s">
        <x:v>4933</x:v>
      </x:c>
      <x:c r="X423" s="8" t="s">
        <x:v>66</x:v>
      </x:c>
      <x:c r="Y423" s="1" t="str">
        <x:v>Проверено автором; дополнительно проверено Михаилом Саяпиным</x:v>
      </x:c>
      <x:c r="Z423" s="8"/>
      <x:c r="AA423" s="1" t="s">
        <x:v>4908</x:v>
      </x:c>
      <x:c r="AB423" s="13">
        <x:v>2017</x:v>
      </x:c>
      <x:c r="AC423" s="3"/>
      <x:c r="AD423" s="8" t="s">
        <x:v>93</x:v>
      </x:c>
      <x:c r="AE423" s="1"/>
      <x:c r="AF423" s="8" t="s">
        <x:v>118</x:v>
      </x:c>
      <x:c r="AG423" s="1" t="s">
        <x:v>4909</x:v>
      </x:c>
      <x:c r="AH423" s="8" t="s">
        <x:v>144</x:v>
      </x:c>
      <x:c r="AI423" s="1" t="s">
        <x:v>145</x:v>
      </x:c>
      <x:c r="AJ423" s="17">
        <x:v>46323</x:v>
      </x:c>
      <x:c r="AK423" s="1" t="s">
        <x:v>4910</x:v>
      </x:c>
      <x:c r="AL423" s="8" t="s">
        <x:v>4911</x:v>
      </x:c>
      <x:c r="AM423" s="1" t="s">
        <x:v>5106</x:v>
      </x:c>
      <x:c r="AN423" s="8" t="s">
        <x:v>95</x:v>
      </x:c>
      <x:c r="AO423" s="1" t="s">
        <x:v>76</x:v>
      </x:c>
      <x:c r="AP423" s="8"/>
      <x:c r="AQ423" s="1" t="s">
        <x:v>5124</x:v>
      </x:c>
      <x:c r="AR423" s="8" t="str">
        <x:v>Проверка автором исследования; дополнительная проверка Михаилом Саяпиным; согласование 28.10.2026</x:v>
      </x:c>
      <x:c r="AS423" s="1"/>
      <x:c r="AT423" s="8" t="s">
        <x:v>96</x:v>
      </x:c>
      <x:c r="AU423" s="1" t="s">
        <x:v>4914</x:v>
      </x:c>
      <x:c r="AV423" s="17"/>
      <x:c r="AW423" s="1" t="s">
        <x:v>4915</x:v>
      </x:c>
      <x:c r="AX423" s="8" t="s">
        <x:v>146</x:v>
      </x:c>
      <x:c r="AY423" s="8" t="s">
        <x:v>5125</x:v>
      </x:c>
    </x:row>
    <x:row r="424" ht="69.94999694824219" customHeight="1">
      <x:c r="A424" s="1" t="s">
        <x:v>5126</x:v>
      </x:c>
      <x:c r="B424" s="8" t="s">
        <x:v>5127</x:v>
      </x:c>
      <x:c r="C424" s="1" t="s">
        <x:v>5128</x:v>
      </x:c>
      <x:c r="D424" s="8" t="s">
        <x:v>73</x:v>
      </x:c>
      <x:c r="E424" s="1" t="s">
        <x:v>76</x:v>
      </x:c>
      <x:c r="F424" s="8" t="s">
        <x:v>5129</x:v>
      </x:c>
      <x:c r="G424" s="1" t="s">
        <x:v>5130</x:v>
      </x:c>
      <x:c r="H424" s="8" t="s">
        <x:v>1001</x:v>
      </x:c>
      <x:c r="I424" s="4">
        <x:v>2014</x:v>
      </x:c>
      <x:c r="J424" s="8"/>
      <x:c r="K424" s="1" t="s">
        <x:v>5131</x:v>
      </x:c>
      <x:c r="L424" s="8" t="s">
        <x:v>5132</x:v>
      </x:c>
      <x:c r="M424" s="1" t="s">
        <x:v>61</x:v>
      </x:c>
      <x:c r="N424" s="8"/>
      <x:c r="O424" s="1"/>
      <x:c r="P424" s="8"/>
      <x:c r="Q424" s="1"/>
      <x:c r="R424" s="8"/>
      <x:c r="S424" s="3"/>
      <x:c r="T424" s="8" t="s">
        <x:v>4905</x:v>
      </x:c>
      <x:c r="U424" s="1" t="s">
        <x:v>5104</x:v>
      </x:c>
      <x:c r="V424" s="13">
        <x:v>35</x:v>
      </x:c>
      <x:c r="W424" s="1" t="s">
        <x:v>4933</x:v>
      </x:c>
      <x:c r="X424" s="8" t="s">
        <x:v>66</x:v>
      </x:c>
      <x:c r="Y424" s="1" t="str">
        <x:v>Проверено автором; дополнительно проверено Михаилом Саяпиным</x:v>
      </x:c>
      <x:c r="Z424" s="8"/>
      <x:c r="AA424" s="1" t="s">
        <x:v>4908</x:v>
      </x:c>
      <x:c r="AB424" s="13">
        <x:v>2017</x:v>
      </x:c>
      <x:c r="AC424" s="3"/>
      <x:c r="AD424" s="8" t="s">
        <x:v>93</x:v>
      </x:c>
      <x:c r="AE424" s="1"/>
      <x:c r="AF424" s="8" t="s">
        <x:v>118</x:v>
      </x:c>
      <x:c r="AG424" s="1" t="s">
        <x:v>4909</x:v>
      </x:c>
      <x:c r="AH424" s="8" t="s">
        <x:v>144</x:v>
      </x:c>
      <x:c r="AI424" s="1" t="s">
        <x:v>145</x:v>
      </x:c>
      <x:c r="AJ424" s="17">
        <x:v>46323</x:v>
      </x:c>
      <x:c r="AK424" s="1" t="s">
        <x:v>4910</x:v>
      </x:c>
      <x:c r="AL424" s="8" t="s">
        <x:v>4911</x:v>
      </x:c>
      <x:c r="AM424" s="1" t="s">
        <x:v>5106</x:v>
      </x:c>
      <x:c r="AN424" s="8" t="s">
        <x:v>95</x:v>
      </x:c>
      <x:c r="AO424" s="1" t="s">
        <x:v>76</x:v>
      </x:c>
      <x:c r="AP424" s="8"/>
      <x:c r="AQ424" s="1" t="s">
        <x:v>5133</x:v>
      </x:c>
      <x:c r="AR424" s="8" t="str">
        <x:v>Проверка автором исследования; дополнительная проверка Михаилом Саяпиным; согласование 28.10.2026</x:v>
      </x:c>
      <x:c r="AS424" s="1"/>
      <x:c r="AT424" s="8" t="s">
        <x:v>96</x:v>
      </x:c>
      <x:c r="AU424" s="1" t="s">
        <x:v>4914</x:v>
      </x:c>
      <x:c r="AV424" s="17"/>
      <x:c r="AW424" s="1" t="s">
        <x:v>4915</x:v>
      </x:c>
      <x:c r="AX424" s="8" t="s">
        <x:v>146</x:v>
      </x:c>
      <x:c r="AY424" s="8" t="s">
        <x:v>5134</x:v>
      </x:c>
    </x:row>
    <x:row r="425" ht="69.94999694824219" customHeight="1">
      <x:c r="A425" s="1" t="s">
        <x:v>5135</x:v>
      </x:c>
      <x:c r="B425" s="8" t="s">
        <x:v>5136</x:v>
      </x:c>
      <x:c r="C425" s="1" t="s">
        <x:v>5137</x:v>
      </x:c>
      <x:c r="D425" s="8" t="s">
        <x:v>73</x:v>
      </x:c>
      <x:c r="E425" s="1" t="s">
        <x:v>76</x:v>
      </x:c>
      <x:c r="F425" s="8" t="s">
        <x:v>5138</x:v>
      </x:c>
      <x:c r="G425" s="1" t="s">
        <x:v>5139</x:v>
      </x:c>
      <x:c r="H425" s="8" t="s">
        <x:v>5140</x:v>
      </x:c>
      <x:c r="I425" s="4">
        <x:v>2012</x:v>
      </x:c>
      <x:c r="J425" s="8"/>
      <x:c r="K425" s="1" t="s">
        <x:v>239</x:v>
      </x:c>
      <x:c r="L425" s="8" t="s">
        <x:v>5141</x:v>
      </x:c>
      <x:c r="M425" s="1" t="s">
        <x:v>61</x:v>
      </x:c>
      <x:c r="N425" s="8"/>
      <x:c r="O425" s="1"/>
      <x:c r="P425" s="8"/>
      <x:c r="Q425" s="1"/>
      <x:c r="R425" s="8"/>
      <x:c r="S425" s="3"/>
      <x:c r="T425" s="8" t="s">
        <x:v>4905</x:v>
      </x:c>
      <x:c r="U425" s="1" t="s">
        <x:v>5104</x:v>
      </x:c>
      <x:c r="V425" s="13">
        <x:v>36</x:v>
      </x:c>
      <x:c r="W425" s="1" t="s">
        <x:v>4933</x:v>
      </x:c>
      <x:c r="X425" s="8" t="s">
        <x:v>66</x:v>
      </x:c>
      <x:c r="Y425" s="1" t="str">
        <x:v>Проверено автором; дополнительно проверено Михаилом Саяпиным</x:v>
      </x:c>
      <x:c r="Z425" s="8"/>
      <x:c r="AA425" s="1" t="s">
        <x:v>4908</x:v>
      </x:c>
      <x:c r="AB425" s="13">
        <x:v>2017</x:v>
      </x:c>
      <x:c r="AC425" s="3"/>
      <x:c r="AD425" s="8" t="s">
        <x:v>93</x:v>
      </x:c>
      <x:c r="AE425" s="1"/>
      <x:c r="AF425" s="8" t="s">
        <x:v>118</x:v>
      </x:c>
      <x:c r="AG425" s="1" t="s">
        <x:v>4909</x:v>
      </x:c>
      <x:c r="AH425" s="8" t="s">
        <x:v>144</x:v>
      </x:c>
      <x:c r="AI425" s="1" t="s">
        <x:v>145</x:v>
      </x:c>
      <x:c r="AJ425" s="17">
        <x:v>46323</x:v>
      </x:c>
      <x:c r="AK425" s="1" t="s">
        <x:v>4910</x:v>
      </x:c>
      <x:c r="AL425" s="8" t="s">
        <x:v>4911</x:v>
      </x:c>
      <x:c r="AM425" s="1" t="s">
        <x:v>5106</x:v>
      </x:c>
      <x:c r="AN425" s="8" t="s">
        <x:v>95</x:v>
      </x:c>
      <x:c r="AO425" s="1" t="s">
        <x:v>76</x:v>
      </x:c>
      <x:c r="AP425" s="8"/>
      <x:c r="AQ425" s="1" t="s">
        <x:v>5142</x:v>
      </x:c>
      <x:c r="AR425" s="8" t="str">
        <x:v>Проверка автором исследования; дополнительная проверка Михаилом Саяпиным; согласование 28.10.2026</x:v>
      </x:c>
      <x:c r="AS425" s="1"/>
      <x:c r="AT425" s="8" t="s">
        <x:v>96</x:v>
      </x:c>
      <x:c r="AU425" s="1" t="s">
        <x:v>4914</x:v>
      </x:c>
      <x:c r="AV425" s="17"/>
      <x:c r="AW425" s="1" t="s">
        <x:v>4915</x:v>
      </x:c>
      <x:c r="AX425" s="8" t="s">
        <x:v>146</x:v>
      </x:c>
      <x:c r="AY425" s="8" t="s">
        <x:v>5143</x:v>
      </x:c>
    </x:row>
    <x:row r="426" ht="69.94999694824219" customHeight="1">
      <x:c r="A426" s="1" t="s">
        <x:v>5144</x:v>
      </x:c>
      <x:c r="B426" s="8" t="s">
        <x:v>5145</x:v>
      </x:c>
      <x:c r="C426" s="1" t="s">
        <x:v>5146</x:v>
      </x:c>
      <x:c r="D426" s="8" t="s">
        <x:v>86</x:v>
      </x:c>
      <x:c r="E426" s="1" t="s">
        <x:v>76</x:v>
      </x:c>
      <x:c r="F426" s="8" t="s">
        <x:v>5147</x:v>
      </x:c>
      <x:c r="G426" s="1" t="s">
        <x:v>5148</x:v>
      </x:c>
      <x:c r="H426" s="8"/>
      <x:c r="I426" s="4">
        <x:v>2009</x:v>
      </x:c>
      <x:c r="J426" s="8"/>
      <x:c r="K426" s="1"/>
      <x:c r="L426" s="8" t="s">
        <x:v>5149</x:v>
      </x:c>
      <x:c r="M426" s="1" t="s">
        <x:v>90</x:v>
      </x:c>
      <x:c r="N426" s="8" t="s">
        <x:v>5150</x:v>
      </x:c>
      <x:c r="O426" s="1" t="s">
        <x:v>1122</x:v>
      </x:c>
      <x:c r="P426" s="8"/>
      <x:c r="Q426" s="1"/>
      <x:c r="R426" s="8"/>
      <x:c r="S426" s="3"/>
      <x:c r="T426" s="8" t="s">
        <x:v>4905</x:v>
      </x:c>
      <x:c r="U426" s="1" t="s">
        <x:v>5104</x:v>
      </x:c>
      <x:c r="V426" s="13">
        <x:v>37</x:v>
      </x:c>
      <x:c r="W426" s="1" t="s">
        <x:v>5151</x:v>
      </x:c>
      <x:c r="X426" s="8" t="s">
        <x:v>66</x:v>
      </x:c>
      <x:c r="Y426" s="1" t="str">
        <x:v>Проверено автором; дополнительно проверено Михаилом Саяпиным</x:v>
      </x:c>
      <x:c r="Z426" s="8"/>
      <x:c r="AA426" s="1" t="s">
        <x:v>4908</x:v>
      </x:c>
      <x:c r="AB426" s="13">
        <x:v>2017</x:v>
      </x:c>
      <x:c r="AC426" s="3"/>
      <x:c r="AD426" s="8" t="s">
        <x:v>93</x:v>
      </x:c>
      <x:c r="AE426" s="1"/>
      <x:c r="AF426" s="8" t="s">
        <x:v>118</x:v>
      </x:c>
      <x:c r="AG426" s="1" t="s">
        <x:v>4909</x:v>
      </x:c>
      <x:c r="AH426" s="8" t="s">
        <x:v>144</x:v>
      </x:c>
      <x:c r="AI426" s="1" t="s">
        <x:v>145</x:v>
      </x:c>
      <x:c r="AJ426" s="17">
        <x:v>46323</x:v>
      </x:c>
      <x:c r="AK426" s="1" t="s">
        <x:v>4910</x:v>
      </x:c>
      <x:c r="AL426" s="8" t="s">
        <x:v>4911</x:v>
      </x:c>
      <x:c r="AM426" s="1" t="s">
        <x:v>5106</x:v>
      </x:c>
      <x:c r="AN426" s="8" t="s">
        <x:v>95</x:v>
      </x:c>
      <x:c r="AO426" s="1" t="s">
        <x:v>76</x:v>
      </x:c>
      <x:c r="AP426" s="8"/>
      <x:c r="AQ426" s="1" t="s">
        <x:v>5152</x:v>
      </x:c>
      <x:c r="AR426" s="8" t="str">
        <x:v>Проверка автором исследования; дополнительная проверка Михаилом Саяпиным; согласование 28.10.2026</x:v>
      </x:c>
      <x:c r="AS426" s="1"/>
      <x:c r="AT426" s="8" t="s">
        <x:v>96</x:v>
      </x:c>
      <x:c r="AU426" s="1" t="s">
        <x:v>4914</x:v>
      </x:c>
      <x:c r="AV426" s="17"/>
      <x:c r="AW426" s="1" t="s">
        <x:v>4915</x:v>
      </x:c>
      <x:c r="AX426" s="8" t="s">
        <x:v>146</x:v>
      </x:c>
      <x:c r="AY426" s="8" t="s">
        <x:v>5153</x:v>
      </x:c>
    </x:row>
    <x:row r="427" ht="69.94999694824219" customHeight="1">
      <x:c r="A427" s="1" t="s">
        <x:v>5154</x:v>
      </x:c>
      <x:c r="B427" s="8" t="s">
        <x:v>5155</x:v>
      </x:c>
      <x:c r="C427" s="1" t="s">
        <x:v>5156</x:v>
      </x:c>
      <x:c r="D427" s="8" t="s">
        <x:v>86</x:v>
      </x:c>
      <x:c r="E427" s="1" t="s">
        <x:v>76</x:v>
      </x:c>
      <x:c r="F427" s="8"/>
      <x:c r="G427" s="1" t="s">
        <x:v>5157</x:v>
      </x:c>
      <x:c r="H427" s="8"/>
      <x:c r="I427" s="4">
        <x:v>2006</x:v>
      </x:c>
      <x:c r="J427" s="8"/>
      <x:c r="K427" s="1"/>
      <x:c r="L427" s="8" t="s">
        <x:v>5158</x:v>
      </x:c>
      <x:c r="M427" s="1" t="s">
        <x:v>90</x:v>
      </x:c>
      <x:c r="N427" s="8" t="s">
        <x:v>5159</x:v>
      </x:c>
      <x:c r="O427" s="1" t="s">
        <x:v>1122</x:v>
      </x:c>
      <x:c r="P427" s="8" t="s">
        <x:v>4999</x:v>
      </x:c>
      <x:c r="Q427" s="1"/>
      <x:c r="R427" s="8"/>
      <x:c r="S427" s="3"/>
      <x:c r="T427" s="8" t="s">
        <x:v>4905</x:v>
      </x:c>
      <x:c r="U427" s="1" t="s">
        <x:v>5104</x:v>
      </x:c>
      <x:c r="V427" s="13">
        <x:v>38</x:v>
      </x:c>
      <x:c r="W427" s="1" t="s">
        <x:v>5160</x:v>
      </x:c>
      <x:c r="X427" s="8" t="s">
        <x:v>66</x:v>
      </x:c>
      <x:c r="Y427" s="1" t="str">
        <x:v>Проверено автором; дополнительно проверено Михаилом Саяпиным</x:v>
      </x:c>
      <x:c r="Z427" s="8"/>
      <x:c r="AA427" s="1" t="s">
        <x:v>4908</x:v>
      </x:c>
      <x:c r="AB427" s="13">
        <x:v>2017</x:v>
      </x:c>
      <x:c r="AC427" s="3"/>
      <x:c r="AD427" s="8" t="s">
        <x:v>93</x:v>
      </x:c>
      <x:c r="AE427" s="1"/>
      <x:c r="AF427" s="8" t="s">
        <x:v>118</x:v>
      </x:c>
      <x:c r="AG427" s="1" t="s">
        <x:v>4909</x:v>
      </x:c>
      <x:c r="AH427" s="8" t="s">
        <x:v>144</x:v>
      </x:c>
      <x:c r="AI427" s="1" t="s">
        <x:v>145</x:v>
      </x:c>
      <x:c r="AJ427" s="17">
        <x:v>46323</x:v>
      </x:c>
      <x:c r="AK427" s="1" t="s">
        <x:v>4910</x:v>
      </x:c>
      <x:c r="AL427" s="8" t="s">
        <x:v>4911</x:v>
      </x:c>
      <x:c r="AM427" s="1" t="s">
        <x:v>5106</x:v>
      </x:c>
      <x:c r="AN427" s="8" t="s">
        <x:v>95</x:v>
      </x:c>
      <x:c r="AO427" s="1" t="s">
        <x:v>76</x:v>
      </x:c>
      <x:c r="AP427" s="8" t="s">
        <x:v>5161</x:v>
      </x:c>
      <x:c r="AQ427" s="1" t="s">
        <x:v>5162</x:v>
      </x:c>
      <x:c r="AR427" s="8" t="str">
        <x:v>Проверка автором исследования; дополнительная проверка Михаилом Саяпиным; согласование 28.10.2026</x:v>
      </x:c>
      <x:c r="AS427" s="1"/>
      <x:c r="AT427" s="8" t="s">
        <x:v>96</x:v>
      </x:c>
      <x:c r="AU427" s="1" t="s">
        <x:v>4914</x:v>
      </x:c>
      <x:c r="AV427" s="17"/>
      <x:c r="AW427" s="1" t="s">
        <x:v>4915</x:v>
      </x:c>
      <x:c r="AX427" s="8" t="s">
        <x:v>146</x:v>
      </x:c>
      <x:c r="AY427" s="8" t="s">
        <x:v>5163</x:v>
      </x:c>
    </x:row>
    <x:row r="428" ht="69.94999694824219" customHeight="1">
      <x:c r="A428" s="1" t="s">
        <x:v>5164</x:v>
      </x:c>
      <x:c r="B428" s="8" t="s">
        <x:v>5165</x:v>
      </x:c>
      <x:c r="C428" s="1" t="s">
        <x:v>5166</x:v>
      </x:c>
      <x:c r="D428" s="8" t="s">
        <x:v>86</x:v>
      </x:c>
      <x:c r="E428" s="1" t="s">
        <x:v>76</x:v>
      </x:c>
      <x:c r="F428" s="8" t="s">
        <x:v>5167</x:v>
      </x:c>
      <x:c r="G428" s="1" t="s">
        <x:v>5168</x:v>
      </x:c>
      <x:c r="H428" s="8"/>
      <x:c r="I428" s="4">
        <x:v>2011</x:v>
      </x:c>
      <x:c r="J428" s="8"/>
      <x:c r="K428" s="1"/>
      <x:c r="L428" s="8" t="s">
        <x:v>5169</x:v>
      </x:c>
      <x:c r="M428" s="1" t="s">
        <x:v>90</x:v>
      </x:c>
      <x:c r="N428" s="8" t="s">
        <x:v>5170</x:v>
      </x:c>
      <x:c r="O428" s="1" t="s">
        <x:v>5171</x:v>
      </x:c>
      <x:c r="P428" s="8"/>
      <x:c r="Q428" s="1"/>
      <x:c r="R428" s="8"/>
      <x:c r="S428" s="3"/>
      <x:c r="T428" s="8" t="s">
        <x:v>4905</x:v>
      </x:c>
      <x:c r="U428" s="1" t="s">
        <x:v>5104</x:v>
      </x:c>
      <x:c r="V428" s="13">
        <x:v>39</x:v>
      </x:c>
      <x:c r="W428" s="1" t="s">
        <x:v>4907</x:v>
      </x:c>
      <x:c r="X428" s="8" t="s">
        <x:v>66</x:v>
      </x:c>
      <x:c r="Y428" s="1" t="str">
        <x:v>Проверено автором исследования</x:v>
      </x:c>
      <x:c r="Z428" s="8"/>
      <x:c r="AA428" s="1" t="s">
        <x:v>4908</x:v>
      </x:c>
      <x:c r="AB428" s="13">
        <x:v>2017</x:v>
      </x:c>
      <x:c r="AC428" s="3"/>
      <x:c r="AD428" s="8" t="s">
        <x:v>93</x:v>
      </x:c>
      <x:c r="AE428" s="1"/>
      <x:c r="AF428" s="8" t="s">
        <x:v>118</x:v>
      </x:c>
      <x:c r="AG428" s="1" t="s">
        <x:v>4909</x:v>
      </x:c>
      <x:c r="AH428" s="8" t="str">
        <x:v>Краткая затекстовая ссылка; повторная документальная сверка выполнена</x:v>
      </x:c>
      <x:c r="AI428" s="1"/>
      <x:c r="AJ428" s="17"/>
      <x:c r="AK428" s="1" t="s">
        <x:v>4910</x:v>
      </x:c>
      <x:c r="AL428" s="8" t="s">
        <x:v>4911</x:v>
      </x:c>
      <x:c r="AM428" s="1" t="s">
        <x:v>5106</x:v>
      </x:c>
      <x:c r="AN428" s="8" t="s">
        <x:v>95</x:v>
      </x:c>
      <x:c r="AO428" s="1" t="s">
        <x:v>76</x:v>
      </x:c>
      <x:c r="AP428" s="8"/>
      <x:c r="AQ428" s="1" t="s">
        <x:v>5172</x:v>
      </x:c>
      <x:c r="AR428" s="8" t="str">
        <x:v>Проверка автором исследования</x:v>
      </x:c>
      <x:c r="AS428" s="1"/>
      <x:c r="AT428" s="8" t="s">
        <x:v>96</x:v>
      </x:c>
      <x:c r="AU428" s="1" t="s">
        <x:v>4914</x:v>
      </x:c>
      <x:c r="AV428" s="17"/>
      <x:c r="AW428" s="1" t="s">
        <x:v>4915</x:v>
      </x:c>
      <x:c r="AX428" s="8" t="s">
        <x:v>82</x:v>
      </x:c>
      <x:c r="AY428" s="8"/>
    </x:row>
    <x:row r="429" ht="69.94999694824219" customHeight="1">
      <x:c r="A429" s="1" t="s">
        <x:v>5173</x:v>
      </x:c>
      <x:c r="B429" s="8" t="s">
        <x:v>5174</x:v>
      </x:c>
      <x:c r="C429" s="1" t="s">
        <x:v>5175</x:v>
      </x:c>
      <x:c r="D429" s="8" t="s">
        <x:v>4987</x:v>
      </x:c>
      <x:c r="E429" s="1" t="s">
        <x:v>76</x:v>
      </x:c>
      <x:c r="F429" s="8"/>
      <x:c r="G429" s="1" t="s">
        <x:v>5176</x:v>
      </x:c>
      <x:c r="H429" s="8" t="s">
        <x:v>5077</x:v>
      </x:c>
      <x:c r="I429" s="4">
        <x:v>2013</x:v>
      </x:c>
      <x:c r="J429" s="8"/>
      <x:c r="K429" s="1"/>
      <x:c r="L429" s="8"/>
      <x:c r="M429" s="1" t="s">
        <x:v>61</x:v>
      </x:c>
      <x:c r="N429" s="8"/>
      <x:c r="O429" s="1"/>
      <x:c r="P429" s="8"/>
      <x:c r="Q429" s="1"/>
      <x:c r="R429" s="8"/>
      <x:c r="S429" s="3"/>
      <x:c r="T429" s="8" t="s">
        <x:v>4905</x:v>
      </x:c>
      <x:c r="U429" s="1" t="s">
        <x:v>5104</x:v>
      </x:c>
      <x:c r="V429" s="13">
        <x:v>40</x:v>
      </x:c>
      <x:c r="W429" s="1" t="s">
        <x:v>4907</x:v>
      </x:c>
      <x:c r="X429" s="8" t="s">
        <x:v>66</x:v>
      </x:c>
      <x:c r="Y429" s="1" t="str">
        <x:v>Проверено автором исследования</x:v>
      </x:c>
      <x:c r="Z429" s="8"/>
      <x:c r="AA429" s="1" t="s">
        <x:v>4908</x:v>
      </x:c>
      <x:c r="AB429" s="13">
        <x:v>2017</x:v>
      </x:c>
      <x:c r="AC429" s="3"/>
      <x:c r="AD429" s="8" t="s">
        <x:v>93</x:v>
      </x:c>
      <x:c r="AE429" s="1"/>
      <x:c r="AF429" s="8" t="s">
        <x:v>118</x:v>
      </x:c>
      <x:c r="AG429" s="1" t="s">
        <x:v>4909</x:v>
      </x:c>
      <x:c r="AH429" s="8" t="str">
        <x:v>Краткая затекстовая ссылка; повторная документальная сверка выполнена</x:v>
      </x:c>
      <x:c r="AI429" s="1"/>
      <x:c r="AJ429" s="17"/>
      <x:c r="AK429" s="1" t="s">
        <x:v>4910</x:v>
      </x:c>
      <x:c r="AL429" s="8" t="s">
        <x:v>4911</x:v>
      </x:c>
      <x:c r="AM429" s="1" t="s">
        <x:v>5106</x:v>
      </x:c>
      <x:c r="AN429" s="8" t="s">
        <x:v>95</x:v>
      </x:c>
      <x:c r="AO429" s="1" t="s">
        <x:v>76</x:v>
      </x:c>
      <x:c r="AP429" s="8"/>
      <x:c r="AQ429" s="1" t="s">
        <x:v>5177</x:v>
      </x:c>
      <x:c r="AR429" s="8" t="str">
        <x:v>Проверка автором исследования</x:v>
      </x:c>
      <x:c r="AS429" s="1"/>
      <x:c r="AT429" s="8" t="s">
        <x:v>96</x:v>
      </x:c>
      <x:c r="AU429" s="1" t="s">
        <x:v>4914</x:v>
      </x:c>
      <x:c r="AV429" s="17"/>
      <x:c r="AW429" s="1" t="s">
        <x:v>4915</x:v>
      </x:c>
      <x:c r="AX429" s="8" t="s">
        <x:v>82</x:v>
      </x:c>
      <x:c r="AY429" s="8"/>
    </x:row>
    <x:row r="430" ht="69.94999694824219" customHeight="1">
      <x:c r="A430" s="1" t="s">
        <x:v>5178</x:v>
      </x:c>
      <x:c r="B430" s="8" t="s">
        <x:v>5179</x:v>
      </x:c>
      <x:c r="C430" s="1" t="s">
        <x:v>5180</x:v>
      </x:c>
      <x:c r="D430" s="8" t="s">
        <x:v>73</x:v>
      </x:c>
      <x:c r="E430" s="1" t="s">
        <x:v>76</x:v>
      </x:c>
      <x:c r="F430" s="8" t="s">
        <x:v>5181</x:v>
      </x:c>
      <x:c r="G430" s="1" t="s">
        <x:v>5182</x:v>
      </x:c>
      <x:c r="H430" s="8" t="s">
        <x:v>5183</x:v>
      </x:c>
      <x:c r="I430" s="4">
        <x:v>2015</x:v>
      </x:c>
      <x:c r="J430" s="8"/>
      <x:c r="K430" s="1" t="s">
        <x:v>2093</x:v>
      </x:c>
      <x:c r="L430" s="8" t="s">
        <x:v>1218</x:v>
      </x:c>
      <x:c r="M430" s="1" t="s">
        <x:v>61</x:v>
      </x:c>
      <x:c r="N430" s="8"/>
      <x:c r="O430" s="1" t="s">
        <x:v>1122</x:v>
      </x:c>
      <x:c r="P430" s="8"/>
      <x:c r="Q430" s="1"/>
      <x:c r="R430" s="8"/>
      <x:c r="S430" s="3"/>
      <x:c r="T430" s="8" t="s">
        <x:v>4905</x:v>
      </x:c>
      <x:c r="U430" s="1" t="s">
        <x:v>5104</x:v>
      </x:c>
      <x:c r="V430" s="13">
        <x:v>42</x:v>
      </x:c>
      <x:c r="W430" s="1" t="s">
        <x:v>4907</x:v>
      </x:c>
      <x:c r="X430" s="8" t="s">
        <x:v>66</x:v>
      </x:c>
      <x:c r="Y430" s="1" t="str">
        <x:v>Проверено автором исследования</x:v>
      </x:c>
      <x:c r="Z430" s="8"/>
      <x:c r="AA430" s="1" t="s">
        <x:v>4908</x:v>
      </x:c>
      <x:c r="AB430" s="13">
        <x:v>2017</x:v>
      </x:c>
      <x:c r="AC430" s="3"/>
      <x:c r="AD430" s="8" t="s">
        <x:v>93</x:v>
      </x:c>
      <x:c r="AE430" s="1"/>
      <x:c r="AF430" s="8" t="s">
        <x:v>118</x:v>
      </x:c>
      <x:c r="AG430" s="1" t="s">
        <x:v>4909</x:v>
      </x:c>
      <x:c r="AH430" s="8" t="str">
        <x:v>Краткая затекстовая ссылка; повторная документальная сверка выполнена</x:v>
      </x:c>
      <x:c r="AI430" s="1"/>
      <x:c r="AJ430" s="17"/>
      <x:c r="AK430" s="1" t="s">
        <x:v>4910</x:v>
      </x:c>
      <x:c r="AL430" s="8" t="s">
        <x:v>4911</x:v>
      </x:c>
      <x:c r="AM430" s="1" t="s">
        <x:v>5106</x:v>
      </x:c>
      <x:c r="AN430" s="8" t="s">
        <x:v>95</x:v>
      </x:c>
      <x:c r="AO430" s="1" t="s">
        <x:v>76</x:v>
      </x:c>
      <x:c r="AP430" s="8"/>
      <x:c r="AQ430" s="1" t="s">
        <x:v>5184</x:v>
      </x:c>
      <x:c r="AR430" s="8" t="str">
        <x:v>Проверка автором исследования</x:v>
      </x:c>
      <x:c r="AS430" s="1"/>
      <x:c r="AT430" s="8" t="s">
        <x:v>96</x:v>
      </x:c>
      <x:c r="AU430" s="1" t="s">
        <x:v>4914</x:v>
      </x:c>
      <x:c r="AV430" s="17"/>
      <x:c r="AW430" s="1" t="s">
        <x:v>4915</x:v>
      </x:c>
      <x:c r="AX430" s="8" t="s">
        <x:v>82</x:v>
      </x:c>
      <x:c r="AY430" s="8"/>
    </x:row>
    <x:row r="431" ht="69.94999694824219" customHeight="1">
      <x:c r="A431" s="1" t="s">
        <x:v>5185</x:v>
      </x:c>
      <x:c r="B431" s="8" t="s">
        <x:v>5186</x:v>
      </x:c>
      <x:c r="C431" s="1" t="s">
        <x:v>5187</x:v>
      </x:c>
      <x:c r="D431" s="8" t="s">
        <x:v>73</x:v>
      </x:c>
      <x:c r="E431" s="1" t="s">
        <x:v>76</x:v>
      </x:c>
      <x:c r="F431" s="8" t="s">
        <x:v>5188</x:v>
      </x:c>
      <x:c r="G431" s="1" t="s">
        <x:v>5189</x:v>
      </x:c>
      <x:c r="H431" s="8" t="s">
        <x:v>3973</x:v>
      </x:c>
      <x:c r="I431" s="4">
        <x:v>2012</x:v>
      </x:c>
      <x:c r="J431" s="8"/>
      <x:c r="K431" s="1" t="s">
        <x:v>106</x:v>
      </x:c>
      <x:c r="L431" s="8" t="s">
        <x:v>5190</x:v>
      </x:c>
      <x:c r="M431" s="1" t="s">
        <x:v>61</x:v>
      </x:c>
      <x:c r="N431" s="8"/>
      <x:c r="O431" s="1"/>
      <x:c r="P431" s="8"/>
      <x:c r="Q431" s="1"/>
      <x:c r="R431" s="8"/>
      <x:c r="S431" s="3"/>
      <x:c r="T431" s="8" t="s">
        <x:v>4905</x:v>
      </x:c>
      <x:c r="U431" s="1" t="s">
        <x:v>5104</x:v>
      </x:c>
      <x:c r="V431" s="13">
        <x:v>43</x:v>
      </x:c>
      <x:c r="W431" s="1" t="s">
        <x:v>4933</x:v>
      </x:c>
      <x:c r="X431" s="8" t="s">
        <x:v>66</x:v>
      </x:c>
      <x:c r="Y431" s="1" t="str">
        <x:v>Проверено автором; дополнительно проверено Михаилом Саяпиным</x:v>
      </x:c>
      <x:c r="Z431" s="8"/>
      <x:c r="AA431" s="1" t="s">
        <x:v>4908</x:v>
      </x:c>
      <x:c r="AB431" s="13">
        <x:v>2017</x:v>
      </x:c>
      <x:c r="AC431" s="3"/>
      <x:c r="AD431" s="8" t="s">
        <x:v>93</x:v>
      </x:c>
      <x:c r="AE431" s="1"/>
      <x:c r="AF431" s="8" t="s">
        <x:v>118</x:v>
      </x:c>
      <x:c r="AG431" s="1" t="s">
        <x:v>4909</x:v>
      </x:c>
      <x:c r="AH431" s="8" t="s">
        <x:v>144</x:v>
      </x:c>
      <x:c r="AI431" s="1" t="s">
        <x:v>145</x:v>
      </x:c>
      <x:c r="AJ431" s="17">
        <x:v>46323</x:v>
      </x:c>
      <x:c r="AK431" s="1" t="s">
        <x:v>4910</x:v>
      </x:c>
      <x:c r="AL431" s="8" t="s">
        <x:v>4911</x:v>
      </x:c>
      <x:c r="AM431" s="1" t="s">
        <x:v>5106</x:v>
      </x:c>
      <x:c r="AN431" s="8" t="s">
        <x:v>95</x:v>
      </x:c>
      <x:c r="AO431" s="1" t="s">
        <x:v>76</x:v>
      </x:c>
      <x:c r="AP431" s="8"/>
      <x:c r="AQ431" s="1" t="s">
        <x:v>5191</x:v>
      </x:c>
      <x:c r="AR431" s="8" t="str">
        <x:v>Проверка автором исследования; дополнительная проверка Михаилом Саяпиным; согласование 28.10.2026</x:v>
      </x:c>
      <x:c r="AS431" s="1"/>
      <x:c r="AT431" s="8" t="s">
        <x:v>96</x:v>
      </x:c>
      <x:c r="AU431" s="1" t="s">
        <x:v>4914</x:v>
      </x:c>
      <x:c r="AV431" s="17"/>
      <x:c r="AW431" s="1" t="s">
        <x:v>4915</x:v>
      </x:c>
      <x:c r="AX431" s="8" t="s">
        <x:v>146</x:v>
      </x:c>
      <x:c r="AY431" s="8" t="s">
        <x:v>5192</x:v>
      </x:c>
    </x:row>
    <x:row r="432" ht="69.94999694824219" customHeight="1">
      <x:c r="A432" s="1" t="s">
        <x:v>5193</x:v>
      </x:c>
      <x:c r="B432" s="8" t="s">
        <x:v>5194</x:v>
      </x:c>
      <x:c r="C432" s="1" t="s">
        <x:v>5195</x:v>
      </x:c>
      <x:c r="D432" s="8" t="s">
        <x:v>73</x:v>
      </x:c>
      <x:c r="E432" s="1" t="s">
        <x:v>76</x:v>
      </x:c>
      <x:c r="F432" s="8" t="s">
        <x:v>5196</x:v>
      </x:c>
      <x:c r="G432" s="1" t="s">
        <x:v>5197</x:v>
      </x:c>
      <x:c r="H432" s="8" t="s">
        <x:v>5198</x:v>
      </x:c>
      <x:c r="I432" s="4">
        <x:v>2012</x:v>
      </x:c>
      <x:c r="J432" s="8"/>
      <x:c r="K432" s="1" t="s">
        <x:v>931</x:v>
      </x:c>
      <x:c r="L432" s="8" t="s">
        <x:v>5199</x:v>
      </x:c>
      <x:c r="M432" s="1" t="s">
        <x:v>61</x:v>
      </x:c>
      <x:c r="N432" s="8"/>
      <x:c r="O432" s="1"/>
      <x:c r="P432" s="8"/>
      <x:c r="Q432" s="1"/>
      <x:c r="R432" s="8"/>
      <x:c r="S432" s="3"/>
      <x:c r="T432" s="8" t="s">
        <x:v>4905</x:v>
      </x:c>
      <x:c r="U432" s="1" t="s">
        <x:v>5104</x:v>
      </x:c>
      <x:c r="V432" s="13">
        <x:v>44</x:v>
      </x:c>
      <x:c r="W432" s="1" t="s">
        <x:v>4933</x:v>
      </x:c>
      <x:c r="X432" s="8" t="s">
        <x:v>66</x:v>
      </x:c>
      <x:c r="Y432" s="1" t="str">
        <x:v>Проверено автором; дополнительно проверено Михаилом Саяпиным</x:v>
      </x:c>
      <x:c r="Z432" s="8"/>
      <x:c r="AA432" s="1" t="s">
        <x:v>4908</x:v>
      </x:c>
      <x:c r="AB432" s="13">
        <x:v>2017</x:v>
      </x:c>
      <x:c r="AC432" s="3"/>
      <x:c r="AD432" s="8" t="s">
        <x:v>93</x:v>
      </x:c>
      <x:c r="AE432" s="1"/>
      <x:c r="AF432" s="8" t="s">
        <x:v>118</x:v>
      </x:c>
      <x:c r="AG432" s="1" t="s">
        <x:v>4909</x:v>
      </x:c>
      <x:c r="AH432" s="8" t="s">
        <x:v>144</x:v>
      </x:c>
      <x:c r="AI432" s="1" t="s">
        <x:v>145</x:v>
      </x:c>
      <x:c r="AJ432" s="17">
        <x:v>46323</x:v>
      </x:c>
      <x:c r="AK432" s="1" t="s">
        <x:v>4910</x:v>
      </x:c>
      <x:c r="AL432" s="8" t="s">
        <x:v>4911</x:v>
      </x:c>
      <x:c r="AM432" s="1" t="s">
        <x:v>5106</x:v>
      </x:c>
      <x:c r="AN432" s="8" t="s">
        <x:v>95</x:v>
      </x:c>
      <x:c r="AO432" s="1" t="s">
        <x:v>76</x:v>
      </x:c>
      <x:c r="AP432" s="8"/>
      <x:c r="AQ432" s="1" t="s">
        <x:v>5200</x:v>
      </x:c>
      <x:c r="AR432" s="8" t="str">
        <x:v>Проверка автором исследования; дополнительная проверка Михаилом Саяпиным; согласование 28.10.2026</x:v>
      </x:c>
      <x:c r="AS432" s="1"/>
      <x:c r="AT432" s="8" t="s">
        <x:v>96</x:v>
      </x:c>
      <x:c r="AU432" s="1" t="s">
        <x:v>4914</x:v>
      </x:c>
      <x:c r="AV432" s="17"/>
      <x:c r="AW432" s="1" t="s">
        <x:v>4915</x:v>
      </x:c>
      <x:c r="AX432" s="8" t="s">
        <x:v>146</x:v>
      </x:c>
      <x:c r="AY432" s="8" t="s">
        <x:v>5201</x:v>
      </x:c>
    </x:row>
    <x:row r="433" ht="69.94999694824219" customHeight="1">
      <x:c r="A433" s="1" t="s">
        <x:v>5202</x:v>
      </x:c>
      <x:c r="B433" s="8" t="s">
        <x:v>5203</x:v>
      </x:c>
      <x:c r="C433" s="1" t="s">
        <x:v>5204</x:v>
      </x:c>
      <x:c r="D433" s="8" t="s">
        <x:v>86</x:v>
      </x:c>
      <x:c r="E433" s="1" t="s">
        <x:v>76</x:v>
      </x:c>
      <x:c r="F433" s="8" t="s">
        <x:v>5205</x:v>
      </x:c>
      <x:c r="G433" s="1" t="s">
        <x:v>5206</x:v>
      </x:c>
      <x:c r="H433" s="8"/>
      <x:c r="I433" s="4">
        <x:v>2001</x:v>
      </x:c>
      <x:c r="J433" s="8"/>
      <x:c r="K433" s="1"/>
      <x:c r="L433" s="8" t="s">
        <x:v>3848</x:v>
      </x:c>
      <x:c r="M433" s="1" t="s">
        <x:v>90</x:v>
      </x:c>
      <x:c r="N433" s="8"/>
      <x:c r="O433" s="1" t="s">
        <x:v>1122</x:v>
      </x:c>
      <x:c r="P433" s="8"/>
      <x:c r="Q433" s="1"/>
      <x:c r="R433" s="8"/>
      <x:c r="S433" s="3"/>
      <x:c r="T433" s="8" t="s">
        <x:v>4905</x:v>
      </x:c>
      <x:c r="U433" s="1" t="s">
        <x:v>5207</x:v>
      </x:c>
      <x:c r="V433" s="13">
        <x:v>2</x:v>
      </x:c>
      <x:c r="W433" s="1" t="s">
        <x:v>4907</x:v>
      </x:c>
      <x:c r="X433" s="8" t="s">
        <x:v>66</x:v>
      </x:c>
      <x:c r="Y433" s="1" t="str">
        <x:v>Проверено автором исследования</x:v>
      </x:c>
      <x:c r="Z433" s="8"/>
      <x:c r="AA433" s="1" t="s">
        <x:v>5208</x:v>
      </x:c>
      <x:c r="AB433" s="13">
        <x:v>2019</x:v>
      </x:c>
      <x:c r="AC433" s="3"/>
      <x:c r="AD433" s="8" t="s">
        <x:v>93</x:v>
      </x:c>
      <x:c r="AE433" s="1"/>
      <x:c r="AF433" s="8" t="s">
        <x:v>71</x:v>
      </x:c>
      <x:c r="AG433" s="1" t="s">
        <x:v>5209</x:v>
      </x:c>
      <x:c r="AH433" s="8" t="str">
        <x:v>Краткая затекстовая ссылка; повторная документальная сверка выполнена</x:v>
      </x:c>
      <x:c r="AI433" s="1"/>
      <x:c r="AJ433" s="17"/>
      <x:c r="AK433" s="1" t="s">
        <x:v>4910</x:v>
      </x:c>
      <x:c r="AL433" s="8" t="s">
        <x:v>4911</x:v>
      </x:c>
      <x:c r="AM433" s="1" t="s">
        <x:v>1783</x:v>
      </x:c>
      <x:c r="AN433" s="8" t="s">
        <x:v>95</x:v>
      </x:c>
      <x:c r="AO433" s="1" t="s">
        <x:v>76</x:v>
      </x:c>
      <x:c r="AP433" s="8"/>
      <x:c r="AQ433" s="1" t="s">
        <x:v>5210</x:v>
      </x:c>
      <x:c r="AR433" s="8" t="str">
        <x:v>Проверка автором исследования</x:v>
      </x:c>
      <x:c r="AS433" s="1"/>
      <x:c r="AT433" s="8" t="s">
        <x:v>96</x:v>
      </x:c>
      <x:c r="AU433" s="1" t="s">
        <x:v>4914</x:v>
      </x:c>
      <x:c r="AV433" s="17"/>
      <x:c r="AW433" s="1" t="s">
        <x:v>4915</x:v>
      </x:c>
      <x:c r="AX433" s="8" t="s">
        <x:v>82</x:v>
      </x:c>
      <x:c r="AY433" s="8"/>
    </x:row>
    <x:row r="434" ht="69.94999694824219" customHeight="1">
      <x:c r="A434" s="1" t="s">
        <x:v>5211</x:v>
      </x:c>
      <x:c r="B434" s="8" t="s">
        <x:v>5212</x:v>
      </x:c>
      <x:c r="C434" s="1" t="s">
        <x:v>5213</x:v>
      </x:c>
      <x:c r="D434" s="8" t="s">
        <x:v>73</x:v>
      </x:c>
      <x:c r="E434" s="1" t="s">
        <x:v>76</x:v>
      </x:c>
      <x:c r="F434" s="8" t="s">
        <x:v>5214</x:v>
      </x:c>
      <x:c r="G434" s="1" t="s">
        <x:v>5215</x:v>
      </x:c>
      <x:c r="H434" s="8" t="s">
        <x:v>5216</x:v>
      </x:c>
      <x:c r="I434" s="4">
        <x:v>1993</x:v>
      </x:c>
      <x:c r="J434" s="8"/>
      <x:c r="K434" s="1" t="s">
        <x:v>975</x:v>
      </x:c>
      <x:c r="L434" s="8" t="s">
        <x:v>4773</x:v>
      </x:c>
      <x:c r="M434" s="1" t="s">
        <x:v>61</x:v>
      </x:c>
      <x:c r="N434" s="8"/>
      <x:c r="O434" s="1" t="s">
        <x:v>92</x:v>
      </x:c>
      <x:c r="P434" s="8"/>
      <x:c r="Q434" s="1"/>
      <x:c r="R434" s="8"/>
      <x:c r="S434" s="3"/>
      <x:c r="T434" s="8" t="s">
        <x:v>4905</x:v>
      </x:c>
      <x:c r="U434" s="1" t="s">
        <x:v>5207</x:v>
      </x:c>
      <x:c r="V434" s="13">
        <x:v>3</x:v>
      </x:c>
      <x:c r="W434" s="1" t="s">
        <x:v>4907</x:v>
      </x:c>
      <x:c r="X434" s="8" t="s">
        <x:v>66</x:v>
      </x:c>
      <x:c r="Y434" s="1" t="str">
        <x:v>Проверено автором исследования</x:v>
      </x:c>
      <x:c r="Z434" s="8"/>
      <x:c r="AA434" s="1" t="s">
        <x:v>5208</x:v>
      </x:c>
      <x:c r="AB434" s="13">
        <x:v>2019</x:v>
      </x:c>
      <x:c r="AC434" s="3"/>
      <x:c r="AD434" s="8" t="s">
        <x:v>93</x:v>
      </x:c>
      <x:c r="AE434" s="1"/>
      <x:c r="AF434" s="8" t="s">
        <x:v>71</x:v>
      </x:c>
      <x:c r="AG434" s="1" t="s">
        <x:v>5209</x:v>
      </x:c>
      <x:c r="AH434" s="8" t="str">
        <x:v>Краткая затекстовая ссылка; повторная документальная сверка выполнена</x:v>
      </x:c>
      <x:c r="AI434" s="1"/>
      <x:c r="AJ434" s="17"/>
      <x:c r="AK434" s="1" t="s">
        <x:v>4910</x:v>
      </x:c>
      <x:c r="AL434" s="8" t="s">
        <x:v>4911</x:v>
      </x:c>
      <x:c r="AM434" s="1" t="s">
        <x:v>1783</x:v>
      </x:c>
      <x:c r="AN434" s="8" t="s">
        <x:v>95</x:v>
      </x:c>
      <x:c r="AO434" s="1" t="s">
        <x:v>76</x:v>
      </x:c>
      <x:c r="AP434" s="8"/>
      <x:c r="AQ434" s="1" t="s">
        <x:v>5217</x:v>
      </x:c>
      <x:c r="AR434" s="8" t="str">
        <x:v>Проверка автором исследования</x:v>
      </x:c>
      <x:c r="AS434" s="1"/>
      <x:c r="AT434" s="8" t="s">
        <x:v>96</x:v>
      </x:c>
      <x:c r="AU434" s="1" t="s">
        <x:v>4914</x:v>
      </x:c>
      <x:c r="AV434" s="17"/>
      <x:c r="AW434" s="1" t="s">
        <x:v>4915</x:v>
      </x:c>
      <x:c r="AX434" s="8" t="s">
        <x:v>82</x:v>
      </x:c>
      <x:c r="AY434" s="8"/>
    </x:row>
    <x:row r="435" ht="69.94999694824219" customHeight="1">
      <x:c r="A435" s="1" t="s">
        <x:v>5218</x:v>
      </x:c>
      <x:c r="B435" s="8" t="s">
        <x:v>5219</x:v>
      </x:c>
      <x:c r="C435" s="1" t="s">
        <x:v>5220</x:v>
      </x:c>
      <x:c r="D435" s="8" t="s">
        <x:v>86</x:v>
      </x:c>
      <x:c r="E435" s="1" t="s">
        <x:v>76</x:v>
      </x:c>
      <x:c r="F435" s="8" t="s">
        <x:v>5221</x:v>
      </x:c>
      <x:c r="G435" s="1" t="s">
        <x:v>5222</x:v>
      </x:c>
      <x:c r="H435" s="8"/>
      <x:c r="I435" s="4">
        <x:v>2015</x:v>
      </x:c>
      <x:c r="J435" s="8"/>
      <x:c r="K435" s="1"/>
      <x:c r="L435" s="8" t="s">
        <x:v>2976</x:v>
      </x:c>
      <x:c r="M435" s="1" t="s">
        <x:v>90</x:v>
      </x:c>
      <x:c r="N435" s="8" t="s">
        <x:v>5223</x:v>
      </x:c>
      <x:c r="O435" s="1" t="s">
        <x:v>5224</x:v>
      </x:c>
      <x:c r="P435" s="8"/>
      <x:c r="Q435" s="1"/>
      <x:c r="R435" s="8"/>
      <x:c r="S435" s="3"/>
      <x:c r="T435" s="8" t="s">
        <x:v>4905</x:v>
      </x:c>
      <x:c r="U435" s="1" t="s">
        <x:v>5207</x:v>
      </x:c>
      <x:c r="V435" s="13">
        <x:v>4</x:v>
      </x:c>
      <x:c r="W435" s="1" t="s">
        <x:v>4907</x:v>
      </x:c>
      <x:c r="X435" s="8" t="s">
        <x:v>66</x:v>
      </x:c>
      <x:c r="Y435" s="1" t="str">
        <x:v>Проверено автором исследования</x:v>
      </x:c>
      <x:c r="Z435" s="8"/>
      <x:c r="AA435" s="1" t="s">
        <x:v>5208</x:v>
      </x:c>
      <x:c r="AB435" s="13">
        <x:v>2019</x:v>
      </x:c>
      <x:c r="AC435" s="3"/>
      <x:c r="AD435" s="8" t="s">
        <x:v>93</x:v>
      </x:c>
      <x:c r="AE435" s="1"/>
      <x:c r="AF435" s="8" t="s">
        <x:v>71</x:v>
      </x:c>
      <x:c r="AG435" s="1" t="s">
        <x:v>5209</x:v>
      </x:c>
      <x:c r="AH435" s="8" t="str">
        <x:v>Краткая затекстовая ссылка; повторная документальная сверка выполнена</x:v>
      </x:c>
      <x:c r="AI435" s="1"/>
      <x:c r="AJ435" s="17"/>
      <x:c r="AK435" s="1" t="s">
        <x:v>4910</x:v>
      </x:c>
      <x:c r="AL435" s="8" t="s">
        <x:v>4911</x:v>
      </x:c>
      <x:c r="AM435" s="1" t="s">
        <x:v>1783</x:v>
      </x:c>
      <x:c r="AN435" s="8" t="s">
        <x:v>95</x:v>
      </x:c>
      <x:c r="AO435" s="1" t="s">
        <x:v>76</x:v>
      </x:c>
      <x:c r="AP435" s="8"/>
      <x:c r="AQ435" s="1" t="s">
        <x:v>5225</x:v>
      </x:c>
      <x:c r="AR435" s="8" t="str">
        <x:v>Проверка автором исследования</x:v>
      </x:c>
      <x:c r="AS435" s="1"/>
      <x:c r="AT435" s="8" t="s">
        <x:v>96</x:v>
      </x:c>
      <x:c r="AU435" s="1" t="s">
        <x:v>4914</x:v>
      </x:c>
      <x:c r="AV435" s="17"/>
      <x:c r="AW435" s="1" t="s">
        <x:v>4915</x:v>
      </x:c>
      <x:c r="AX435" s="8" t="s">
        <x:v>82</x:v>
      </x:c>
      <x:c r="AY435" s="8"/>
    </x:row>
    <x:row r="436" ht="69.94999694824219" customHeight="1">
      <x:c r="A436" s="1" t="s">
        <x:v>5226</x:v>
      </x:c>
      <x:c r="B436" s="8" t="s">
        <x:v>5227</x:v>
      </x:c>
      <x:c r="C436" s="1" t="s">
        <x:v>5228</x:v>
      </x:c>
      <x:c r="D436" s="8" t="s">
        <x:v>86</x:v>
      </x:c>
      <x:c r="E436" s="1" t="s">
        <x:v>76</x:v>
      </x:c>
      <x:c r="F436" s="8" t="s">
        <x:v>5229</x:v>
      </x:c>
      <x:c r="G436" s="1" t="s">
        <x:v>5230</x:v>
      </x:c>
      <x:c r="H436" s="8"/>
      <x:c r="I436" s="4">
        <x:v>2016</x:v>
      </x:c>
      <x:c r="J436" s="8"/>
      <x:c r="K436" s="1"/>
      <x:c r="L436" s="8" t="s">
        <x:v>5231</x:v>
      </x:c>
      <x:c r="M436" s="1" t="s">
        <x:v>90</x:v>
      </x:c>
      <x:c r="N436" s="8" t="s">
        <x:v>5232</x:v>
      </x:c>
      <x:c r="O436" s="1" t="s">
        <x:v>92</x:v>
      </x:c>
      <x:c r="P436" s="8"/>
      <x:c r="Q436" s="1"/>
      <x:c r="R436" s="8"/>
      <x:c r="S436" s="3"/>
      <x:c r="T436" s="8" t="s">
        <x:v>4905</x:v>
      </x:c>
      <x:c r="U436" s="1" t="s">
        <x:v>5207</x:v>
      </x:c>
      <x:c r="V436" s="13">
        <x:v>6</x:v>
      </x:c>
      <x:c r="W436" s="1" t="s">
        <x:v>4933</x:v>
      </x:c>
      <x:c r="X436" s="8" t="s">
        <x:v>66</x:v>
      </x:c>
      <x:c r="Y436" s="1" t="str">
        <x:v>Проверено автором; дополнительно проверено Михаилом Саяпиным</x:v>
      </x:c>
      <x:c r="Z436" s="8"/>
      <x:c r="AA436" s="1" t="s">
        <x:v>5208</x:v>
      </x:c>
      <x:c r="AB436" s="13">
        <x:v>2019</x:v>
      </x:c>
      <x:c r="AC436" s="3"/>
      <x:c r="AD436" s="8" t="s">
        <x:v>93</x:v>
      </x:c>
      <x:c r="AE436" s="1"/>
      <x:c r="AF436" s="8" t="s">
        <x:v>71</x:v>
      </x:c>
      <x:c r="AG436" s="1" t="s">
        <x:v>5209</x:v>
      </x:c>
      <x:c r="AH436" s="8" t="s">
        <x:v>144</x:v>
      </x:c>
      <x:c r="AI436" s="1" t="s">
        <x:v>145</x:v>
      </x:c>
      <x:c r="AJ436" s="17">
        <x:v>46323</x:v>
      </x:c>
      <x:c r="AK436" s="1" t="s">
        <x:v>4910</x:v>
      </x:c>
      <x:c r="AL436" s="8" t="s">
        <x:v>4911</x:v>
      </x:c>
      <x:c r="AM436" s="1" t="s">
        <x:v>1783</x:v>
      </x:c>
      <x:c r="AN436" s="8" t="s">
        <x:v>95</x:v>
      </x:c>
      <x:c r="AO436" s="1" t="s">
        <x:v>76</x:v>
      </x:c>
      <x:c r="AP436" s="8"/>
      <x:c r="AQ436" s="1" t="s">
        <x:v>5233</x:v>
      </x:c>
      <x:c r="AR436" s="8" t="str">
        <x:v>Проверка автором исследования; дополнительная проверка Михаилом Саяпиным; согласование 28.10.2026</x:v>
      </x:c>
      <x:c r="AS436" s="1"/>
      <x:c r="AT436" s="8" t="s">
        <x:v>96</x:v>
      </x:c>
      <x:c r="AU436" s="1" t="s">
        <x:v>4914</x:v>
      </x:c>
      <x:c r="AV436" s="17"/>
      <x:c r="AW436" s="1" t="s">
        <x:v>4915</x:v>
      </x:c>
      <x:c r="AX436" s="8" t="s">
        <x:v>146</x:v>
      </x:c>
      <x:c r="AY436" s="8" t="s">
        <x:v>5234</x:v>
      </x:c>
    </x:row>
    <x:row r="437" ht="69.94999694824219" customHeight="1">
      <x:c r="A437" s="1" t="s">
        <x:v>5235</x:v>
      </x:c>
      <x:c r="B437" s="8" t="s">
        <x:v>5236</x:v>
      </x:c>
      <x:c r="C437" s="1" t="s">
        <x:v>5237</x:v>
      </x:c>
      <x:c r="D437" s="8" t="s">
        <x:v>86</x:v>
      </x:c>
      <x:c r="E437" s="1" t="s">
        <x:v>76</x:v>
      </x:c>
      <x:c r="F437" s="8" t="s">
        <x:v>5238</x:v>
      </x:c>
      <x:c r="G437" s="1" t="s">
        <x:v>5239</x:v>
      </x:c>
      <x:c r="H437" s="8"/>
      <x:c r="I437" s="4">
        <x:v>2009</x:v>
      </x:c>
      <x:c r="J437" s="8"/>
      <x:c r="K437" s="1"/>
      <x:c r="L437" s="8"/>
      <x:c r="M437" s="1"/>
      <x:c r="N437" s="8" t="s">
        <x:v>5240</x:v>
      </x:c>
      <x:c r="O437" s="1" t="s">
        <x:v>1122</x:v>
      </x:c>
      <x:c r="P437" s="8"/>
      <x:c r="Q437" s="1"/>
      <x:c r="R437" s="8"/>
      <x:c r="S437" s="3"/>
      <x:c r="T437" s="8" t="s">
        <x:v>4905</x:v>
      </x:c>
      <x:c r="U437" s="1" t="s">
        <x:v>5207</x:v>
      </x:c>
      <x:c r="V437" s="13">
        <x:v>7</x:v>
      </x:c>
      <x:c r="W437" s="1" t="s">
        <x:v>5079</x:v>
      </x:c>
      <x:c r="X437" s="8" t="s">
        <x:v>66</x:v>
      </x:c>
      <x:c r="Y437" s="1" t="str">
        <x:v>Проверено автором; дополнительно проверено Михаилом Саяпиным</x:v>
      </x:c>
      <x:c r="Z437" s="8"/>
      <x:c r="AA437" s="1" t="s">
        <x:v>5208</x:v>
      </x:c>
      <x:c r="AB437" s="13">
        <x:v>2019</x:v>
      </x:c>
      <x:c r="AC437" s="3"/>
      <x:c r="AD437" s="8" t="s">
        <x:v>93</x:v>
      </x:c>
      <x:c r="AE437" s="1"/>
      <x:c r="AF437" s="8" t="s">
        <x:v>71</x:v>
      </x:c>
      <x:c r="AG437" s="1" t="s">
        <x:v>5209</x:v>
      </x:c>
      <x:c r="AH437" s="8" t="s">
        <x:v>144</x:v>
      </x:c>
      <x:c r="AI437" s="1" t="s">
        <x:v>145</x:v>
      </x:c>
      <x:c r="AJ437" s="17">
        <x:v>46323</x:v>
      </x:c>
      <x:c r="AK437" s="1" t="s">
        <x:v>4910</x:v>
      </x:c>
      <x:c r="AL437" s="8" t="s">
        <x:v>4911</x:v>
      </x:c>
      <x:c r="AM437" s="1" t="s">
        <x:v>1783</x:v>
      </x:c>
      <x:c r="AN437" s="8" t="s">
        <x:v>95</x:v>
      </x:c>
      <x:c r="AO437" s="1" t="s">
        <x:v>76</x:v>
      </x:c>
      <x:c r="AP437" s="8"/>
      <x:c r="AQ437" s="1" t="s">
        <x:v>5241</x:v>
      </x:c>
      <x:c r="AR437" s="8" t="str">
        <x:v>Проверка автором исследования; дополнительная проверка Михаилом Саяпиным; согласование 28.10.2026</x:v>
      </x:c>
      <x:c r="AS437" s="1"/>
      <x:c r="AT437" s="8" t="s">
        <x:v>96</x:v>
      </x:c>
      <x:c r="AU437" s="1" t="s">
        <x:v>4914</x:v>
      </x:c>
      <x:c r="AV437" s="17"/>
      <x:c r="AW437" s="1" t="s">
        <x:v>4915</x:v>
      </x:c>
      <x:c r="AX437" s="8" t="s">
        <x:v>146</x:v>
      </x:c>
      <x:c r="AY437" s="8" t="s">
        <x:v>5242</x:v>
      </x:c>
    </x:row>
    <x:row r="438" ht="69.94999694824219" customHeight="1">
      <x:c r="A438" s="1" t="s">
        <x:v>5243</x:v>
      </x:c>
      <x:c r="B438" s="8" t="s">
        <x:v>5244</x:v>
      </x:c>
      <x:c r="C438" s="1" t="s">
        <x:v>5245</x:v>
      </x:c>
      <x:c r="D438" s="8" t="s">
        <x:v>86</x:v>
      </x:c>
      <x:c r="E438" s="1" t="s">
        <x:v>76</x:v>
      </x:c>
      <x:c r="F438" s="8" t="s">
        <x:v>5246</x:v>
      </x:c>
      <x:c r="G438" s="1" t="s">
        <x:v>5247</x:v>
      </x:c>
      <x:c r="H438" s="8"/>
      <x:c r="I438" s="4">
        <x:v>2016</x:v>
      </x:c>
      <x:c r="J438" s="8"/>
      <x:c r="K438" s="1"/>
      <x:c r="L438" s="8" t="s">
        <x:v>5248</x:v>
      </x:c>
      <x:c r="M438" s="1" t="s">
        <x:v>90</x:v>
      </x:c>
      <x:c r="N438" s="8" t="s">
        <x:v>5249</x:v>
      </x:c>
      <x:c r="O438" s="1" t="s">
        <x:v>5250</x:v>
      </x:c>
      <x:c r="P438" s="8"/>
      <x:c r="Q438" s="1"/>
      <x:c r="R438" s="8"/>
      <x:c r="S438" s="3"/>
      <x:c r="T438" s="8" t="s">
        <x:v>4905</x:v>
      </x:c>
      <x:c r="U438" s="1" t="s">
        <x:v>5207</x:v>
      </x:c>
      <x:c r="V438" s="13">
        <x:v>8</x:v>
      </x:c>
      <x:c r="W438" s="1" t="s">
        <x:v>5251</x:v>
      </x:c>
      <x:c r="X438" s="8" t="s">
        <x:v>66</x:v>
      </x:c>
      <x:c r="Y438" s="1" t="str">
        <x:v>Проверено автором; дополнительно проверено Михаилом Саяпиным</x:v>
      </x:c>
      <x:c r="Z438" s="8"/>
      <x:c r="AA438" s="1" t="s">
        <x:v>5208</x:v>
      </x:c>
      <x:c r="AB438" s="13">
        <x:v>2019</x:v>
      </x:c>
      <x:c r="AC438" s="3"/>
      <x:c r="AD438" s="8" t="s">
        <x:v>93</x:v>
      </x:c>
      <x:c r="AE438" s="1"/>
      <x:c r="AF438" s="8" t="s">
        <x:v>71</x:v>
      </x:c>
      <x:c r="AG438" s="1" t="s">
        <x:v>5209</x:v>
      </x:c>
      <x:c r="AH438" s="8" t="s">
        <x:v>144</x:v>
      </x:c>
      <x:c r="AI438" s="1" t="s">
        <x:v>145</x:v>
      </x:c>
      <x:c r="AJ438" s="17">
        <x:v>46323</x:v>
      </x:c>
      <x:c r="AK438" s="1" t="s">
        <x:v>4910</x:v>
      </x:c>
      <x:c r="AL438" s="8" t="s">
        <x:v>4911</x:v>
      </x:c>
      <x:c r="AM438" s="1" t="s">
        <x:v>1783</x:v>
      </x:c>
      <x:c r="AN438" s="8" t="s">
        <x:v>95</x:v>
      </x:c>
      <x:c r="AO438" s="1" t="s">
        <x:v>76</x:v>
      </x:c>
      <x:c r="AP438" s="8" t="s">
        <x:v>5252</x:v>
      </x:c>
      <x:c r="AQ438" s="1" t="s">
        <x:v>5253</x:v>
      </x:c>
      <x:c r="AR438" s="8" t="str">
        <x:v>Проверка автором исследования; дополнительная проверка Михаилом Саяпиным; согласование 28.10.2026</x:v>
      </x:c>
      <x:c r="AS438" s="1"/>
      <x:c r="AT438" s="8" t="s">
        <x:v>96</x:v>
      </x:c>
      <x:c r="AU438" s="1" t="s">
        <x:v>4914</x:v>
      </x:c>
      <x:c r="AV438" s="17"/>
      <x:c r="AW438" s="1" t="s">
        <x:v>4915</x:v>
      </x:c>
      <x:c r="AX438" s="8" t="s">
        <x:v>146</x:v>
      </x:c>
      <x:c r="AY438" s="8" t="s">
        <x:v>5254</x:v>
      </x:c>
    </x:row>
    <x:row r="439" ht="69.94999694824219" customHeight="1">
      <x:c r="A439" s="1" t="s">
        <x:v>5255</x:v>
      </x:c>
      <x:c r="B439" s="8" t="s">
        <x:v>5256</x:v>
      </x:c>
      <x:c r="C439" s="1" t="s">
        <x:v>5257</x:v>
      </x:c>
      <x:c r="D439" s="8" t="s">
        <x:v>86</x:v>
      </x:c>
      <x:c r="E439" s="1" t="s">
        <x:v>76</x:v>
      </x:c>
      <x:c r="F439" s="8" t="s">
        <x:v>5258</x:v>
      </x:c>
      <x:c r="G439" s="1" t="s">
        <x:v>5259</x:v>
      </x:c>
      <x:c r="H439" s="8"/>
      <x:c r="I439" s="4">
        <x:v>2012</x:v>
      </x:c>
      <x:c r="J439" s="8"/>
      <x:c r="K439" s="1"/>
      <x:c r="L439" s="8" t="s">
        <x:v>1169</x:v>
      </x:c>
      <x:c r="M439" s="1" t="s">
        <x:v>90</x:v>
      </x:c>
      <x:c r="N439" s="8" t="s">
        <x:v>5260</x:v>
      </x:c>
      <x:c r="O439" s="1" t="s">
        <x:v>92</x:v>
      </x:c>
      <x:c r="P439" s="8"/>
      <x:c r="Q439" s="1"/>
      <x:c r="R439" s="8"/>
      <x:c r="S439" s="3"/>
      <x:c r="T439" s="8" t="s">
        <x:v>4905</x:v>
      </x:c>
      <x:c r="U439" s="1" t="s">
        <x:v>5207</x:v>
      </x:c>
      <x:c r="V439" s="13">
        <x:v>10</x:v>
      </x:c>
      <x:c r="W439" s="1" t="s">
        <x:v>4907</x:v>
      </x:c>
      <x:c r="X439" s="8" t="s">
        <x:v>66</x:v>
      </x:c>
      <x:c r="Y439" s="1" t="str">
        <x:v>Проверено автором исследования</x:v>
      </x:c>
      <x:c r="Z439" s="8"/>
      <x:c r="AA439" s="1" t="s">
        <x:v>5208</x:v>
      </x:c>
      <x:c r="AB439" s="13">
        <x:v>2019</x:v>
      </x:c>
      <x:c r="AC439" s="3"/>
      <x:c r="AD439" s="8" t="s">
        <x:v>93</x:v>
      </x:c>
      <x:c r="AE439" s="1"/>
      <x:c r="AF439" s="8" t="s">
        <x:v>71</x:v>
      </x:c>
      <x:c r="AG439" s="1" t="s">
        <x:v>5209</x:v>
      </x:c>
      <x:c r="AH439" s="8" t="str">
        <x:v>Краткая затекстовая ссылка; повторная документальная сверка выполнена</x:v>
      </x:c>
      <x:c r="AI439" s="1"/>
      <x:c r="AJ439" s="17"/>
      <x:c r="AK439" s="1" t="s">
        <x:v>4910</x:v>
      </x:c>
      <x:c r="AL439" s="8" t="s">
        <x:v>4911</x:v>
      </x:c>
      <x:c r="AM439" s="1" t="s">
        <x:v>1783</x:v>
      </x:c>
      <x:c r="AN439" s="8" t="s">
        <x:v>95</x:v>
      </x:c>
      <x:c r="AO439" s="1" t="s">
        <x:v>76</x:v>
      </x:c>
      <x:c r="AP439" s="8"/>
      <x:c r="AQ439" s="1" t="s">
        <x:v>5261</x:v>
      </x:c>
      <x:c r="AR439" s="8" t="str">
        <x:v>Проверка автором исследования</x:v>
      </x:c>
      <x:c r="AS439" s="1"/>
      <x:c r="AT439" s="8" t="s">
        <x:v>96</x:v>
      </x:c>
      <x:c r="AU439" s="1" t="s">
        <x:v>4914</x:v>
      </x:c>
      <x:c r="AV439" s="17"/>
      <x:c r="AW439" s="1" t="s">
        <x:v>4915</x:v>
      </x:c>
      <x:c r="AX439" s="8" t="s">
        <x:v>82</x:v>
      </x:c>
      <x:c r="AY439" s="8"/>
    </x:row>
    <x:row r="440" ht="69.94999694824219" customHeight="1">
      <x:c r="A440" s="1" t="s">
        <x:v>5262</x:v>
      </x:c>
      <x:c r="B440" s="8" t="s">
        <x:v>5263</x:v>
      </x:c>
      <x:c r="C440" s="1" t="s">
        <x:v>5264</x:v>
      </x:c>
      <x:c r="D440" s="8" t="s">
        <x:v>86</x:v>
      </x:c>
      <x:c r="E440" s="1" t="s">
        <x:v>76</x:v>
      </x:c>
      <x:c r="F440" s="8" t="s">
        <x:v>5265</x:v>
      </x:c>
      <x:c r="G440" s="1" t="s">
        <x:v>5266</x:v>
      </x:c>
      <x:c r="H440" s="8"/>
      <x:c r="I440" s="4">
        <x:v>2006</x:v>
      </x:c>
      <x:c r="J440" s="8"/>
      <x:c r="K440" s="1"/>
      <x:c r="L440" s="8" t="s">
        <x:v>476</x:v>
      </x:c>
      <x:c r="M440" s="1" t="s">
        <x:v>90</x:v>
      </x:c>
      <x:c r="N440" s="8"/>
      <x:c r="O440" s="1" t="s">
        <x:v>1122</x:v>
      </x:c>
      <x:c r="P440" s="8"/>
      <x:c r="Q440" s="1"/>
      <x:c r="R440" s="8"/>
      <x:c r="S440" s="3"/>
      <x:c r="T440" s="8" t="s">
        <x:v>4905</x:v>
      </x:c>
      <x:c r="U440" s="1" t="s">
        <x:v>5207</x:v>
      </x:c>
      <x:c r="V440" s="13">
        <x:v>11</x:v>
      </x:c>
      <x:c r="W440" s="1" t="s">
        <x:v>5267</x:v>
      </x:c>
      <x:c r="X440" s="8" t="s">
        <x:v>66</x:v>
      </x:c>
      <x:c r="Y440" s="1" t="str">
        <x:v>Проверено автором; дополнительно проверено Михаилом Саяпиным</x:v>
      </x:c>
      <x:c r="Z440" s="8"/>
      <x:c r="AA440" s="1" t="s">
        <x:v>5208</x:v>
      </x:c>
      <x:c r="AB440" s="13">
        <x:v>2019</x:v>
      </x:c>
      <x:c r="AC440" s="3"/>
      <x:c r="AD440" s="8" t="s">
        <x:v>93</x:v>
      </x:c>
      <x:c r="AE440" s="1"/>
      <x:c r="AF440" s="8" t="s">
        <x:v>71</x:v>
      </x:c>
      <x:c r="AG440" s="1" t="s">
        <x:v>5209</x:v>
      </x:c>
      <x:c r="AH440" s="8" t="s">
        <x:v>144</x:v>
      </x:c>
      <x:c r="AI440" s="1" t="s">
        <x:v>145</x:v>
      </x:c>
      <x:c r="AJ440" s="17">
        <x:v>46323</x:v>
      </x:c>
      <x:c r="AK440" s="1" t="s">
        <x:v>4910</x:v>
      </x:c>
      <x:c r="AL440" s="8" t="s">
        <x:v>4911</x:v>
      </x:c>
      <x:c r="AM440" s="1" t="s">
        <x:v>1783</x:v>
      </x:c>
      <x:c r="AN440" s="8" t="s">
        <x:v>95</x:v>
      </x:c>
      <x:c r="AO440" s="1" t="s">
        <x:v>76</x:v>
      </x:c>
      <x:c r="AP440" s="8"/>
      <x:c r="AQ440" s="1" t="s">
        <x:v>5268</x:v>
      </x:c>
      <x:c r="AR440" s="8" t="str">
        <x:v>Проверка автором исследования; дополнительная проверка Михаилом Саяпиным; согласование 28.10.2026</x:v>
      </x:c>
      <x:c r="AS440" s="1"/>
      <x:c r="AT440" s="8" t="s">
        <x:v>96</x:v>
      </x:c>
      <x:c r="AU440" s="1" t="s">
        <x:v>4914</x:v>
      </x:c>
      <x:c r="AV440" s="17"/>
      <x:c r="AW440" s="1" t="s">
        <x:v>4915</x:v>
      </x:c>
      <x:c r="AX440" s="8" t="s">
        <x:v>146</x:v>
      </x:c>
      <x:c r="AY440" s="8" t="s">
        <x:v>5269</x:v>
      </x:c>
    </x:row>
    <x:row r="441" ht="84" customHeight="1">
      <x:c r="A441" s="1" t="s">
        <x:v>5270</x:v>
      </x:c>
      <x:c r="B441" s="8" t="s">
        <x:v>5271</x:v>
      </x:c>
      <x:c r="C441" s="1" t="s">
        <x:v>5272</x:v>
      </x:c>
      <x:c r="D441" s="8" t="s">
        <x:v>5058</x:v>
      </x:c>
      <x:c r="E441" s="1" t="s">
        <x:v>76</x:v>
      </x:c>
      <x:c r="F441" s="8"/>
      <x:c r="G441" s="1" t="s">
        <x:v>5273</x:v>
      </x:c>
      <x:c r="H441" s="8"/>
      <x:c r="I441" s="4"/>
      <x:c r="J441" s="8"/>
      <x:c r="K441" s="1"/>
      <x:c r="L441" s="8"/>
      <x:c r="M441" s="1"/>
      <x:c r="N441" s="8"/>
      <x:c r="O441" s="1"/>
      <x:c r="P441" s="8" t="s">
        <x:v>5274</x:v>
      </x:c>
      <x:c r="Q441" s="1"/>
      <x:c r="R441" s="8"/>
      <x:c r="S441" s="3"/>
      <x:c r="T441" s="8" t="s">
        <x:v>4905</x:v>
      </x:c>
      <x:c r="U441" s="1" t="s">
        <x:v>5275</x:v>
      </x:c>
      <x:c r="V441" s="13">
        <x:v>15</x:v>
      </x:c>
      <x:c r="W441" s="1" t="s">
        <x:v>5276</x:v>
      </x:c>
      <x:c r="X441" s="8" t="s">
        <x:v>66</x:v>
      </x:c>
      <x:c r="Y441" s="1" t="str">
        <x:v>Проверено автором; дополнительно проверено Михаилом Саяпиным</x:v>
      </x:c>
      <x:c r="Z441" s="8"/>
      <x:c r="AA441" s="1" t="s">
        <x:v>5208</x:v>
      </x:c>
      <x:c r="AB441" s="13">
        <x:v>2019</x:v>
      </x:c>
      <x:c r="AC441" s="3"/>
      <x:c r="AD441" s="8" t="s">
        <x:v>93</x:v>
      </x:c>
      <x:c r="AE441" s="1"/>
      <x:c r="AF441" s="8" t="s">
        <x:v>71</x:v>
      </x:c>
      <x:c r="AG441" s="1" t="s">
        <x:v>5209</x:v>
      </x:c>
      <x:c r="AH441" s="8" t="s">
        <x:v>1375</x:v>
      </x:c>
      <x:c r="AI441" s="1" t="s">
        <x:v>145</x:v>
      </x:c>
      <x:c r="AJ441" s="17">
        <x:v>46323</x:v>
      </x:c>
      <x:c r="AK441" s="1" t="s">
        <x:v>4910</x:v>
      </x:c>
      <x:c r="AL441" s="8" t="s">
        <x:v>4911</x:v>
      </x:c>
      <x:c r="AM441" s="1" t="s">
        <x:v>5277</x:v>
      </x:c>
      <x:c r="AN441" s="8" t="s">
        <x:v>95</x:v>
      </x:c>
      <x:c r="AO441" s="1" t="s">
        <x:v>76</x:v>
      </x:c>
      <x:c r="AP441" s="8"/>
      <x:c r="AQ441" s="1" t="s">
        <x:v>5278</x:v>
      </x:c>
      <x:c r="AR441" s="8" t="str">
        <x:v>Проверка автором исследования; дополнительная проверка Михаилом Саяпиным; согласование 28.10.2026</x:v>
      </x:c>
      <x:c r="AS441" s="1"/>
      <x:c r="AT441" s="8" t="s">
        <x:v>96</x:v>
      </x:c>
      <x:c r="AU441" s="1" t="s">
        <x:v>4914</x:v>
      </x:c>
      <x:c r="AV441" s="17"/>
      <x:c r="AW441" s="1" t="s">
        <x:v>4915</x:v>
      </x:c>
      <x:c r="AX441" s="8" t="s">
        <x:v>146</x:v>
      </x:c>
      <x:c r="AY441" s="8" t="s">
        <x:v>5279</x:v>
      </x:c>
    </x:row>
    <x:row r="442" ht="69.94999694824219" customHeight="1">
      <x:c r="A442" s="1" t="s">
        <x:v>5280</x:v>
      </x:c>
      <x:c r="B442" s="8" t="s">
        <x:v>5281</x:v>
      </x:c>
      <x:c r="C442" s="1" t="s">
        <x:v>5282</x:v>
      </x:c>
      <x:c r="D442" s="8" t="s">
        <x:v>5283</x:v>
      </x:c>
      <x:c r="E442" s="1" t="s">
        <x:v>54</x:v>
      </x:c>
      <x:c r="F442" s="8"/>
      <x:c r="G442" s="1" t="s">
        <x:v>5284</x:v>
      </x:c>
      <x:c r="H442" s="8"/>
      <x:c r="I442" s="4"/>
      <x:c r="J442" s="8"/>
      <x:c r="K442" s="1"/>
      <x:c r="L442" s="8"/>
      <x:c r="M442" s="1" t="s">
        <x:v>61</x:v>
      </x:c>
      <x:c r="N442" s="8"/>
      <x:c r="O442" s="1"/>
      <x:c r="P442" s="8"/>
      <x:c r="Q442" s="1"/>
      <x:c r="R442" s="8" t="s">
        <x:v>5285</x:v>
      </x:c>
      <x:c r="S442" s="3"/>
      <x:c r="T442" s="8" t="s">
        <x:v>4905</x:v>
      </x:c>
      <x:c r="U442" s="1" t="s">
        <x:v>5275</x:v>
      </x:c>
      <x:c r="V442" s="13">
        <x:v>16</x:v>
      </x:c>
      <x:c r="W442" s="1" t="s">
        <x:v>4943</x:v>
      </x:c>
      <x:c r="X442" s="8" t="s">
        <x:v>66</x:v>
      </x:c>
      <x:c r="Y442" s="1" t="str">
        <x:v>Проверено автором исследования</x:v>
      </x:c>
      <x:c r="Z442" s="8"/>
      <x:c r="AA442" s="1" t="s">
        <x:v>5208</x:v>
      </x:c>
      <x:c r="AB442" s="13">
        <x:v>2019</x:v>
      </x:c>
      <x:c r="AC442" s="3">
        <x:v>46322</x:v>
      </x:c>
      <x:c r="AD442" s="8" t="s">
        <x:v>69</x:v>
      </x:c>
      <x:c r="AE442" s="1"/>
      <x:c r="AF442" s="8" t="s">
        <x:v>71</x:v>
      </x:c>
      <x:c r="AG442" s="1" t="s">
        <x:v>5209</x:v>
      </x:c>
      <x:c r="AH442" s="8" t="str">
        <x:v>Краткая затекстовая ссылка; повторная документальная сверка выполнена</x:v>
      </x:c>
      <x:c r="AI442" s="1"/>
      <x:c r="AJ442" s="17"/>
      <x:c r="AK442" s="1" t="s">
        <x:v>4910</x:v>
      </x:c>
      <x:c r="AL442" s="8" t="s">
        <x:v>4911</x:v>
      </x:c>
      <x:c r="AM442" s="1" t="s">
        <x:v>5277</x:v>
      </x:c>
      <x:c r="AN442" s="8" t="s">
        <x:v>75</x:v>
      </x:c>
      <x:c r="AO442" s="1" t="s">
        <x:v>54</x:v>
      </x:c>
      <x:c r="AP442" s="8"/>
      <x:c r="AQ442" s="1" t="s">
        <x:v>5286</x:v>
      </x:c>
      <x:c r="AR442" s="8" t="str">
        <x:v>Проверка автором исследования</x:v>
      </x:c>
      <x:c r="AS442" s="1" t="s">
        <x:v>5285</x:v>
      </x:c>
      <x:c r="AT442" s="8" t="s">
        <x:v>5287</x:v>
      </x:c>
      <x:c r="AU442" s="1" t="s">
        <x:v>5288</x:v>
      </x:c>
      <x:c r="AV442" s="17">
        <x:v>46322</x:v>
      </x:c>
      <x:c r="AW442" s="1" t="s">
        <x:v>4948</x:v>
      </x:c>
      <x:c r="AX442" s="8" t="s">
        <x:v>82</x:v>
      </x:c>
      <x:c r="AY442" s="8"/>
    </x:row>
    <x:row r="443" ht="69.94999694824219" customHeight="1">
      <x:c r="A443" s="1" t="s">
        <x:v>5289</x:v>
      </x:c>
      <x:c r="B443" s="8" t="s">
        <x:v>5290</x:v>
      </x:c>
      <x:c r="C443" s="1" t="s">
        <x:v>5291</x:v>
      </x:c>
      <x:c r="D443" s="8" t="s">
        <x:v>5283</x:v>
      </x:c>
      <x:c r="E443" s="1" t="s">
        <x:v>54</x:v>
      </x:c>
      <x:c r="F443" s="8"/>
      <x:c r="G443" s="1" t="s">
        <x:v>5292</x:v>
      </x:c>
      <x:c r="H443" s="8"/>
      <x:c r="I443" s="4"/>
      <x:c r="J443" s="8"/>
      <x:c r="K443" s="1"/>
      <x:c r="L443" s="8"/>
      <x:c r="M443" s="1" t="s">
        <x:v>61</x:v>
      </x:c>
      <x:c r="N443" s="8"/>
      <x:c r="O443" s="1"/>
      <x:c r="P443" s="8"/>
      <x:c r="Q443" s="1"/>
      <x:c r="R443" s="8" t="s">
        <x:v>5293</x:v>
      </x:c>
      <x:c r="S443" s="3"/>
      <x:c r="T443" s="8" t="s">
        <x:v>4905</x:v>
      </x:c>
      <x:c r="U443" s="1" t="s">
        <x:v>5275</x:v>
      </x:c>
      <x:c r="V443" s="13">
        <x:v>18</x:v>
      </x:c>
      <x:c r="W443" s="1" t="s">
        <x:v>4943</x:v>
      </x:c>
      <x:c r="X443" s="8" t="s">
        <x:v>66</x:v>
      </x:c>
      <x:c r="Y443" s="1" t="str">
        <x:v>Проверено автором исследования</x:v>
      </x:c>
      <x:c r="Z443" s="8"/>
      <x:c r="AA443" s="1" t="s">
        <x:v>5208</x:v>
      </x:c>
      <x:c r="AB443" s="13">
        <x:v>2019</x:v>
      </x:c>
      <x:c r="AC443" s="3">
        <x:v>46322</x:v>
      </x:c>
      <x:c r="AD443" s="8" t="s">
        <x:v>69</x:v>
      </x:c>
      <x:c r="AE443" s="1"/>
      <x:c r="AF443" s="8" t="s">
        <x:v>71</x:v>
      </x:c>
      <x:c r="AG443" s="1" t="s">
        <x:v>5209</x:v>
      </x:c>
      <x:c r="AH443" s="8" t="str">
        <x:v>Краткая затекстовая ссылка; повторная документальная сверка выполнена</x:v>
      </x:c>
      <x:c r="AI443" s="1"/>
      <x:c r="AJ443" s="17"/>
      <x:c r="AK443" s="1" t="s">
        <x:v>4910</x:v>
      </x:c>
      <x:c r="AL443" s="8" t="s">
        <x:v>4911</x:v>
      </x:c>
      <x:c r="AM443" s="1" t="s">
        <x:v>5277</x:v>
      </x:c>
      <x:c r="AN443" s="8" t="s">
        <x:v>75</x:v>
      </x:c>
      <x:c r="AO443" s="1" t="s">
        <x:v>54</x:v>
      </x:c>
      <x:c r="AP443" s="8"/>
      <x:c r="AQ443" s="1" t="s">
        <x:v>5294</x:v>
      </x:c>
      <x:c r="AR443" s="8" t="str">
        <x:v>Проверка автором исследования</x:v>
      </x:c>
      <x:c r="AS443" s="1" t="s">
        <x:v>5293</x:v>
      </x:c>
      <x:c r="AT443" s="8" t="s">
        <x:v>5295</x:v>
      </x:c>
      <x:c r="AU443" s="1" t="s">
        <x:v>5296</x:v>
      </x:c>
      <x:c r="AV443" s="17">
        <x:v>46322</x:v>
      </x:c>
      <x:c r="AW443" s="1" t="s">
        <x:v>4948</x:v>
      </x:c>
      <x:c r="AX443" s="8" t="s">
        <x:v>82</x:v>
      </x:c>
      <x:c r="AY443" s="8"/>
    </x:row>
    <x:row r="444" ht="69.94999694824219" customHeight="1">
      <x:c r="A444" s="1" t="s">
        <x:v>5297</x:v>
      </x:c>
      <x:c r="B444" s="8" t="s">
        <x:v>5298</x:v>
      </x:c>
      <x:c r="C444" s="1" t="s">
        <x:v>5299</x:v>
      </x:c>
      <x:c r="D444" s="8" t="s">
        <x:v>5283</x:v>
      </x:c>
      <x:c r="E444" s="1" t="s">
        <x:v>54</x:v>
      </x:c>
      <x:c r="F444" s="8"/>
      <x:c r="G444" s="1" t="s">
        <x:v>5300</x:v>
      </x:c>
      <x:c r="H444" s="8"/>
      <x:c r="I444" s="4"/>
      <x:c r="J444" s="8"/>
      <x:c r="K444" s="1"/>
      <x:c r="L444" s="8"/>
      <x:c r="M444" s="1"/>
      <x:c r="N444" s="8"/>
      <x:c r="O444" s="1"/>
      <x:c r="P444" s="8"/>
      <x:c r="Q444" s="1"/>
      <x:c r="R444" s="8" t="s">
        <x:v>5301</x:v>
      </x:c>
      <x:c r="S444" s="3"/>
      <x:c r="T444" s="8" t="s">
        <x:v>4905</x:v>
      </x:c>
      <x:c r="U444" s="1" t="s">
        <x:v>5275</x:v>
      </x:c>
      <x:c r="V444" s="13">
        <x:v>19</x:v>
      </x:c>
      <x:c r="W444" s="1" t="s">
        <x:v>5302</x:v>
      </x:c>
      <x:c r="X444" s="8" t="s">
        <x:v>66</x:v>
      </x:c>
      <x:c r="Y444" s="1" t="str">
        <x:v>Проверено автором; дополнительно проверено Михаилом Саяпиным</x:v>
      </x:c>
      <x:c r="Z444" s="8"/>
      <x:c r="AA444" s="1" t="s">
        <x:v>5208</x:v>
      </x:c>
      <x:c r="AB444" s="13">
        <x:v>2019</x:v>
      </x:c>
      <x:c r="AC444" s="3">
        <x:v>46322</x:v>
      </x:c>
      <x:c r="AD444" s="8" t="s">
        <x:v>69</x:v>
      </x:c>
      <x:c r="AE444" s="1"/>
      <x:c r="AF444" s="8" t="s">
        <x:v>71</x:v>
      </x:c>
      <x:c r="AG444" s="1" t="s">
        <x:v>5209</x:v>
      </x:c>
      <x:c r="AH444" s="8" t="s">
        <x:v>144</x:v>
      </x:c>
      <x:c r="AI444" s="1" t="s">
        <x:v>145</x:v>
      </x:c>
      <x:c r="AJ444" s="17">
        <x:v>46323</x:v>
      </x:c>
      <x:c r="AK444" s="1" t="s">
        <x:v>4910</x:v>
      </x:c>
      <x:c r="AL444" s="8" t="s">
        <x:v>4911</x:v>
      </x:c>
      <x:c r="AM444" s="1" t="s">
        <x:v>5277</x:v>
      </x:c>
      <x:c r="AN444" s="8" t="s">
        <x:v>75</x:v>
      </x:c>
      <x:c r="AO444" s="1" t="s">
        <x:v>54</x:v>
      </x:c>
      <x:c r="AP444" s="8"/>
      <x:c r="AQ444" s="1" t="s">
        <x:v>5303</x:v>
      </x:c>
      <x:c r="AR444" s="8" t="str">
        <x:v>Проверка автором исследования; дополнительная проверка Михаилом Саяпиным; согласование 28.10.2026</x:v>
      </x:c>
      <x:c r="AS444" s="1" t="s">
        <x:v>5301</x:v>
      </x:c>
      <x:c r="AT444" s="8" t="s">
        <x:v>5304</x:v>
      </x:c>
      <x:c r="AU444" s="1" t="s">
        <x:v>5305</x:v>
      </x:c>
      <x:c r="AV444" s="17">
        <x:v>46322</x:v>
      </x:c>
      <x:c r="AW444" s="1" t="s">
        <x:v>4948</x:v>
      </x:c>
      <x:c r="AX444" s="8" t="s">
        <x:v>146</x:v>
      </x:c>
      <x:c r="AY444" s="8" t="s">
        <x:v>5306</x:v>
      </x:c>
    </x:row>
    <x:row r="445" ht="69.94999694824219" customHeight="1">
      <x:c r="A445" s="1" t="s">
        <x:v>5307</x:v>
      </x:c>
      <x:c r="B445" s="8" t="s">
        <x:v>5308</x:v>
      </x:c>
      <x:c r="C445" s="1" t="s">
        <x:v>5309</x:v>
      </x:c>
      <x:c r="D445" s="8" t="s">
        <x:v>5283</x:v>
      </x:c>
      <x:c r="E445" s="1" t="s">
        <x:v>54</x:v>
      </x:c>
      <x:c r="F445" s="8"/>
      <x:c r="G445" s="1" t="s">
        <x:v>5310</x:v>
      </x:c>
      <x:c r="H445" s="8"/>
      <x:c r="I445" s="4"/>
      <x:c r="J445" s="8"/>
      <x:c r="K445" s="1"/>
      <x:c r="L445" s="8"/>
      <x:c r="M445" s="1"/>
      <x:c r="N445" s="8"/>
      <x:c r="O445" s="1"/>
      <x:c r="P445" s="8"/>
      <x:c r="Q445" s="1"/>
      <x:c r="R445" s="8" t="s">
        <x:v>5311</x:v>
      </x:c>
      <x:c r="S445" s="3"/>
      <x:c r="T445" s="8" t="s">
        <x:v>4905</x:v>
      </x:c>
      <x:c r="U445" s="1" t="s">
        <x:v>5275</x:v>
      </x:c>
      <x:c r="V445" s="13">
        <x:v>20</x:v>
      </x:c>
      <x:c r="W445" s="1" t="s">
        <x:v>5302</x:v>
      </x:c>
      <x:c r="X445" s="8" t="s">
        <x:v>66</x:v>
      </x:c>
      <x:c r="Y445" s="1" t="str">
        <x:v>Проверено автором; дополнительно проверено Михаилом Саяпиным</x:v>
      </x:c>
      <x:c r="Z445" s="8"/>
      <x:c r="AA445" s="1" t="s">
        <x:v>5208</x:v>
      </x:c>
      <x:c r="AB445" s="13">
        <x:v>2019</x:v>
      </x:c>
      <x:c r="AC445" s="3">
        <x:v>46322</x:v>
      </x:c>
      <x:c r="AD445" s="8" t="s">
        <x:v>69</x:v>
      </x:c>
      <x:c r="AE445" s="1"/>
      <x:c r="AF445" s="8" t="s">
        <x:v>71</x:v>
      </x:c>
      <x:c r="AG445" s="1" t="s">
        <x:v>5209</x:v>
      </x:c>
      <x:c r="AH445" s="8" t="s">
        <x:v>144</x:v>
      </x:c>
      <x:c r="AI445" s="1" t="s">
        <x:v>145</x:v>
      </x:c>
      <x:c r="AJ445" s="17">
        <x:v>46323</x:v>
      </x:c>
      <x:c r="AK445" s="1" t="s">
        <x:v>4910</x:v>
      </x:c>
      <x:c r="AL445" s="8" t="s">
        <x:v>4911</x:v>
      </x:c>
      <x:c r="AM445" s="1" t="s">
        <x:v>5277</x:v>
      </x:c>
      <x:c r="AN445" s="8" t="s">
        <x:v>75</x:v>
      </x:c>
      <x:c r="AO445" s="1" t="s">
        <x:v>54</x:v>
      </x:c>
      <x:c r="AP445" s="8"/>
      <x:c r="AQ445" s="1" t="s">
        <x:v>5312</x:v>
      </x:c>
      <x:c r="AR445" s="8" t="str">
        <x:v>Проверка автором исследования; дополнительная проверка Михаилом Саяпиным; согласование 28.10.2026</x:v>
      </x:c>
      <x:c r="AS445" s="1" t="s">
        <x:v>5311</x:v>
      </x:c>
      <x:c r="AT445" s="8" t="s">
        <x:v>5313</x:v>
      </x:c>
      <x:c r="AU445" s="1" t="s">
        <x:v>5314</x:v>
      </x:c>
      <x:c r="AV445" s="17">
        <x:v>46322</x:v>
      </x:c>
      <x:c r="AW445" s="1" t="s">
        <x:v>4948</x:v>
      </x:c>
      <x:c r="AX445" s="8" t="s">
        <x:v>146</x:v>
      </x:c>
      <x:c r="AY445" s="8" t="s">
        <x:v>5315</x:v>
      </x:c>
    </x:row>
    <x:row r="446" ht="69.94999694824219" customHeight="1">
      <x:c r="A446" s="1" t="s">
        <x:v>5316</x:v>
      </x:c>
      <x:c r="B446" s="8" t="s">
        <x:v>5317</x:v>
      </x:c>
      <x:c r="C446" s="1" t="s">
        <x:v>5318</x:v>
      </x:c>
      <x:c r="D446" s="8" t="s">
        <x:v>73</x:v>
      </x:c>
      <x:c r="E446" s="1" t="s">
        <x:v>76</x:v>
      </x:c>
      <x:c r="F446" s="8" t="s">
        <x:v>5319</x:v>
      </x:c>
      <x:c r="G446" s="1" t="s">
        <x:v>5320</x:v>
      </x:c>
      <x:c r="H446" s="8" t="s">
        <x:v>5321</x:v>
      </x:c>
      <x:c r="I446" s="4">
        <x:v>2015</x:v>
      </x:c>
      <x:c r="J446" s="8"/>
      <x:c r="K446" s="1" t="s">
        <x:v>182</x:v>
      </x:c>
      <x:c r="L446" s="8" t="s">
        <x:v>3905</x:v>
      </x:c>
      <x:c r="M446" s="1" t="s">
        <x:v>61</x:v>
      </x:c>
      <x:c r="N446" s="8"/>
      <x:c r="O446" s="1"/>
      <x:c r="P446" s="8"/>
      <x:c r="Q446" s="1"/>
      <x:c r="R446" s="8"/>
      <x:c r="S446" s="3"/>
      <x:c r="T446" s="8" t="s">
        <x:v>4905</x:v>
      </x:c>
      <x:c r="U446" s="1" t="s">
        <x:v>5322</x:v>
      </x:c>
      <x:c r="V446" s="13">
        <x:v>1</x:v>
      </x:c>
      <x:c r="W446" s="1" t="s">
        <x:v>4907</x:v>
      </x:c>
      <x:c r="X446" s="8" t="s">
        <x:v>66</x:v>
      </x:c>
      <x:c r="Y446" s="1" t="str">
        <x:v>Проверено автором исследования</x:v>
      </x:c>
      <x:c r="Z446" s="8"/>
      <x:c r="AA446" s="1" t="s">
        <x:v>5323</x:v>
      </x:c>
      <x:c r="AB446" s="13">
        <x:v>2023</x:v>
      </x:c>
      <x:c r="AC446" s="3"/>
      <x:c r="AD446" s="8" t="s">
        <x:v>93</x:v>
      </x:c>
      <x:c r="AE446" s="1"/>
      <x:c r="AF446" s="8" t="s">
        <x:v>118</x:v>
      </x:c>
      <x:c r="AG446" s="1" t="s">
        <x:v>5324</x:v>
      </x:c>
      <x:c r="AH446" s="8" t="str">
        <x:v>Краткая затекстовая ссылка; повторная документальная сверка выполнена</x:v>
      </x:c>
      <x:c r="AI446" s="1"/>
      <x:c r="AJ446" s="17"/>
      <x:c r="AK446" s="1" t="s">
        <x:v>5325</x:v>
      </x:c>
      <x:c r="AL446" s="8" t="s">
        <x:v>5326</x:v>
      </x:c>
      <x:c r="AM446" s="1" t="s">
        <x:v>5327</x:v>
      </x:c>
      <x:c r="AN446" s="8" t="s">
        <x:v>95</x:v>
      </x:c>
      <x:c r="AO446" s="1" t="s">
        <x:v>76</x:v>
      </x:c>
      <x:c r="AP446" s="8"/>
      <x:c r="AQ446" s="1" t="s">
        <x:v>5328</x:v>
      </x:c>
      <x:c r="AR446" s="8" t="str">
        <x:v>Проверка автором исследования</x:v>
      </x:c>
      <x:c r="AS446" s="1"/>
      <x:c r="AT446" s="8" t="s">
        <x:v>96</x:v>
      </x:c>
      <x:c r="AU446" s="1" t="s">
        <x:v>4914</x:v>
      </x:c>
      <x:c r="AV446" s="17"/>
      <x:c r="AW446" s="1" t="s">
        <x:v>4915</x:v>
      </x:c>
      <x:c r="AX446" s="8" t="s">
        <x:v>82</x:v>
      </x:c>
      <x:c r="AY446" s="8"/>
    </x:row>
    <x:row r="447" ht="69.94999694824219" customHeight="1">
      <x:c r="A447" s="1" t="s">
        <x:v>5329</x:v>
      </x:c>
      <x:c r="B447" s="8" t="s">
        <x:v>5330</x:v>
      </x:c>
      <x:c r="C447" s="1" t="s">
        <x:v>5331</x:v>
      </x:c>
      <x:c r="D447" s="8" t="s">
        <x:v>73</x:v>
      </x:c>
      <x:c r="E447" s="1" t="s">
        <x:v>76</x:v>
      </x:c>
      <x:c r="F447" s="8" t="s">
        <x:v>5332</x:v>
      </x:c>
      <x:c r="G447" s="1" t="s">
        <x:v>5333</x:v>
      </x:c>
      <x:c r="H447" s="8" t="s">
        <x:v>5321</x:v>
      </x:c>
      <x:c r="I447" s="4">
        <x:v>2013</x:v>
      </x:c>
      <x:c r="J447" s="8"/>
      <x:c r="K447" s="1" t="s">
        <x:v>106</x:v>
      </x:c>
      <x:c r="L447" s="8" t="s">
        <x:v>5334</x:v>
      </x:c>
      <x:c r="M447" s="1" t="s">
        <x:v>61</x:v>
      </x:c>
      <x:c r="N447" s="8"/>
      <x:c r="O447" s="1"/>
      <x:c r="P447" s="8"/>
      <x:c r="Q447" s="1"/>
      <x:c r="R447" s="8"/>
      <x:c r="S447" s="3"/>
      <x:c r="T447" s="8" t="s">
        <x:v>4905</x:v>
      </x:c>
      <x:c r="U447" s="1" t="s">
        <x:v>5322</x:v>
      </x:c>
      <x:c r="V447" s="13">
        <x:v>2</x:v>
      </x:c>
      <x:c r="W447" s="1" t="s">
        <x:v>4933</x:v>
      </x:c>
      <x:c r="X447" s="8" t="s">
        <x:v>66</x:v>
      </x:c>
      <x:c r="Y447" s="1" t="str">
        <x:v>Проверено автором; дополнительно проверено Михаилом Саяпиным</x:v>
      </x:c>
      <x:c r="Z447" s="8"/>
      <x:c r="AA447" s="1" t="s">
        <x:v>5323</x:v>
      </x:c>
      <x:c r="AB447" s="13">
        <x:v>2023</x:v>
      </x:c>
      <x:c r="AC447" s="3"/>
      <x:c r="AD447" s="8" t="s">
        <x:v>93</x:v>
      </x:c>
      <x:c r="AE447" s="1"/>
      <x:c r="AF447" s="8" t="s">
        <x:v>118</x:v>
      </x:c>
      <x:c r="AG447" s="1" t="s">
        <x:v>5324</x:v>
      </x:c>
      <x:c r="AH447" s="8" t="s">
        <x:v>144</x:v>
      </x:c>
      <x:c r="AI447" s="1" t="s">
        <x:v>145</x:v>
      </x:c>
      <x:c r="AJ447" s="17">
        <x:v>46323</x:v>
      </x:c>
      <x:c r="AK447" s="1" t="s">
        <x:v>5325</x:v>
      </x:c>
      <x:c r="AL447" s="8" t="s">
        <x:v>5326</x:v>
      </x:c>
      <x:c r="AM447" s="1" t="s">
        <x:v>5327</x:v>
      </x:c>
      <x:c r="AN447" s="8" t="s">
        <x:v>95</x:v>
      </x:c>
      <x:c r="AO447" s="1" t="s">
        <x:v>76</x:v>
      </x:c>
      <x:c r="AP447" s="8"/>
      <x:c r="AQ447" s="1" t="s">
        <x:v>5335</x:v>
      </x:c>
      <x:c r="AR447" s="8" t="str">
        <x:v>Проверка автором исследования; дополнительная проверка Михаилом Саяпиным; согласование 28.10.2026</x:v>
      </x:c>
      <x:c r="AS447" s="1"/>
      <x:c r="AT447" s="8" t="s">
        <x:v>96</x:v>
      </x:c>
      <x:c r="AU447" s="1" t="s">
        <x:v>4914</x:v>
      </x:c>
      <x:c r="AV447" s="17"/>
      <x:c r="AW447" s="1" t="s">
        <x:v>4915</x:v>
      </x:c>
      <x:c r="AX447" s="8" t="s">
        <x:v>146</x:v>
      </x:c>
      <x:c r="AY447" s="8" t="s">
        <x:v>5336</x:v>
      </x:c>
    </x:row>
    <x:row r="448" ht="69.94999694824219" customHeight="1">
      <x:c r="A448" s="1" t="s">
        <x:v>5337</x:v>
      </x:c>
      <x:c r="B448" s="8" t="s">
        <x:v>5338</x:v>
      </x:c>
      <x:c r="C448" s="1" t="s">
        <x:v>5339</x:v>
      </x:c>
      <x:c r="D448" s="8" t="s">
        <x:v>73</x:v>
      </x:c>
      <x:c r="E448" s="1" t="s">
        <x:v>76</x:v>
      </x:c>
      <x:c r="F448" s="8" t="s">
        <x:v>5340</x:v>
      </x:c>
      <x:c r="G448" s="1" t="s">
        <x:v>5341</x:v>
      </x:c>
      <x:c r="H448" s="8" t="s">
        <x:v>5342</x:v>
      </x:c>
      <x:c r="I448" s="4">
        <x:v>2015</x:v>
      </x:c>
      <x:c r="J448" s="8"/>
      <x:c r="K448" s="1" t="s">
        <x:v>106</x:v>
      </x:c>
      <x:c r="L448" s="8" t="s">
        <x:v>5343</x:v>
      </x:c>
      <x:c r="M448" s="1" t="s">
        <x:v>61</x:v>
      </x:c>
      <x:c r="N448" s="8"/>
      <x:c r="O448" s="1"/>
      <x:c r="P448" s="8"/>
      <x:c r="Q448" s="1"/>
      <x:c r="R448" s="8"/>
      <x:c r="S448" s="3"/>
      <x:c r="T448" s="8" t="s">
        <x:v>4905</x:v>
      </x:c>
      <x:c r="U448" s="1" t="s">
        <x:v>5322</x:v>
      </x:c>
      <x:c r="V448" s="13">
        <x:v>3</x:v>
      </x:c>
      <x:c r="W448" s="1" t="s">
        <x:v>4907</x:v>
      </x:c>
      <x:c r="X448" s="8" t="s">
        <x:v>66</x:v>
      </x:c>
      <x:c r="Y448" s="1" t="str">
        <x:v>Проверено автором исследования</x:v>
      </x:c>
      <x:c r="Z448" s="8"/>
      <x:c r="AA448" s="1" t="s">
        <x:v>5323</x:v>
      </x:c>
      <x:c r="AB448" s="13">
        <x:v>2023</x:v>
      </x:c>
      <x:c r="AC448" s="3"/>
      <x:c r="AD448" s="8" t="s">
        <x:v>93</x:v>
      </x:c>
      <x:c r="AE448" s="1"/>
      <x:c r="AF448" s="8" t="s">
        <x:v>118</x:v>
      </x:c>
      <x:c r="AG448" s="1" t="s">
        <x:v>5324</x:v>
      </x:c>
      <x:c r="AH448" s="8" t="str">
        <x:v>Краткая затекстовая ссылка; повторная документальная сверка выполнена</x:v>
      </x:c>
      <x:c r="AI448" s="1"/>
      <x:c r="AJ448" s="17"/>
      <x:c r="AK448" s="1" t="s">
        <x:v>5325</x:v>
      </x:c>
      <x:c r="AL448" s="8" t="s">
        <x:v>5326</x:v>
      </x:c>
      <x:c r="AM448" s="1" t="s">
        <x:v>5327</x:v>
      </x:c>
      <x:c r="AN448" s="8" t="s">
        <x:v>95</x:v>
      </x:c>
      <x:c r="AO448" s="1" t="s">
        <x:v>76</x:v>
      </x:c>
      <x:c r="AP448" s="8"/>
      <x:c r="AQ448" s="1" t="s">
        <x:v>5344</x:v>
      </x:c>
      <x:c r="AR448" s="8" t="str">
        <x:v>Проверка автором исследования</x:v>
      </x:c>
      <x:c r="AS448" s="1"/>
      <x:c r="AT448" s="8" t="s">
        <x:v>96</x:v>
      </x:c>
      <x:c r="AU448" s="1" t="s">
        <x:v>4914</x:v>
      </x:c>
      <x:c r="AV448" s="17"/>
      <x:c r="AW448" s="1" t="s">
        <x:v>4915</x:v>
      </x:c>
      <x:c r="AX448" s="8" t="s">
        <x:v>82</x:v>
      </x:c>
      <x:c r="AY448" s="8"/>
    </x:row>
    <x:row r="449" ht="69.94999694824219" customHeight="1">
      <x:c r="A449" s="1" t="s">
        <x:v>5345</x:v>
      </x:c>
      <x:c r="B449" s="8" t="s">
        <x:v>5346</x:v>
      </x:c>
      <x:c r="C449" s="1" t="s">
        <x:v>5347</x:v>
      </x:c>
      <x:c r="D449" s="8" t="s">
        <x:v>86</x:v>
      </x:c>
      <x:c r="E449" s="1" t="s">
        <x:v>76</x:v>
      </x:c>
      <x:c r="F449" s="8" t="s">
        <x:v>5348</x:v>
      </x:c>
      <x:c r="G449" s="1" t="s">
        <x:v>5349</x:v>
      </x:c>
      <x:c r="H449" s="8"/>
      <x:c r="I449" s="4">
        <x:v>2005</x:v>
      </x:c>
      <x:c r="J449" s="8"/>
      <x:c r="K449" s="1"/>
      <x:c r="L449" s="8" t="s">
        <x:v>5350</x:v>
      </x:c>
      <x:c r="M449" s="1" t="s">
        <x:v>90</x:v>
      </x:c>
      <x:c r="N449" s="8" t="s">
        <x:v>5351</x:v>
      </x:c>
      <x:c r="O449" s="1" t="s">
        <x:v>5352</x:v>
      </x:c>
      <x:c r="P449" s="8"/>
      <x:c r="Q449" s="1"/>
      <x:c r="R449" s="8"/>
      <x:c r="S449" s="3"/>
      <x:c r="T449" s="8" t="s">
        <x:v>4905</x:v>
      </x:c>
      <x:c r="U449" s="1" t="s">
        <x:v>5353</x:v>
      </x:c>
      <x:c r="V449" s="13">
        <x:v>10</x:v>
      </x:c>
      <x:c r="W449" s="1" t="s">
        <x:v>5354</x:v>
      </x:c>
      <x:c r="X449" s="8" t="s">
        <x:v>66</x:v>
      </x:c>
      <x:c r="Y449" s="1" t="str">
        <x:v>Проверено автором; дополнительно проверено Михаилом Саяпиным</x:v>
      </x:c>
      <x:c r="Z449" s="8"/>
      <x:c r="AA449" s="1" t="s">
        <x:v>5323</x:v>
      </x:c>
      <x:c r="AB449" s="13">
        <x:v>2023</x:v>
      </x:c>
      <x:c r="AC449" s="3"/>
      <x:c r="AD449" s="8" t="s">
        <x:v>93</x:v>
      </x:c>
      <x:c r="AE449" s="1"/>
      <x:c r="AF449" s="8" t="s">
        <x:v>118</x:v>
      </x:c>
      <x:c r="AG449" s="1" t="s">
        <x:v>5324</x:v>
      </x:c>
      <x:c r="AH449" s="8" t="s">
        <x:v>1375</x:v>
      </x:c>
      <x:c r="AI449" s="1" t="s">
        <x:v>145</x:v>
      </x:c>
      <x:c r="AJ449" s="17">
        <x:v>46323</x:v>
      </x:c>
      <x:c r="AK449" s="1" t="s">
        <x:v>5325</x:v>
      </x:c>
      <x:c r="AL449" s="8" t="s">
        <x:v>5326</x:v>
      </x:c>
      <x:c r="AM449" s="1" t="s">
        <x:v>5355</x:v>
      </x:c>
      <x:c r="AN449" s="8" t="s">
        <x:v>95</x:v>
      </x:c>
      <x:c r="AO449" s="1" t="s">
        <x:v>76</x:v>
      </x:c>
      <x:c r="AP449" s="8"/>
      <x:c r="AQ449" s="1" t="s">
        <x:v>5356</x:v>
      </x:c>
      <x:c r="AR449" s="8" t="str">
        <x:v>Проверка автором исследования; дополнительная проверка Михаилом Саяпиным; согласование 28.10.2026</x:v>
      </x:c>
      <x:c r="AS449" s="1"/>
      <x:c r="AT449" s="8" t="s">
        <x:v>96</x:v>
      </x:c>
      <x:c r="AU449" s="1" t="s">
        <x:v>4914</x:v>
      </x:c>
      <x:c r="AV449" s="17"/>
      <x:c r="AW449" s="1" t="s">
        <x:v>4915</x:v>
      </x:c>
      <x:c r="AX449" s="8" t="s">
        <x:v>146</x:v>
      </x:c>
      <x:c r="AY449" s="8" t="s">
        <x:v>5357</x:v>
      </x:c>
    </x:row>
    <x:row r="450" ht="69.94999694824219" customHeight="1">
      <x:c r="A450" s="1" t="s">
        <x:v>5358</x:v>
      </x:c>
      <x:c r="B450" s="8" t="s">
        <x:v>5359</x:v>
      </x:c>
      <x:c r="C450" s="1" t="s">
        <x:v>5360</x:v>
      </x:c>
      <x:c r="D450" s="8" t="s">
        <x:v>3176</x:v>
      </x:c>
      <x:c r="E450" s="1" t="s">
        <x:v>76</x:v>
      </x:c>
      <x:c r="F450" s="8" t="s">
        <x:v>5361</x:v>
      </x:c>
      <x:c r="G450" s="1" t="s">
        <x:v>5362</x:v>
      </x:c>
      <x:c r="H450" s="8" t="s">
        <x:v>5363</x:v>
      </x:c>
      <x:c r="I450" s="4">
        <x:v>2021</x:v>
      </x:c>
      <x:c r="J450" s="8"/>
      <x:c r="K450" s="1"/>
      <x:c r="L450" s="8" t="s">
        <x:v>5364</x:v>
      </x:c>
      <x:c r="M450" s="1" t="s">
        <x:v>61</x:v>
      </x:c>
      <x:c r="N450" s="8"/>
      <x:c r="O450" s="1"/>
      <x:c r="P450" s="8"/>
      <x:c r="Q450" s="1"/>
      <x:c r="R450" s="8"/>
      <x:c r="S450" s="3"/>
      <x:c r="T450" s="8" t="s">
        <x:v>4905</x:v>
      </x:c>
      <x:c r="U450" s="1" t="s">
        <x:v>5353</x:v>
      </x:c>
      <x:c r="V450" s="13">
        <x:v>11</x:v>
      </x:c>
      <x:c r="W450" s="1" t="s">
        <x:v>4907</x:v>
      </x:c>
      <x:c r="X450" s="8" t="s">
        <x:v>66</x:v>
      </x:c>
      <x:c r="Y450" s="1" t="str">
        <x:v>Проверено автором исследования</x:v>
      </x:c>
      <x:c r="Z450" s="8"/>
      <x:c r="AA450" s="1" t="s">
        <x:v>5323</x:v>
      </x:c>
      <x:c r="AB450" s="13">
        <x:v>2023</x:v>
      </x:c>
      <x:c r="AC450" s="3"/>
      <x:c r="AD450" s="8" t="s">
        <x:v>93</x:v>
      </x:c>
      <x:c r="AE450" s="1"/>
      <x:c r="AF450" s="8" t="s">
        <x:v>118</x:v>
      </x:c>
      <x:c r="AG450" s="1" t="s">
        <x:v>5324</x:v>
      </x:c>
      <x:c r="AH450" s="8" t="str">
        <x:v>Краткая затекстовая ссылка; повторная документальная сверка выполнена</x:v>
      </x:c>
      <x:c r="AI450" s="1"/>
      <x:c r="AJ450" s="17"/>
      <x:c r="AK450" s="1" t="s">
        <x:v>5325</x:v>
      </x:c>
      <x:c r="AL450" s="8" t="s">
        <x:v>5326</x:v>
      </x:c>
      <x:c r="AM450" s="1" t="s">
        <x:v>5355</x:v>
      </x:c>
      <x:c r="AN450" s="8" t="s">
        <x:v>95</x:v>
      </x:c>
      <x:c r="AO450" s="1" t="s">
        <x:v>76</x:v>
      </x:c>
      <x:c r="AP450" s="8"/>
      <x:c r="AQ450" s="1" t="s">
        <x:v>5365</x:v>
      </x:c>
      <x:c r="AR450" s="8" t="str">
        <x:v>Проверка автором исследования</x:v>
      </x:c>
      <x:c r="AS450" s="1"/>
      <x:c r="AT450" s="8" t="s">
        <x:v>96</x:v>
      </x:c>
      <x:c r="AU450" s="1" t="s">
        <x:v>4914</x:v>
      </x:c>
      <x:c r="AV450" s="17"/>
      <x:c r="AW450" s="1" t="s">
        <x:v>4915</x:v>
      </x:c>
      <x:c r="AX450" s="8" t="s">
        <x:v>82</x:v>
      </x:c>
      <x:c r="AY450" s="8"/>
    </x:row>
    <x:row r="451" ht="98.0999984741211" customHeight="1">
      <x:c r="A451" s="1" t="s">
        <x:v>5366</x:v>
      </x:c>
      <x:c r="B451" s="8" t="s">
        <x:v>5367</x:v>
      </x:c>
      <x:c r="C451" s="1" t="s">
        <x:v>5368</x:v>
      </x:c>
      <x:c r="D451" s="8" t="s">
        <x:v>73</x:v>
      </x:c>
      <x:c r="E451" s="1" t="s">
        <x:v>76</x:v>
      </x:c>
      <x:c r="F451" s="8" t="s">
        <x:v>5369</x:v>
      </x:c>
      <x:c r="G451" s="1" t="s">
        <x:v>5370</x:v>
      </x:c>
      <x:c r="H451" s="8" t="s">
        <x:v>5371</x:v>
      </x:c>
      <x:c r="I451" s="4">
        <x:v>2017</x:v>
      </x:c>
      <x:c r="J451" s="8"/>
      <x:c r="K451" s="1" t="s">
        <x:v>190</x:v>
      </x:c>
      <x:c r="L451" s="8" t="s">
        <x:v>5372</x:v>
      </x:c>
      <x:c r="M451" s="1" t="s">
        <x:v>61</x:v>
      </x:c>
      <x:c r="N451" s="8"/>
      <x:c r="O451" s="1"/>
      <x:c r="P451" s="8"/>
      <x:c r="Q451" s="1"/>
      <x:c r="R451" s="8"/>
      <x:c r="S451" s="3"/>
      <x:c r="T451" s="8" t="s">
        <x:v>4905</x:v>
      </x:c>
      <x:c r="U451" s="1" t="s">
        <x:v>5373</x:v>
      </x:c>
      <x:c r="V451" s="13">
        <x:v>28</x:v>
      </x:c>
      <x:c r="W451" s="1" t="s">
        <x:v>4907</x:v>
      </x:c>
      <x:c r="X451" s="8" t="s">
        <x:v>66</x:v>
      </x:c>
      <x:c r="Y451" s="1" t="str">
        <x:v>Проверено автором исследования</x:v>
      </x:c>
      <x:c r="Z451" s="8"/>
      <x:c r="AA451" s="1" t="s">
        <x:v>5323</x:v>
      </x:c>
      <x:c r="AB451" s="13">
        <x:v>2023</x:v>
      </x:c>
      <x:c r="AC451" s="3"/>
      <x:c r="AD451" s="8" t="s">
        <x:v>93</x:v>
      </x:c>
      <x:c r="AE451" s="1"/>
      <x:c r="AF451" s="8" t="s">
        <x:v>118</x:v>
      </x:c>
      <x:c r="AG451" s="1" t="s">
        <x:v>5324</x:v>
      </x:c>
      <x:c r="AH451" s="8" t="str">
        <x:v>Краткая затекстовая ссылка; повторная документальная сверка выполнена</x:v>
      </x:c>
      <x:c r="AI451" s="1"/>
      <x:c r="AJ451" s="17"/>
      <x:c r="AK451" s="1" t="s">
        <x:v>5325</x:v>
      </x:c>
      <x:c r="AL451" s="8" t="s">
        <x:v>5326</x:v>
      </x:c>
      <x:c r="AM451" s="1" t="s">
        <x:v>5374</x:v>
      </x:c>
      <x:c r="AN451" s="8" t="s">
        <x:v>95</x:v>
      </x:c>
      <x:c r="AO451" s="1" t="s">
        <x:v>76</x:v>
      </x:c>
      <x:c r="AP451" s="8"/>
      <x:c r="AQ451" s="1" t="s">
        <x:v>5375</x:v>
      </x:c>
      <x:c r="AR451" s="8" t="str">
        <x:v>Проверка автором исследования</x:v>
      </x:c>
      <x:c r="AS451" s="1"/>
      <x:c r="AT451" s="8" t="s">
        <x:v>96</x:v>
      </x:c>
      <x:c r="AU451" s="1" t="s">
        <x:v>4914</x:v>
      </x:c>
      <x:c r="AV451" s="17"/>
      <x:c r="AW451" s="1" t="s">
        <x:v>4915</x:v>
      </x:c>
      <x:c r="AX451" s="8" t="s">
        <x:v>82</x:v>
      </x:c>
      <x:c r="AY451" s="8"/>
    </x:row>
    <x:row r="452" ht="69.94999694824219" customHeight="1">
      <x:c r="A452" s="1" t="s">
        <x:v>5376</x:v>
      </x:c>
      <x:c r="B452" s="8" t="s">
        <x:v>5377</x:v>
      </x:c>
      <x:c r="C452" s="1" t="s">
        <x:v>5378</x:v>
      </x:c>
      <x:c r="D452" s="8" t="s">
        <x:v>73</x:v>
      </x:c>
      <x:c r="E452" s="1" t="s">
        <x:v>76</x:v>
      </x:c>
      <x:c r="F452" s="8" t="s">
        <x:v>5379</x:v>
      </x:c>
      <x:c r="G452" s="1" t="s">
        <x:v>5380</x:v>
      </x:c>
      <x:c r="H452" s="8" t="s">
        <x:v>5381</x:v>
      </x:c>
      <x:c r="I452" s="4">
        <x:v>2020</x:v>
      </x:c>
      <x:c r="J452" s="8"/>
      <x:c r="K452" s="1" t="s">
        <x:v>5382</x:v>
      </x:c>
      <x:c r="L452" s="8" t="s">
        <x:v>5383</x:v>
      </x:c>
      <x:c r="M452" s="1" t="s">
        <x:v>61</x:v>
      </x:c>
      <x:c r="N452" s="8"/>
      <x:c r="O452" s="1"/>
      <x:c r="P452" s="8"/>
      <x:c r="Q452" s="1"/>
      <x:c r="R452" s="8"/>
      <x:c r="S452" s="3"/>
      <x:c r="T452" s="8" t="s">
        <x:v>4905</x:v>
      </x:c>
      <x:c r="U452" s="1" t="s">
        <x:v>5384</x:v>
      </x:c>
      <x:c r="V452" s="13">
        <x:v>29</x:v>
      </x:c>
      <x:c r="W452" s="1" t="s">
        <x:v>4933</x:v>
      </x:c>
      <x:c r="X452" s="8" t="s">
        <x:v>66</x:v>
      </x:c>
      <x:c r="Y452" s="1" t="str">
        <x:v>Проверено автором; дополнительно проверено Михаилом Саяпиным</x:v>
      </x:c>
      <x:c r="Z452" s="8"/>
      <x:c r="AA452" s="1" t="s">
        <x:v>5323</x:v>
      </x:c>
      <x:c r="AB452" s="13">
        <x:v>2023</x:v>
      </x:c>
      <x:c r="AC452" s="3"/>
      <x:c r="AD452" s="8" t="s">
        <x:v>93</x:v>
      </x:c>
      <x:c r="AE452" s="1"/>
      <x:c r="AF452" s="8" t="s">
        <x:v>118</x:v>
      </x:c>
      <x:c r="AG452" s="1" t="s">
        <x:v>5324</x:v>
      </x:c>
      <x:c r="AH452" s="8" t="s">
        <x:v>144</x:v>
      </x:c>
      <x:c r="AI452" s="1" t="s">
        <x:v>145</x:v>
      </x:c>
      <x:c r="AJ452" s="17">
        <x:v>46323</x:v>
      </x:c>
      <x:c r="AK452" s="1" t="s">
        <x:v>5325</x:v>
      </x:c>
      <x:c r="AL452" s="8" t="s">
        <x:v>5326</x:v>
      </x:c>
      <x:c r="AM452" s="1" t="s">
        <x:v>5385</x:v>
      </x:c>
      <x:c r="AN452" s="8" t="s">
        <x:v>95</x:v>
      </x:c>
      <x:c r="AO452" s="1" t="s">
        <x:v>76</x:v>
      </x:c>
      <x:c r="AP452" s="8"/>
      <x:c r="AQ452" s="1" t="s">
        <x:v>5386</x:v>
      </x:c>
      <x:c r="AR452" s="8" t="str">
        <x:v>Проверка автором исследования; дополнительная проверка Михаилом Саяпиным; согласование 28.10.2026</x:v>
      </x:c>
      <x:c r="AS452" s="1"/>
      <x:c r="AT452" s="8" t="s">
        <x:v>96</x:v>
      </x:c>
      <x:c r="AU452" s="1" t="s">
        <x:v>4914</x:v>
      </x:c>
      <x:c r="AV452" s="17"/>
      <x:c r="AW452" s="1" t="s">
        <x:v>4915</x:v>
      </x:c>
      <x:c r="AX452" s="8" t="s">
        <x:v>146</x:v>
      </x:c>
      <x:c r="AY452" s="8" t="s">
        <x:v>5387</x:v>
      </x:c>
    </x:row>
    <x:row r="453" ht="98.0999984741211" customHeight="1">
      <x:c r="A453" s="1" t="s">
        <x:v>5388</x:v>
      </x:c>
      <x:c r="B453" s="8" t="s">
        <x:v>5389</x:v>
      </x:c>
      <x:c r="C453" s="1" t="s">
        <x:v>5390</x:v>
      </x:c>
      <x:c r="D453" s="8" t="s">
        <x:v>73</x:v>
      </x:c>
      <x:c r="E453" s="1" t="s">
        <x:v>76</x:v>
      </x:c>
      <x:c r="F453" s="8" t="s">
        <x:v>5391</x:v>
      </x:c>
      <x:c r="G453" s="1" t="s">
        <x:v>5392</x:v>
      </x:c>
      <x:c r="H453" s="8" t="s">
        <x:v>5321</x:v>
      </x:c>
      <x:c r="I453" s="4">
        <x:v>2020</x:v>
      </x:c>
      <x:c r="J453" s="8"/>
      <x:c r="K453" s="1" t="s">
        <x:v>106</x:v>
      </x:c>
      <x:c r="L453" s="8" t="s">
        <x:v>200</x:v>
      </x:c>
      <x:c r="M453" s="1" t="s">
        <x:v>61</x:v>
      </x:c>
      <x:c r="N453" s="8"/>
      <x:c r="O453" s="1"/>
      <x:c r="P453" s="8"/>
      <x:c r="Q453" s="1"/>
      <x:c r="R453" s="8"/>
      <x:c r="S453" s="3"/>
      <x:c r="T453" s="8" t="s">
        <x:v>4905</x:v>
      </x:c>
      <x:c r="U453" s="1" t="s">
        <x:v>5384</x:v>
      </x:c>
      <x:c r="V453" s="13">
        <x:v>31</x:v>
      </x:c>
      <x:c r="W453" s="1" t="s">
        <x:v>5393</x:v>
      </x:c>
      <x:c r="X453" s="8" t="s">
        <x:v>66</x:v>
      </x:c>
      <x:c r="Y453" s="1" t="str">
        <x:v>Проверено автором исследования</x:v>
      </x:c>
      <x:c r="Z453" s="8"/>
      <x:c r="AA453" s="1" t="s">
        <x:v>5323</x:v>
      </x:c>
      <x:c r="AB453" s="13">
        <x:v>2023</x:v>
      </x:c>
      <x:c r="AC453" s="3"/>
      <x:c r="AD453" s="8" t="s">
        <x:v>93</x:v>
      </x:c>
      <x:c r="AE453" s="1"/>
      <x:c r="AF453" s="8" t="s">
        <x:v>118</x:v>
      </x:c>
      <x:c r="AG453" s="1" t="s">
        <x:v>5324</x:v>
      </x:c>
      <x:c r="AH453" s="8" t="str">
        <x:v>Краткая затекстовая ссылка; повторная документальная сверка выполнена</x:v>
      </x:c>
      <x:c r="AI453" s="1"/>
      <x:c r="AJ453" s="17"/>
      <x:c r="AK453" s="1" t="s">
        <x:v>5325</x:v>
      </x:c>
      <x:c r="AL453" s="8" t="s">
        <x:v>5326</x:v>
      </x:c>
      <x:c r="AM453" s="1" t="s">
        <x:v>5385</x:v>
      </x:c>
      <x:c r="AN453" s="8" t="s">
        <x:v>95</x:v>
      </x:c>
      <x:c r="AO453" s="1" t="s">
        <x:v>76</x:v>
      </x:c>
      <x:c r="AP453" s="8"/>
      <x:c r="AQ453" s="1" t="s">
        <x:v>5394</x:v>
      </x:c>
      <x:c r="AR453" s="8" t="str">
        <x:v>Проверка автором исследования</x:v>
      </x:c>
      <x:c r="AS453" s="1"/>
      <x:c r="AT453" s="8" t="s">
        <x:v>96</x:v>
      </x:c>
      <x:c r="AU453" s="1" t="s">
        <x:v>4914</x:v>
      </x:c>
      <x:c r="AV453" s="17"/>
      <x:c r="AW453" s="1" t="s">
        <x:v>4915</x:v>
      </x:c>
      <x:c r="AX453" s="8" t="s">
        <x:v>82</x:v>
      </x:c>
      <x:c r="AY453" s="8"/>
    </x:row>
    <x:row r="454" ht="111.94999694824219" customHeight="1">
      <x:c r="A454" s="1" t="s">
        <x:v>5395</x:v>
      </x:c>
      <x:c r="B454" s="8" t="s">
        <x:v>5396</x:v>
      </x:c>
      <x:c r="C454" s="1" t="s">
        <x:v>5397</x:v>
      </x:c>
      <x:c r="D454" s="8" t="s">
        <x:v>73</x:v>
      </x:c>
      <x:c r="E454" s="1" t="s">
        <x:v>76</x:v>
      </x:c>
      <x:c r="F454" s="8" t="s">
        <x:v>5391</x:v>
      </x:c>
      <x:c r="G454" s="1" t="s">
        <x:v>5398</x:v>
      </x:c>
      <x:c r="H454" s="8" t="s">
        <x:v>5321</x:v>
      </x:c>
      <x:c r="I454" s="4">
        <x:v>2021</x:v>
      </x:c>
      <x:c r="J454" s="8"/>
      <x:c r="K454" s="1" t="s">
        <x:v>416</x:v>
      </x:c>
      <x:c r="L454" s="8" t="s">
        <x:v>5399</x:v>
      </x:c>
      <x:c r="M454" s="1" t="s">
        <x:v>61</x:v>
      </x:c>
      <x:c r="N454" s="8"/>
      <x:c r="O454" s="1"/>
      <x:c r="P454" s="8"/>
      <x:c r="Q454" s="1"/>
      <x:c r="R454" s="8"/>
      <x:c r="S454" s="3"/>
      <x:c r="T454" s="8" t="s">
        <x:v>4905</x:v>
      </x:c>
      <x:c r="U454" s="1" t="s">
        <x:v>5384</x:v>
      </x:c>
      <x:c r="V454" s="13">
        <x:v>32</x:v>
      </x:c>
      <x:c r="W454" s="1" t="s">
        <x:v>5400</x:v>
      </x:c>
      <x:c r="X454" s="8" t="s">
        <x:v>66</x:v>
      </x:c>
      <x:c r="Y454" s="1" t="str">
        <x:v>Проверено автором; дополнительно проверено Михаилом Саяпиным</x:v>
      </x:c>
      <x:c r="Z454" s="8"/>
      <x:c r="AA454" s="1" t="s">
        <x:v>5323</x:v>
      </x:c>
      <x:c r="AB454" s="13">
        <x:v>2023</x:v>
      </x:c>
      <x:c r="AC454" s="3"/>
      <x:c r="AD454" s="8" t="s">
        <x:v>93</x:v>
      </x:c>
      <x:c r="AE454" s="1"/>
      <x:c r="AF454" s="8" t="s">
        <x:v>118</x:v>
      </x:c>
      <x:c r="AG454" s="1" t="s">
        <x:v>5324</x:v>
      </x:c>
      <x:c r="AH454" s="8" t="s">
        <x:v>144</x:v>
      </x:c>
      <x:c r="AI454" s="1" t="s">
        <x:v>145</x:v>
      </x:c>
      <x:c r="AJ454" s="17">
        <x:v>46323</x:v>
      </x:c>
      <x:c r="AK454" s="1" t="s">
        <x:v>5325</x:v>
      </x:c>
      <x:c r="AL454" s="8" t="s">
        <x:v>5326</x:v>
      </x:c>
      <x:c r="AM454" s="1" t="s">
        <x:v>5385</x:v>
      </x:c>
      <x:c r="AN454" s="8" t="s">
        <x:v>95</x:v>
      </x:c>
      <x:c r="AO454" s="1" t="s">
        <x:v>76</x:v>
      </x:c>
      <x:c r="AP454" s="8"/>
      <x:c r="AQ454" s="1" t="s">
        <x:v>5401</x:v>
      </x:c>
      <x:c r="AR454" s="8" t="str">
        <x:v>Проверка автором исследования; дополнительная проверка Михаилом Саяпиным; согласование 28.10.2026</x:v>
      </x:c>
      <x:c r="AS454" s="1"/>
      <x:c r="AT454" s="8" t="s">
        <x:v>96</x:v>
      </x:c>
      <x:c r="AU454" s="1" t="s">
        <x:v>4914</x:v>
      </x:c>
      <x:c r="AV454" s="17"/>
      <x:c r="AW454" s="1" t="s">
        <x:v>4915</x:v>
      </x:c>
      <x:c r="AX454" s="8" t="s">
        <x:v>146</x:v>
      </x:c>
      <x:c r="AY454" s="8" t="s">
        <x:v>5402</x:v>
      </x:c>
    </x:row>
    <x:row r="455" ht="69.94999694824219" customHeight="1">
      <x:c r="A455" s="1" t="s">
        <x:v>5403</x:v>
      </x:c>
      <x:c r="B455" s="8" t="s">
        <x:v>5404</x:v>
      </x:c>
      <x:c r="C455" s="1" t="s">
        <x:v>5405</x:v>
      </x:c>
      <x:c r="D455" s="8" t="s">
        <x:v>73</x:v>
      </x:c>
      <x:c r="E455" s="1" t="s">
        <x:v>76</x:v>
      </x:c>
      <x:c r="F455" s="8" t="s">
        <x:v>5391</x:v>
      </x:c>
      <x:c r="G455" s="1" t="s">
        <x:v>5406</x:v>
      </x:c>
      <x:c r="H455" s="8" t="s">
        <x:v>5407</x:v>
      </x:c>
      <x:c r="I455" s="4">
        <x:v>2020</x:v>
      </x:c>
      <x:c r="J455" s="8"/>
      <x:c r="K455" s="1" t="s">
        <x:v>5408</x:v>
      </x:c>
      <x:c r="L455" s="8" t="s">
        <x:v>5409</x:v>
      </x:c>
      <x:c r="M455" s="1" t="s">
        <x:v>61</x:v>
      </x:c>
      <x:c r="N455" s="8"/>
      <x:c r="O455" s="1"/>
      <x:c r="P455" s="8"/>
      <x:c r="Q455" s="1"/>
      <x:c r="R455" s="8"/>
      <x:c r="S455" s="3"/>
      <x:c r="T455" s="8" t="s">
        <x:v>4905</x:v>
      </x:c>
      <x:c r="U455" s="1" t="s">
        <x:v>5384</x:v>
      </x:c>
      <x:c r="V455" s="13">
        <x:v>33</x:v>
      </x:c>
      <x:c r="W455" s="1" t="s">
        <x:v>4907</x:v>
      </x:c>
      <x:c r="X455" s="8" t="s">
        <x:v>66</x:v>
      </x:c>
      <x:c r="Y455" s="1" t="str">
        <x:v>Проверено автором исследования</x:v>
      </x:c>
      <x:c r="Z455" s="8"/>
      <x:c r="AA455" s="1" t="s">
        <x:v>5323</x:v>
      </x:c>
      <x:c r="AB455" s="13">
        <x:v>2023</x:v>
      </x:c>
      <x:c r="AC455" s="3"/>
      <x:c r="AD455" s="8" t="s">
        <x:v>93</x:v>
      </x:c>
      <x:c r="AE455" s="1"/>
      <x:c r="AF455" s="8" t="s">
        <x:v>118</x:v>
      </x:c>
      <x:c r="AG455" s="1" t="s">
        <x:v>5324</x:v>
      </x:c>
      <x:c r="AH455" s="8" t="str">
        <x:v>Краткая затекстовая ссылка; повторная документальная сверка выполнена</x:v>
      </x:c>
      <x:c r="AI455" s="1"/>
      <x:c r="AJ455" s="17"/>
      <x:c r="AK455" s="1" t="s">
        <x:v>5325</x:v>
      </x:c>
      <x:c r="AL455" s="8" t="s">
        <x:v>5326</x:v>
      </x:c>
      <x:c r="AM455" s="1" t="s">
        <x:v>5385</x:v>
      </x:c>
      <x:c r="AN455" s="8" t="s">
        <x:v>95</x:v>
      </x:c>
      <x:c r="AO455" s="1" t="s">
        <x:v>76</x:v>
      </x:c>
      <x:c r="AP455" s="8"/>
      <x:c r="AQ455" s="1" t="s">
        <x:v>5410</x:v>
      </x:c>
      <x:c r="AR455" s="8" t="str">
        <x:v>Проверка автором исследования</x:v>
      </x:c>
      <x:c r="AS455" s="1"/>
      <x:c r="AT455" s="8" t="s">
        <x:v>96</x:v>
      </x:c>
      <x:c r="AU455" s="1" t="s">
        <x:v>4914</x:v>
      </x:c>
      <x:c r="AV455" s="17"/>
      <x:c r="AW455" s="1" t="s">
        <x:v>4915</x:v>
      </x:c>
      <x:c r="AX455" s="8" t="s">
        <x:v>82</x:v>
      </x:c>
      <x:c r="AY455" s="8"/>
    </x:row>
    <x:row r="456" ht="69.94999694824219" customHeight="1">
      <x:c r="A456" s="1" t="s">
        <x:v>5411</x:v>
      </x:c>
      <x:c r="B456" s="8" t="s">
        <x:v>5412</x:v>
      </x:c>
      <x:c r="C456" s="1" t="s">
        <x:v>5413</x:v>
      </x:c>
      <x:c r="D456" s="8" t="s">
        <x:v>73</x:v>
      </x:c>
      <x:c r="E456" s="1" t="s">
        <x:v>76</x:v>
      </x:c>
      <x:c r="F456" s="8" t="s">
        <x:v>5414</x:v>
      </x:c>
      <x:c r="G456" s="1" t="s">
        <x:v>5415</x:v>
      </x:c>
      <x:c r="H456" s="8" t="s">
        <x:v>5416</x:v>
      </x:c>
      <x:c r="I456" s="4">
        <x:v>2021</x:v>
      </x:c>
      <x:c r="J456" s="8"/>
      <x:c r="K456" s="1" t="s">
        <x:v>190</x:v>
      </x:c>
      <x:c r="L456" s="8" t="s">
        <x:v>5417</x:v>
      </x:c>
      <x:c r="M456" s="1" t="s">
        <x:v>61</x:v>
      </x:c>
      <x:c r="N456" s="8"/>
      <x:c r="O456" s="1"/>
      <x:c r="P456" s="8"/>
      <x:c r="Q456" s="1"/>
      <x:c r="R456" s="8"/>
      <x:c r="S456" s="3"/>
      <x:c r="T456" s="8" t="s">
        <x:v>4905</x:v>
      </x:c>
      <x:c r="U456" s="1" t="s">
        <x:v>5384</x:v>
      </x:c>
      <x:c r="V456" s="13">
        <x:v>34</x:v>
      </x:c>
      <x:c r="W456" s="1" t="s">
        <x:v>4907</x:v>
      </x:c>
      <x:c r="X456" s="8" t="s">
        <x:v>66</x:v>
      </x:c>
      <x:c r="Y456" s="1" t="str">
        <x:v>Проверено автором исследования</x:v>
      </x:c>
      <x:c r="Z456" s="8"/>
      <x:c r="AA456" s="1" t="s">
        <x:v>5323</x:v>
      </x:c>
      <x:c r="AB456" s="13">
        <x:v>2023</x:v>
      </x:c>
      <x:c r="AC456" s="3"/>
      <x:c r="AD456" s="8" t="s">
        <x:v>93</x:v>
      </x:c>
      <x:c r="AE456" s="1"/>
      <x:c r="AF456" s="8" t="s">
        <x:v>118</x:v>
      </x:c>
      <x:c r="AG456" s="1" t="s">
        <x:v>5324</x:v>
      </x:c>
      <x:c r="AH456" s="8" t="str">
        <x:v>Краткая затекстовая ссылка; повторная документальная сверка выполнена</x:v>
      </x:c>
      <x:c r="AI456" s="1"/>
      <x:c r="AJ456" s="17"/>
      <x:c r="AK456" s="1" t="s">
        <x:v>5325</x:v>
      </x:c>
      <x:c r="AL456" s="8" t="s">
        <x:v>5326</x:v>
      </x:c>
      <x:c r="AM456" s="1" t="s">
        <x:v>5418</x:v>
      </x:c>
      <x:c r="AN456" s="8" t="s">
        <x:v>95</x:v>
      </x:c>
      <x:c r="AO456" s="1" t="s">
        <x:v>76</x:v>
      </x:c>
      <x:c r="AP456" s="8"/>
      <x:c r="AQ456" s="1" t="s">
        <x:v>5419</x:v>
      </x:c>
      <x:c r="AR456" s="8" t="str">
        <x:v>Проверка автором исследования</x:v>
      </x:c>
      <x:c r="AS456" s="1"/>
      <x:c r="AT456" s="8" t="s">
        <x:v>96</x:v>
      </x:c>
      <x:c r="AU456" s="1" t="s">
        <x:v>4914</x:v>
      </x:c>
      <x:c r="AV456" s="17"/>
      <x:c r="AW456" s="1" t="s">
        <x:v>4915</x:v>
      </x:c>
      <x:c r="AX456" s="8" t="s">
        <x:v>82</x:v>
      </x:c>
      <x:c r="AY456" s="8"/>
    </x:row>
    <x:row r="457" ht="69.94999694824219" customHeight="1">
      <x:c r="A457" s="1" t="s">
        <x:v>5420</x:v>
      </x:c>
      <x:c r="B457" s="8" t="s">
        <x:v>5421</x:v>
      </x:c>
      <x:c r="C457" s="1" t="s">
        <x:v>5422</x:v>
      </x:c>
      <x:c r="D457" s="8" t="s">
        <x:v>73</x:v>
      </x:c>
      <x:c r="E457" s="1" t="s">
        <x:v>76</x:v>
      </x:c>
      <x:c r="F457" s="8" t="s">
        <x:v>5414</x:v>
      </x:c>
      <x:c r="G457" s="1" t="s">
        <x:v>5423</x:v>
      </x:c>
      <x:c r="H457" s="8" t="s">
        <x:v>5416</x:v>
      </x:c>
      <x:c r="I457" s="4">
        <x:v>2021</x:v>
      </x:c>
      <x:c r="J457" s="8"/>
      <x:c r="K457" s="1" t="s">
        <x:v>190</x:v>
      </x:c>
      <x:c r="L457" s="8" t="s">
        <x:v>5424</x:v>
      </x:c>
      <x:c r="M457" s="1" t="s">
        <x:v>61</x:v>
      </x:c>
      <x:c r="N457" s="8"/>
      <x:c r="O457" s="1"/>
      <x:c r="P457" s="8"/>
      <x:c r="Q457" s="1"/>
      <x:c r="R457" s="8"/>
      <x:c r="S457" s="3"/>
      <x:c r="T457" s="8" t="s">
        <x:v>4905</x:v>
      </x:c>
      <x:c r="U457" s="1" t="s">
        <x:v>5425</x:v>
      </x:c>
      <x:c r="V457" s="13">
        <x:v>35</x:v>
      </x:c>
      <x:c r="W457" s="1" t="s">
        <x:v>4907</x:v>
      </x:c>
      <x:c r="X457" s="8" t="s">
        <x:v>66</x:v>
      </x:c>
      <x:c r="Y457" s="1" t="str">
        <x:v>Проверено автором исследования</x:v>
      </x:c>
      <x:c r="Z457" s="8"/>
      <x:c r="AA457" s="1" t="s">
        <x:v>5323</x:v>
      </x:c>
      <x:c r="AB457" s="13">
        <x:v>2023</x:v>
      </x:c>
      <x:c r="AC457" s="3"/>
      <x:c r="AD457" s="8" t="s">
        <x:v>93</x:v>
      </x:c>
      <x:c r="AE457" s="1"/>
      <x:c r="AF457" s="8" t="s">
        <x:v>118</x:v>
      </x:c>
      <x:c r="AG457" s="1" t="s">
        <x:v>5324</x:v>
      </x:c>
      <x:c r="AH457" s="8" t="str">
        <x:v>Краткая затекстовая ссылка; повторная документальная сверка выполнена</x:v>
      </x:c>
      <x:c r="AI457" s="1"/>
      <x:c r="AJ457" s="17"/>
      <x:c r="AK457" s="1" t="s">
        <x:v>5325</x:v>
      </x:c>
      <x:c r="AL457" s="8" t="s">
        <x:v>5326</x:v>
      </x:c>
      <x:c r="AM457" s="1" t="s">
        <x:v>5426</x:v>
      </x:c>
      <x:c r="AN457" s="8" t="s">
        <x:v>95</x:v>
      </x:c>
      <x:c r="AO457" s="1" t="s">
        <x:v>76</x:v>
      </x:c>
      <x:c r="AP457" s="8"/>
      <x:c r="AQ457" s="1" t="s">
        <x:v>5427</x:v>
      </x:c>
      <x:c r="AR457" s="8" t="str">
        <x:v>Проверка автором исследования</x:v>
      </x:c>
      <x:c r="AS457" s="1"/>
      <x:c r="AT457" s="8" t="s">
        <x:v>96</x:v>
      </x:c>
      <x:c r="AU457" s="1" t="s">
        <x:v>4914</x:v>
      </x:c>
      <x:c r="AV457" s="17"/>
      <x:c r="AW457" s="1" t="s">
        <x:v>4915</x:v>
      </x:c>
      <x:c r="AX457" s="8" t="s">
        <x:v>82</x:v>
      </x:c>
      <x:c r="AY457" s="8"/>
    </x:row>
    <x:row r="458" ht="69.94999694824219" customHeight="1">
      <x:c r="A458" s="1" t="s">
        <x:v>5428</x:v>
      </x:c>
      <x:c r="B458" s="8" t="s">
        <x:v>5429</x:v>
      </x:c>
      <x:c r="C458" s="1" t="s">
        <x:v>5430</x:v>
      </x:c>
      <x:c r="D458" s="8" t="s">
        <x:v>73</x:v>
      </x:c>
      <x:c r="E458" s="1" t="s">
        <x:v>76</x:v>
      </x:c>
      <x:c r="F458" s="8" t="s">
        <x:v>5391</x:v>
      </x:c>
      <x:c r="G458" s="1" t="s">
        <x:v>5431</x:v>
      </x:c>
      <x:c r="H458" s="8" t="s">
        <x:v>5407</x:v>
      </x:c>
      <x:c r="I458" s="4">
        <x:v>2019</x:v>
      </x:c>
      <x:c r="J458" s="8"/>
      <x:c r="K458" s="1" t="s">
        <x:v>182</x:v>
      </x:c>
      <x:c r="L458" s="8" t="s">
        <x:v>5432</x:v>
      </x:c>
      <x:c r="M458" s="1" t="s">
        <x:v>61</x:v>
      </x:c>
      <x:c r="N458" s="8"/>
      <x:c r="O458" s="1"/>
      <x:c r="P458" s="8"/>
      <x:c r="Q458" s="1"/>
      <x:c r="R458" s="8"/>
      <x:c r="S458" s="3"/>
      <x:c r="T458" s="8" t="s">
        <x:v>4905</x:v>
      </x:c>
      <x:c r="U458" s="1" t="s">
        <x:v>5425</x:v>
      </x:c>
      <x:c r="V458" s="13">
        <x:v>37</x:v>
      </x:c>
      <x:c r="W458" s="1" t="s">
        <x:v>4907</x:v>
      </x:c>
      <x:c r="X458" s="8" t="s">
        <x:v>66</x:v>
      </x:c>
      <x:c r="Y458" s="1" t="str">
        <x:v>Проверено автором исследования</x:v>
      </x:c>
      <x:c r="Z458" s="8"/>
      <x:c r="AA458" s="1" t="s">
        <x:v>5323</x:v>
      </x:c>
      <x:c r="AB458" s="13">
        <x:v>2023</x:v>
      </x:c>
      <x:c r="AC458" s="3"/>
      <x:c r="AD458" s="8" t="s">
        <x:v>93</x:v>
      </x:c>
      <x:c r="AE458" s="1"/>
      <x:c r="AF458" s="8" t="s">
        <x:v>118</x:v>
      </x:c>
      <x:c r="AG458" s="1" t="s">
        <x:v>5324</x:v>
      </x:c>
      <x:c r="AH458" s="8" t="str">
        <x:v>Краткая затекстовая ссылка; повторная документальная сверка выполнена</x:v>
      </x:c>
      <x:c r="AI458" s="1"/>
      <x:c r="AJ458" s="17"/>
      <x:c r="AK458" s="1" t="s">
        <x:v>5325</x:v>
      </x:c>
      <x:c r="AL458" s="8" t="s">
        <x:v>5326</x:v>
      </x:c>
      <x:c r="AM458" s="1" t="s">
        <x:v>5426</x:v>
      </x:c>
      <x:c r="AN458" s="8" t="s">
        <x:v>95</x:v>
      </x:c>
      <x:c r="AO458" s="1" t="s">
        <x:v>76</x:v>
      </x:c>
      <x:c r="AP458" s="8"/>
      <x:c r="AQ458" s="1" t="s">
        <x:v>5433</x:v>
      </x:c>
      <x:c r="AR458" s="8" t="str">
        <x:v>Проверка автором исследования</x:v>
      </x:c>
      <x:c r="AS458" s="1"/>
      <x:c r="AT458" s="8" t="s">
        <x:v>96</x:v>
      </x:c>
      <x:c r="AU458" s="1" t="s">
        <x:v>4914</x:v>
      </x:c>
      <x:c r="AV458" s="17"/>
      <x:c r="AW458" s="1" t="s">
        <x:v>4915</x:v>
      </x:c>
      <x:c r="AX458" s="8" t="s">
        <x:v>82</x:v>
      </x:c>
      <x:c r="AY458" s="8"/>
    </x:row>
    <x:row r="459" ht="84" customHeight="1">
      <x:c r="A459" s="1" t="s">
        <x:v>5434</x:v>
      </x:c>
      <x:c r="B459" s="8" t="s">
        <x:v>5435</x:v>
      </x:c>
      <x:c r="C459" s="1" t="s">
        <x:v>5436</x:v>
      </x:c>
      <x:c r="D459" s="8" t="s">
        <x:v>3176</x:v>
      </x:c>
      <x:c r="E459" s="1" t="s">
        <x:v>76</x:v>
      </x:c>
      <x:c r="F459" s="8" t="s">
        <x:v>5391</x:v>
      </x:c>
      <x:c r="G459" s="1" t="s">
        <x:v>5437</x:v>
      </x:c>
      <x:c r="H459" s="8" t="s">
        <x:v>5438</x:v>
      </x:c>
      <x:c r="I459" s="4">
        <x:v>2019</x:v>
      </x:c>
      <x:c r="J459" s="8"/>
      <x:c r="K459" s="1"/>
      <x:c r="L459" s="8" t="s">
        <x:v>5439</x:v>
      </x:c>
      <x:c r="M459" s="1" t="s">
        <x:v>61</x:v>
      </x:c>
      <x:c r="N459" s="8" t="s">
        <x:v>5440</x:v>
      </x:c>
      <x:c r="O459" s="1"/>
      <x:c r="P459" s="8"/>
      <x:c r="Q459" s="1"/>
      <x:c r="R459" s="8"/>
      <x:c r="S459" s="3"/>
      <x:c r="T459" s="8" t="s">
        <x:v>4905</x:v>
      </x:c>
      <x:c r="U459" s="1" t="s">
        <x:v>5425</x:v>
      </x:c>
      <x:c r="V459" s="13">
        <x:v>38</x:v>
      </x:c>
      <x:c r="W459" s="1" t="s">
        <x:v>5441</x:v>
      </x:c>
      <x:c r="X459" s="8" t="s">
        <x:v>66</x:v>
      </x:c>
      <x:c r="Y459" s="1" t="str">
        <x:v>Проверено автором исследования</x:v>
      </x:c>
      <x:c r="Z459" s="8"/>
      <x:c r="AA459" s="1" t="s">
        <x:v>5323</x:v>
      </x:c>
      <x:c r="AB459" s="13">
        <x:v>2023</x:v>
      </x:c>
      <x:c r="AC459" s="3"/>
      <x:c r="AD459" s="8" t="s">
        <x:v>93</x:v>
      </x:c>
      <x:c r="AE459" s="1"/>
      <x:c r="AF459" s="8" t="s">
        <x:v>118</x:v>
      </x:c>
      <x:c r="AG459" s="1" t="s">
        <x:v>5324</x:v>
      </x:c>
      <x:c r="AH459" s="8" t="str">
        <x:v>Краткая затекстовая ссылка; повторная документальная сверка выполнена</x:v>
      </x:c>
      <x:c r="AI459" s="1"/>
      <x:c r="AJ459" s="17"/>
      <x:c r="AK459" s="1" t="s">
        <x:v>5325</x:v>
      </x:c>
      <x:c r="AL459" s="8" t="s">
        <x:v>5326</x:v>
      </x:c>
      <x:c r="AM459" s="1" t="s">
        <x:v>5426</x:v>
      </x:c>
      <x:c r="AN459" s="8" t="s">
        <x:v>95</x:v>
      </x:c>
      <x:c r="AO459" s="1" t="s">
        <x:v>76</x:v>
      </x:c>
      <x:c r="AP459" s="8"/>
      <x:c r="AQ459" s="1" t="s">
        <x:v>5442</x:v>
      </x:c>
      <x:c r="AR459" s="8" t="str">
        <x:v>Проверка автором исследования</x:v>
      </x:c>
      <x:c r="AS459" s="1"/>
      <x:c r="AT459" s="8" t="s">
        <x:v>96</x:v>
      </x:c>
      <x:c r="AU459" s="1" t="s">
        <x:v>4914</x:v>
      </x:c>
      <x:c r="AV459" s="17"/>
      <x:c r="AW459" s="1" t="s">
        <x:v>4915</x:v>
      </x:c>
      <x:c r="AX459" s="8" t="s">
        <x:v>82</x:v>
      </x:c>
      <x:c r="AY459" s="8"/>
    </x:row>
    <x:row r="460" ht="126" customHeight="1">
      <x:c r="A460" s="1" t="s">
        <x:v>5443</x:v>
      </x:c>
      <x:c r="B460" s="8" t="s">
        <x:v>5444</x:v>
      </x:c>
      <x:c r="C460" s="1" t="s">
        <x:v>5445</x:v>
      </x:c>
      <x:c r="D460" s="8" t="s">
        <x:v>73</x:v>
      </x:c>
      <x:c r="E460" s="1" t="s">
        <x:v>76</x:v>
      </x:c>
      <x:c r="F460" s="8" t="s">
        <x:v>5446</x:v>
      </x:c>
      <x:c r="G460" s="1" t="s">
        <x:v>5447</x:v>
      </x:c>
      <x:c r="H460" s="8" t="s">
        <x:v>1573</x:v>
      </x:c>
      <x:c r="I460" s="4">
        <x:v>2022</x:v>
      </x:c>
      <x:c r="J460" s="8"/>
      <x:c r="K460" s="1" t="s">
        <x:v>801</x:v>
      </x:c>
      <x:c r="L460" s="8" t="s">
        <x:v>5448</x:v>
      </x:c>
      <x:c r="M460" s="1" t="s">
        <x:v>61</x:v>
      </x:c>
      <x:c r="N460" s="8"/>
      <x:c r="O460" s="1"/>
      <x:c r="P460" s="8"/>
      <x:c r="Q460" s="1"/>
      <x:c r="R460" s="8"/>
      <x:c r="S460" s="3"/>
      <x:c r="T460" s="8" t="s">
        <x:v>4905</x:v>
      </x:c>
      <x:c r="U460" s="1" t="s">
        <x:v>5425</x:v>
      </x:c>
      <x:c r="V460" s="13">
        <x:v>39</x:v>
      </x:c>
      <x:c r="W460" s="1" t="s">
        <x:v>5449</x:v>
      </x:c>
      <x:c r="X460" s="8" t="s">
        <x:v>66</x:v>
      </x:c>
      <x:c r="Y460" s="1" t="str">
        <x:v>Проверено автором; дополнительно проверено Михаилом Саяпиным</x:v>
      </x:c>
      <x:c r="Z460" s="8"/>
      <x:c r="AA460" s="1" t="s">
        <x:v>5323</x:v>
      </x:c>
      <x:c r="AB460" s="13">
        <x:v>2023</x:v>
      </x:c>
      <x:c r="AC460" s="3"/>
      <x:c r="AD460" s="8" t="s">
        <x:v>93</x:v>
      </x:c>
      <x:c r="AE460" s="1"/>
      <x:c r="AF460" s="8" t="s">
        <x:v>118</x:v>
      </x:c>
      <x:c r="AG460" s="1" t="s">
        <x:v>5324</x:v>
      </x:c>
      <x:c r="AH460" s="8" t="s">
        <x:v>144</x:v>
      </x:c>
      <x:c r="AI460" s="1" t="s">
        <x:v>145</x:v>
      </x:c>
      <x:c r="AJ460" s="17">
        <x:v>46323</x:v>
      </x:c>
      <x:c r="AK460" s="1" t="s">
        <x:v>5325</x:v>
      </x:c>
      <x:c r="AL460" s="8" t="s">
        <x:v>5326</x:v>
      </x:c>
      <x:c r="AM460" s="1" t="s">
        <x:v>5426</x:v>
      </x:c>
      <x:c r="AN460" s="8" t="s">
        <x:v>95</x:v>
      </x:c>
      <x:c r="AO460" s="1" t="s">
        <x:v>76</x:v>
      </x:c>
      <x:c r="AP460" s="8"/>
      <x:c r="AQ460" s="1" t="s">
        <x:v>5450</x:v>
      </x:c>
      <x:c r="AR460" s="8" t="str">
        <x:v>Проверка автором исследования; дополнительная проверка Михаилом Саяпиным; согласование 28.10.2026</x:v>
      </x:c>
      <x:c r="AS460" s="1"/>
      <x:c r="AT460" s="8" t="s">
        <x:v>96</x:v>
      </x:c>
      <x:c r="AU460" s="1" t="s">
        <x:v>4914</x:v>
      </x:c>
      <x:c r="AV460" s="17"/>
      <x:c r="AW460" s="1" t="s">
        <x:v>4915</x:v>
      </x:c>
      <x:c r="AX460" s="8" t="s">
        <x:v>146</x:v>
      </x:c>
      <x:c r="AY460" s="8" t="s">
        <x:v>5451</x:v>
      </x:c>
    </x:row>
    <x:row r="461" ht="69.94999694824219" customHeight="1">
      <x:c r="A461" s="1" t="s">
        <x:v>5452</x:v>
      </x:c>
      <x:c r="B461" s="8" t="s">
        <x:v>5453</x:v>
      </x:c>
      <x:c r="C461" s="1" t="s">
        <x:v>5454</x:v>
      </x:c>
      <x:c r="D461" s="8" t="s">
        <x:v>73</x:v>
      </x:c>
      <x:c r="E461" s="1" t="s">
        <x:v>76</x:v>
      </x:c>
      <x:c r="F461" s="8" t="s">
        <x:v>5455</x:v>
      </x:c>
      <x:c r="G461" s="1" t="s">
        <x:v>5456</x:v>
      </x:c>
      <x:c r="H461" s="8" t="s">
        <x:v>5457</x:v>
      </x:c>
      <x:c r="I461" s="4">
        <x:v>2022</x:v>
      </x:c>
      <x:c r="J461" s="8"/>
      <x:c r="K461" s="1" t="s">
        <x:v>1346</x:v>
      </x:c>
      <x:c r="L461" s="8" t="s">
        <x:v>5458</x:v>
      </x:c>
      <x:c r="M461" s="1" t="s">
        <x:v>61</x:v>
      </x:c>
      <x:c r="N461" s="8"/>
      <x:c r="O461" s="1"/>
      <x:c r="P461" s="8"/>
      <x:c r="Q461" s="1"/>
      <x:c r="R461" s="8"/>
      <x:c r="S461" s="3"/>
      <x:c r="T461" s="8" t="s">
        <x:v>4905</x:v>
      </x:c>
      <x:c r="U461" s="1" t="s">
        <x:v>5425</x:v>
      </x:c>
      <x:c r="V461" s="13">
        <x:v>40</x:v>
      </x:c>
      <x:c r="W461" s="1" t="s">
        <x:v>4933</x:v>
      </x:c>
      <x:c r="X461" s="8" t="s">
        <x:v>66</x:v>
      </x:c>
      <x:c r="Y461" s="1" t="str">
        <x:v>Проверено автором; дополнительно проверено Михаилом Саяпиным</x:v>
      </x:c>
      <x:c r="Z461" s="8"/>
      <x:c r="AA461" s="1" t="s">
        <x:v>5323</x:v>
      </x:c>
      <x:c r="AB461" s="13">
        <x:v>2023</x:v>
      </x:c>
      <x:c r="AC461" s="3"/>
      <x:c r="AD461" s="8" t="s">
        <x:v>93</x:v>
      </x:c>
      <x:c r="AE461" s="1"/>
      <x:c r="AF461" s="8" t="s">
        <x:v>118</x:v>
      </x:c>
      <x:c r="AG461" s="1" t="s">
        <x:v>5324</x:v>
      </x:c>
      <x:c r="AH461" s="8" t="s">
        <x:v>144</x:v>
      </x:c>
      <x:c r="AI461" s="1" t="s">
        <x:v>145</x:v>
      </x:c>
      <x:c r="AJ461" s="17">
        <x:v>46323</x:v>
      </x:c>
      <x:c r="AK461" s="1" t="s">
        <x:v>5325</x:v>
      </x:c>
      <x:c r="AL461" s="8" t="s">
        <x:v>5326</x:v>
      </x:c>
      <x:c r="AM461" s="1" t="s">
        <x:v>5426</x:v>
      </x:c>
      <x:c r="AN461" s="8" t="s">
        <x:v>95</x:v>
      </x:c>
      <x:c r="AO461" s="1" t="s">
        <x:v>76</x:v>
      </x:c>
      <x:c r="AP461" s="8"/>
      <x:c r="AQ461" s="1" t="s">
        <x:v>5459</x:v>
      </x:c>
      <x:c r="AR461" s="8" t="str">
        <x:v>Проверка автором исследования; дополнительная проверка Михаилом Саяпиным; согласование 28.10.2026</x:v>
      </x:c>
      <x:c r="AS461" s="1"/>
      <x:c r="AT461" s="8" t="s">
        <x:v>96</x:v>
      </x:c>
      <x:c r="AU461" s="1" t="s">
        <x:v>4914</x:v>
      </x:c>
      <x:c r="AV461" s="17"/>
      <x:c r="AW461" s="1" t="s">
        <x:v>4915</x:v>
      </x:c>
      <x:c r="AX461" s="8" t="s">
        <x:v>146</x:v>
      </x:c>
      <x:c r="AY461" s="8" t="s">
        <x:v>5460</x:v>
      </x:c>
    </x:row>
    <x:row r="462" ht="69.94999694824219" customHeight="1">
      <x:c r="A462" s="1" t="s">
        <x:v>5461</x:v>
      </x:c>
      <x:c r="B462" s="8" t="s">
        <x:v>5462</x:v>
      </x:c>
      <x:c r="C462" s="1" t="s">
        <x:v>5463</x:v>
      </x:c>
      <x:c r="D462" s="8" t="s">
        <x:v>73</x:v>
      </x:c>
      <x:c r="E462" s="1" t="s">
        <x:v>76</x:v>
      </x:c>
      <x:c r="F462" s="8" t="s">
        <x:v>5464</x:v>
      </x:c>
      <x:c r="G462" s="1" t="s">
        <x:v>5465</x:v>
      </x:c>
      <x:c r="H462" s="8" t="s">
        <x:v>5457</x:v>
      </x:c>
      <x:c r="I462" s="4">
        <x:v>2022</x:v>
      </x:c>
      <x:c r="J462" s="8"/>
      <x:c r="K462" s="1" t="s">
        <x:v>190</x:v>
      </x:c>
      <x:c r="L462" s="8" t="s">
        <x:v>5466</x:v>
      </x:c>
      <x:c r="M462" s="1" t="s">
        <x:v>61</x:v>
      </x:c>
      <x:c r="N462" s="8"/>
      <x:c r="O462" s="1"/>
      <x:c r="P462" s="8"/>
      <x:c r="Q462" s="1"/>
      <x:c r="R462" s="8"/>
      <x:c r="S462" s="3"/>
      <x:c r="T462" s="8" t="s">
        <x:v>4905</x:v>
      </x:c>
      <x:c r="U462" s="1" t="s">
        <x:v>5467</x:v>
      </x:c>
      <x:c r="V462" s="13">
        <x:v>41</x:v>
      </x:c>
      <x:c r="W462" s="1" t="s">
        <x:v>4907</x:v>
      </x:c>
      <x:c r="X462" s="8" t="s">
        <x:v>66</x:v>
      </x:c>
      <x:c r="Y462" s="1" t="str">
        <x:v>Проверено автором исследования</x:v>
      </x:c>
      <x:c r="Z462" s="8"/>
      <x:c r="AA462" s="1" t="s">
        <x:v>5323</x:v>
      </x:c>
      <x:c r="AB462" s="13">
        <x:v>2023</x:v>
      </x:c>
      <x:c r="AC462" s="3"/>
      <x:c r="AD462" s="8" t="s">
        <x:v>93</x:v>
      </x:c>
      <x:c r="AE462" s="1"/>
      <x:c r="AF462" s="8" t="s">
        <x:v>118</x:v>
      </x:c>
      <x:c r="AG462" s="1" t="s">
        <x:v>5324</x:v>
      </x:c>
      <x:c r="AH462" s="8" t="str">
        <x:v>Краткая затекстовая ссылка; повторная документальная сверка выполнена</x:v>
      </x:c>
      <x:c r="AI462" s="1"/>
      <x:c r="AJ462" s="17"/>
      <x:c r="AK462" s="1" t="s">
        <x:v>5325</x:v>
      </x:c>
      <x:c r="AL462" s="8" t="s">
        <x:v>5326</x:v>
      </x:c>
      <x:c r="AM462" s="1" t="s">
        <x:v>5468</x:v>
      </x:c>
      <x:c r="AN462" s="8" t="s">
        <x:v>95</x:v>
      </x:c>
      <x:c r="AO462" s="1" t="s">
        <x:v>76</x:v>
      </x:c>
      <x:c r="AP462" s="8"/>
      <x:c r="AQ462" s="1" t="s">
        <x:v>5469</x:v>
      </x:c>
      <x:c r="AR462" s="8" t="str">
        <x:v>Проверка автором исследования</x:v>
      </x:c>
      <x:c r="AS462" s="1"/>
      <x:c r="AT462" s="8" t="s">
        <x:v>96</x:v>
      </x:c>
      <x:c r="AU462" s="1" t="s">
        <x:v>4914</x:v>
      </x:c>
      <x:c r="AV462" s="17"/>
      <x:c r="AW462" s="1" t="s">
        <x:v>4915</x:v>
      </x:c>
      <x:c r="AX462" s="8" t="s">
        <x:v>82</x:v>
      </x:c>
      <x:c r="AY462" s="8"/>
    </x:row>
    <x:row r="463" ht="69.94999694824219" customHeight="1">
      <x:c r="A463" s="1" t="s">
        <x:v>5470</x:v>
      </x:c>
      <x:c r="B463" s="8" t="s">
        <x:v>5471</x:v>
      </x:c>
      <x:c r="C463" s="1" t="s">
        <x:v>5472</x:v>
      </x:c>
      <x:c r="D463" s="8" t="s">
        <x:v>73</x:v>
      </x:c>
      <x:c r="E463" s="1" t="s">
        <x:v>76</x:v>
      </x:c>
      <x:c r="F463" s="8" t="s">
        <x:v>5473</x:v>
      </x:c>
      <x:c r="G463" s="1" t="s">
        <x:v>5474</x:v>
      </x:c>
      <x:c r="H463" s="8" t="s">
        <x:v>5475</x:v>
      </x:c>
      <x:c r="I463" s="4">
        <x:v>2019</x:v>
      </x:c>
      <x:c r="J463" s="8"/>
      <x:c r="K463" s="1" t="s">
        <x:v>5476</x:v>
      </x:c>
      <x:c r="L463" s="8" t="s">
        <x:v>5477</x:v>
      </x:c>
      <x:c r="M463" s="1" t="s">
        <x:v>61</x:v>
      </x:c>
      <x:c r="N463" s="8"/>
      <x:c r="O463" s="1"/>
      <x:c r="P463" s="8"/>
      <x:c r="Q463" s="1"/>
      <x:c r="R463" s="8"/>
      <x:c r="S463" s="3"/>
      <x:c r="T463" s="8" t="s">
        <x:v>4905</x:v>
      </x:c>
      <x:c r="U463" s="1" t="s">
        <x:v>5467</x:v>
      </x:c>
      <x:c r="V463" s="13">
        <x:v>42</x:v>
      </x:c>
      <x:c r="W463" s="1" t="s">
        <x:v>4907</x:v>
      </x:c>
      <x:c r="X463" s="8" t="s">
        <x:v>66</x:v>
      </x:c>
      <x:c r="Y463" s="1" t="str">
        <x:v>Проверено автором исследования</x:v>
      </x:c>
      <x:c r="Z463" s="8"/>
      <x:c r="AA463" s="1" t="s">
        <x:v>5323</x:v>
      </x:c>
      <x:c r="AB463" s="13">
        <x:v>2023</x:v>
      </x:c>
      <x:c r="AC463" s="3"/>
      <x:c r="AD463" s="8" t="s">
        <x:v>93</x:v>
      </x:c>
      <x:c r="AE463" s="1"/>
      <x:c r="AF463" s="8" t="s">
        <x:v>118</x:v>
      </x:c>
      <x:c r="AG463" s="1" t="s">
        <x:v>5324</x:v>
      </x:c>
      <x:c r="AH463" s="8" t="str">
        <x:v>Краткая затекстовая ссылка; повторная документальная сверка выполнена</x:v>
      </x:c>
      <x:c r="AI463" s="1"/>
      <x:c r="AJ463" s="17"/>
      <x:c r="AK463" s="1" t="s">
        <x:v>5325</x:v>
      </x:c>
      <x:c r="AL463" s="8" t="s">
        <x:v>5326</x:v>
      </x:c>
      <x:c r="AM463" s="1" t="s">
        <x:v>5468</x:v>
      </x:c>
      <x:c r="AN463" s="8" t="s">
        <x:v>95</x:v>
      </x:c>
      <x:c r="AO463" s="1" t="s">
        <x:v>76</x:v>
      </x:c>
      <x:c r="AP463" s="8"/>
      <x:c r="AQ463" s="1" t="s">
        <x:v>5478</x:v>
      </x:c>
      <x:c r="AR463" s="8" t="str">
        <x:v>Проверка автором исследования</x:v>
      </x:c>
      <x:c r="AS463" s="1"/>
      <x:c r="AT463" s="8" t="s">
        <x:v>96</x:v>
      </x:c>
      <x:c r="AU463" s="1" t="s">
        <x:v>4914</x:v>
      </x:c>
      <x:c r="AV463" s="17"/>
      <x:c r="AW463" s="1" t="s">
        <x:v>4915</x:v>
      </x:c>
      <x:c r="AX463" s="8" t="s">
        <x:v>82</x:v>
      </x:c>
      <x:c r="AY463" s="8"/>
    </x:row>
    <x:row r="464" ht="69.94999694824219" customHeight="1">
      <x:c r="A464" s="1" t="s">
        <x:v>5479</x:v>
      </x:c>
      <x:c r="B464" s="8" t="s">
        <x:v>5480</x:v>
      </x:c>
      <x:c r="C464" s="1" t="s">
        <x:v>5481</x:v>
      </x:c>
      <x:c r="D464" s="8" t="s">
        <x:v>3176</x:v>
      </x:c>
      <x:c r="E464" s="1" t="s">
        <x:v>76</x:v>
      </x:c>
      <x:c r="F464" s="8" t="s">
        <x:v>5482</x:v>
      </x:c>
      <x:c r="G464" s="1" t="s">
        <x:v>5483</x:v>
      </x:c>
      <x:c r="H464" s="8" t="s">
        <x:v>5484</x:v>
      </x:c>
      <x:c r="I464" s="4">
        <x:v>2020</x:v>
      </x:c>
      <x:c r="J464" s="8" t="s">
        <x:v>239</x:v>
      </x:c>
      <x:c r="K464" s="1"/>
      <x:c r="L464" s="8" t="s">
        <x:v>5485</x:v>
      </x:c>
      <x:c r="M464" s="1" t="s">
        <x:v>61</x:v>
      </x:c>
      <x:c r="N464" s="8"/>
      <x:c r="O464" s="1"/>
      <x:c r="P464" s="8"/>
      <x:c r="Q464" s="1"/>
      <x:c r="R464" s="8"/>
      <x:c r="S464" s="3"/>
      <x:c r="T464" s="8" t="s">
        <x:v>4905</x:v>
      </x:c>
      <x:c r="U464" s="1" t="s">
        <x:v>5467</x:v>
      </x:c>
      <x:c r="V464" s="13">
        <x:v>43</x:v>
      </x:c>
      <x:c r="W464" s="1" t="s">
        <x:v>5486</x:v>
      </x:c>
      <x:c r="X464" s="8" t="s">
        <x:v>66</x:v>
      </x:c>
      <x:c r="Y464" s="1" t="str">
        <x:v>Проверено автором; дополнительно проверено Михаилом Саяпиным</x:v>
      </x:c>
      <x:c r="Z464" s="8"/>
      <x:c r="AA464" s="1" t="s">
        <x:v>5323</x:v>
      </x:c>
      <x:c r="AB464" s="13">
        <x:v>2023</x:v>
      </x:c>
      <x:c r="AC464" s="3"/>
      <x:c r="AD464" s="8" t="s">
        <x:v>93</x:v>
      </x:c>
      <x:c r="AE464" s="1"/>
      <x:c r="AF464" s="8" t="s">
        <x:v>118</x:v>
      </x:c>
      <x:c r="AG464" s="1" t="s">
        <x:v>5324</x:v>
      </x:c>
      <x:c r="AH464" s="8" t="s">
        <x:v>144</x:v>
      </x:c>
      <x:c r="AI464" s="1" t="s">
        <x:v>145</x:v>
      </x:c>
      <x:c r="AJ464" s="17">
        <x:v>46323</x:v>
      </x:c>
      <x:c r="AK464" s="1" t="s">
        <x:v>5325</x:v>
      </x:c>
      <x:c r="AL464" s="8" t="s">
        <x:v>5326</x:v>
      </x:c>
      <x:c r="AM464" s="1" t="s">
        <x:v>5468</x:v>
      </x:c>
      <x:c r="AN464" s="8" t="s">
        <x:v>95</x:v>
      </x:c>
      <x:c r="AO464" s="1" t="s">
        <x:v>76</x:v>
      </x:c>
      <x:c r="AP464" s="8"/>
      <x:c r="AQ464" s="1" t="s">
        <x:v>5487</x:v>
      </x:c>
      <x:c r="AR464" s="8" t="str">
        <x:v>Проверка автором исследования; дополнительная проверка Михаилом Саяпиным; согласование 28.10.2026</x:v>
      </x:c>
      <x:c r="AS464" s="1"/>
      <x:c r="AT464" s="8" t="s">
        <x:v>96</x:v>
      </x:c>
      <x:c r="AU464" s="1" t="s">
        <x:v>4914</x:v>
      </x:c>
      <x:c r="AV464" s="17"/>
      <x:c r="AW464" s="1" t="s">
        <x:v>4915</x:v>
      </x:c>
      <x:c r="AX464" s="8" t="s">
        <x:v>146</x:v>
      </x:c>
      <x:c r="AY464" s="8" t="s">
        <x:v>5488</x:v>
      </x:c>
    </x:row>
    <x:row r="465" ht="69.94999694824219" customHeight="1">
      <x:c r="A465" s="1" t="s">
        <x:v>5489</x:v>
      </x:c>
      <x:c r="B465" s="8" t="s">
        <x:v>5490</x:v>
      </x:c>
      <x:c r="C465" s="1" t="s">
        <x:v>5491</x:v>
      </x:c>
      <x:c r="D465" s="8" t="s">
        <x:v>3176</x:v>
      </x:c>
      <x:c r="E465" s="1" t="s">
        <x:v>76</x:v>
      </x:c>
      <x:c r="F465" s="8" t="s">
        <x:v>5492</x:v>
      </x:c>
      <x:c r="G465" s="1" t="s">
        <x:v>5493</x:v>
      </x:c>
      <x:c r="H465" s="8" t="s">
        <x:v>5494</x:v>
      </x:c>
      <x:c r="I465" s="4">
        <x:v>2014</x:v>
      </x:c>
      <x:c r="J465" s="8"/>
      <x:c r="K465" s="1"/>
      <x:c r="L465" s="8" t="s">
        <x:v>5495</x:v>
      </x:c>
      <x:c r="M465" s="1" t="s">
        <x:v>61</x:v>
      </x:c>
      <x:c r="N465" s="8"/>
      <x:c r="O465" s="1"/>
      <x:c r="P465" s="8"/>
      <x:c r="Q465" s="1"/>
      <x:c r="R465" s="8"/>
      <x:c r="S465" s="3"/>
      <x:c r="T465" s="8" t="s">
        <x:v>4905</x:v>
      </x:c>
      <x:c r="U465" s="1" t="s">
        <x:v>5467</x:v>
      </x:c>
      <x:c r="V465" s="13">
        <x:v>44</x:v>
      </x:c>
      <x:c r="W465" s="1" t="s">
        <x:v>5496</x:v>
      </x:c>
      <x:c r="X465" s="8" t="s">
        <x:v>66</x:v>
      </x:c>
      <x:c r="Y465" s="1" t="str">
        <x:v>Проверено автором; дополнительно проверено Михаилом Саяпиным</x:v>
      </x:c>
      <x:c r="Z465" s="8"/>
      <x:c r="AA465" s="1" t="s">
        <x:v>5323</x:v>
      </x:c>
      <x:c r="AB465" s="13">
        <x:v>2023</x:v>
      </x:c>
      <x:c r="AC465" s="3"/>
      <x:c r="AD465" s="8" t="s">
        <x:v>93</x:v>
      </x:c>
      <x:c r="AE465" s="1"/>
      <x:c r="AF465" s="8" t="s">
        <x:v>118</x:v>
      </x:c>
      <x:c r="AG465" s="1" t="s">
        <x:v>5324</x:v>
      </x:c>
      <x:c r="AH465" s="8" t="s">
        <x:v>144</x:v>
      </x:c>
      <x:c r="AI465" s="1" t="s">
        <x:v>145</x:v>
      </x:c>
      <x:c r="AJ465" s="17">
        <x:v>46323</x:v>
      </x:c>
      <x:c r="AK465" s="1" t="s">
        <x:v>5325</x:v>
      </x:c>
      <x:c r="AL465" s="8" t="s">
        <x:v>5326</x:v>
      </x:c>
      <x:c r="AM465" s="1" t="s">
        <x:v>5468</x:v>
      </x:c>
      <x:c r="AN465" s="8" t="s">
        <x:v>95</x:v>
      </x:c>
      <x:c r="AO465" s="1" t="s">
        <x:v>76</x:v>
      </x:c>
      <x:c r="AP465" s="8"/>
      <x:c r="AQ465" s="1" t="s">
        <x:v>5497</x:v>
      </x:c>
      <x:c r="AR465" s="8" t="str">
        <x:v>Проверка автором исследования; дополнительная проверка Михаилом Саяпиным; согласование 28.10.2026</x:v>
      </x:c>
      <x:c r="AS465" s="1"/>
      <x:c r="AT465" s="8" t="s">
        <x:v>96</x:v>
      </x:c>
      <x:c r="AU465" s="1" t="s">
        <x:v>4914</x:v>
      </x:c>
      <x:c r="AV465" s="17"/>
      <x:c r="AW465" s="1" t="s">
        <x:v>4915</x:v>
      </x:c>
      <x:c r="AX465" s="8" t="s">
        <x:v>146</x:v>
      </x:c>
      <x:c r="AY465" s="8" t="s">
        <x:v>5498</x:v>
      </x:c>
    </x:row>
    <x:row r="466" ht="69.94999694824219" customHeight="1">
      <x:c r="A466" s="1" t="s">
        <x:v>5499</x:v>
      </x:c>
      <x:c r="B466" s="8" t="s">
        <x:v>5500</x:v>
      </x:c>
      <x:c r="C466" s="1" t="s">
        <x:v>5501</x:v>
      </x:c>
      <x:c r="D466" s="8" t="s">
        <x:v>73</x:v>
      </x:c>
      <x:c r="E466" s="1" t="s">
        <x:v>76</x:v>
      </x:c>
      <x:c r="F466" s="8" t="s">
        <x:v>5502</x:v>
      </x:c>
      <x:c r="G466" s="1" t="s">
        <x:v>5503</x:v>
      </x:c>
      <x:c r="H466" s="8" t="s">
        <x:v>5504</x:v>
      </x:c>
      <x:c r="I466" s="4">
        <x:v>2013</x:v>
      </x:c>
      <x:c r="J466" s="8"/>
      <x:c r="K466" s="1" t="s">
        <x:v>416</x:v>
      </x:c>
      <x:c r="L466" s="8" t="s">
        <x:v>5505</x:v>
      </x:c>
      <x:c r="M466" s="1" t="s">
        <x:v>61</x:v>
      </x:c>
      <x:c r="N466" s="8"/>
      <x:c r="O466" s="1"/>
      <x:c r="P466" s="8"/>
      <x:c r="Q466" s="1"/>
      <x:c r="R466" s="8"/>
      <x:c r="S466" s="3"/>
      <x:c r="T466" s="8" t="s">
        <x:v>4905</x:v>
      </x:c>
      <x:c r="U466" s="1" t="s">
        <x:v>5467</x:v>
      </x:c>
      <x:c r="V466" s="13">
        <x:v>45</x:v>
      </x:c>
      <x:c r="W466" s="1" t="s">
        <x:v>4907</x:v>
      </x:c>
      <x:c r="X466" s="8" t="s">
        <x:v>66</x:v>
      </x:c>
      <x:c r="Y466" s="1" t="str">
        <x:v>Проверено автором исследования</x:v>
      </x:c>
      <x:c r="Z466" s="8"/>
      <x:c r="AA466" s="1" t="s">
        <x:v>5323</x:v>
      </x:c>
      <x:c r="AB466" s="13">
        <x:v>2023</x:v>
      </x:c>
      <x:c r="AC466" s="3"/>
      <x:c r="AD466" s="8" t="s">
        <x:v>93</x:v>
      </x:c>
      <x:c r="AE466" s="1"/>
      <x:c r="AF466" s="8" t="s">
        <x:v>118</x:v>
      </x:c>
      <x:c r="AG466" s="1" t="s">
        <x:v>5324</x:v>
      </x:c>
      <x:c r="AH466" s="8" t="str">
        <x:v>Краткая затекстовая ссылка; повторная документальная сверка выполнена</x:v>
      </x:c>
      <x:c r="AI466" s="1"/>
      <x:c r="AJ466" s="17"/>
      <x:c r="AK466" s="1" t="s">
        <x:v>5325</x:v>
      </x:c>
      <x:c r="AL466" s="8" t="s">
        <x:v>5326</x:v>
      </x:c>
      <x:c r="AM466" s="1" t="s">
        <x:v>5468</x:v>
      </x:c>
      <x:c r="AN466" s="8" t="s">
        <x:v>95</x:v>
      </x:c>
      <x:c r="AO466" s="1" t="s">
        <x:v>76</x:v>
      </x:c>
      <x:c r="AP466" s="8"/>
      <x:c r="AQ466" s="1" t="s">
        <x:v>5506</x:v>
      </x:c>
      <x:c r="AR466" s="8" t="str">
        <x:v>Проверка автором исследования</x:v>
      </x:c>
      <x:c r="AS466" s="1"/>
      <x:c r="AT466" s="8" t="s">
        <x:v>96</x:v>
      </x:c>
      <x:c r="AU466" s="1" t="s">
        <x:v>4914</x:v>
      </x:c>
      <x:c r="AV466" s="17"/>
      <x:c r="AW466" s="1" t="s">
        <x:v>4915</x:v>
      </x:c>
      <x:c r="AX466" s="8" t="s">
        <x:v>82</x:v>
      </x:c>
      <x:c r="AY466" s="8"/>
    </x:row>
    <x:row r="467" ht="69.94999694824219" customHeight="1">
      <x:c r="A467" s="1" t="s">
        <x:v>5507</x:v>
      </x:c>
      <x:c r="B467" s="8" t="s">
        <x:v>5508</x:v>
      </x:c>
      <x:c r="C467" s="1" t="s">
        <x:v>5509</x:v>
      </x:c>
      <x:c r="D467" s="8" t="s">
        <x:v>73</x:v>
      </x:c>
      <x:c r="E467" s="1" t="s">
        <x:v>76</x:v>
      </x:c>
      <x:c r="F467" s="8" t="s">
        <x:v>5510</x:v>
      </x:c>
      <x:c r="G467" s="1" t="s">
        <x:v>5511</x:v>
      </x:c>
      <x:c r="H467" s="8" t="s">
        <x:v>5512</x:v>
      </x:c>
      <x:c r="I467" s="4">
        <x:v>2021</x:v>
      </x:c>
      <x:c r="J467" s="8"/>
      <x:c r="K467" s="1" t="s">
        <x:v>416</x:v>
      </x:c>
      <x:c r="L467" s="8" t="s">
        <x:v>5513</x:v>
      </x:c>
      <x:c r="M467" s="1" t="s">
        <x:v>61</x:v>
      </x:c>
      <x:c r="N467" s="8"/>
      <x:c r="O467" s="1"/>
      <x:c r="P467" s="8"/>
      <x:c r="Q467" s="1"/>
      <x:c r="R467" s="8"/>
      <x:c r="S467" s="3"/>
      <x:c r="T467" s="8" t="s">
        <x:v>4905</x:v>
      </x:c>
      <x:c r="U467" s="1" t="s">
        <x:v>5467</x:v>
      </x:c>
      <x:c r="V467" s="13">
        <x:v>47</x:v>
      </x:c>
      <x:c r="W467" s="1" t="s">
        <x:v>4907</x:v>
      </x:c>
      <x:c r="X467" s="8" t="s">
        <x:v>66</x:v>
      </x:c>
      <x:c r="Y467" s="1" t="str">
        <x:v>Проверено автором исследования</x:v>
      </x:c>
      <x:c r="Z467" s="8"/>
      <x:c r="AA467" s="1" t="s">
        <x:v>5323</x:v>
      </x:c>
      <x:c r="AB467" s="13">
        <x:v>2023</x:v>
      </x:c>
      <x:c r="AC467" s="3"/>
      <x:c r="AD467" s="8" t="s">
        <x:v>93</x:v>
      </x:c>
      <x:c r="AE467" s="1"/>
      <x:c r="AF467" s="8" t="s">
        <x:v>118</x:v>
      </x:c>
      <x:c r="AG467" s="1" t="s">
        <x:v>5324</x:v>
      </x:c>
      <x:c r="AH467" s="8" t="str">
        <x:v>Краткая затекстовая ссылка; повторная документальная сверка выполнена</x:v>
      </x:c>
      <x:c r="AI467" s="1"/>
      <x:c r="AJ467" s="17"/>
      <x:c r="AK467" s="1" t="s">
        <x:v>5325</x:v>
      </x:c>
      <x:c r="AL467" s="8" t="s">
        <x:v>5326</x:v>
      </x:c>
      <x:c r="AM467" s="1" t="s">
        <x:v>5468</x:v>
      </x:c>
      <x:c r="AN467" s="8" t="s">
        <x:v>95</x:v>
      </x:c>
      <x:c r="AO467" s="1" t="s">
        <x:v>76</x:v>
      </x:c>
      <x:c r="AP467" s="8"/>
      <x:c r="AQ467" s="1" t="s">
        <x:v>5514</x:v>
      </x:c>
      <x:c r="AR467" s="8" t="str">
        <x:v>Проверка автором исследования</x:v>
      </x:c>
      <x:c r="AS467" s="1"/>
      <x:c r="AT467" s="8" t="s">
        <x:v>96</x:v>
      </x:c>
      <x:c r="AU467" s="1" t="s">
        <x:v>4914</x:v>
      </x:c>
      <x:c r="AV467" s="17"/>
      <x:c r="AW467" s="1" t="s">
        <x:v>4915</x:v>
      </x:c>
      <x:c r="AX467" s="8" t="s">
        <x:v>82</x:v>
      </x:c>
      <x:c r="AY467" s="8"/>
    </x:row>
    <x:row r="468" ht="69.94999694824219" customHeight="1">
      <x:c r="A468" s="1" t="s">
        <x:v>5515</x:v>
      </x:c>
      <x:c r="B468" s="8" t="s">
        <x:v>5516</x:v>
      </x:c>
      <x:c r="C468" s="1" t="s">
        <x:v>5517</x:v>
      </x:c>
      <x:c r="D468" s="8" t="s">
        <x:v>73</x:v>
      </x:c>
      <x:c r="E468" s="1" t="s">
        <x:v>76</x:v>
      </x:c>
      <x:c r="F468" s="8" t="s">
        <x:v>5518</x:v>
      </x:c>
      <x:c r="G468" s="1" t="s">
        <x:v>5519</x:v>
      </x:c>
      <x:c r="H468" s="8" t="s">
        <x:v>5520</x:v>
      </x:c>
      <x:c r="I468" s="4">
        <x:v>2016</x:v>
      </x:c>
      <x:c r="J468" s="8" t="s">
        <x:v>239</x:v>
      </x:c>
      <x:c r="K468" s="1" t="s">
        <x:v>239</x:v>
      </x:c>
      <x:c r="L468" s="8" t="s">
        <x:v>5521</x:v>
      </x:c>
      <x:c r="M468" s="1" t="s">
        <x:v>61</x:v>
      </x:c>
      <x:c r="N468" s="8"/>
      <x:c r="O468" s="1"/>
      <x:c r="P468" s="8"/>
      <x:c r="Q468" s="1"/>
      <x:c r="R468" s="8"/>
      <x:c r="S468" s="3"/>
      <x:c r="T468" s="8" t="s">
        <x:v>4905</x:v>
      </x:c>
      <x:c r="U468" s="1" t="s">
        <x:v>5467</x:v>
      </x:c>
      <x:c r="V468" s="13">
        <x:v>48</x:v>
      </x:c>
      <x:c r="W468" s="1" t="s">
        <x:v>4907</x:v>
      </x:c>
      <x:c r="X468" s="8" t="s">
        <x:v>66</x:v>
      </x:c>
      <x:c r="Y468" s="1" t="str">
        <x:v>Проверено автором исследования</x:v>
      </x:c>
      <x:c r="Z468" s="8"/>
      <x:c r="AA468" s="1" t="s">
        <x:v>5323</x:v>
      </x:c>
      <x:c r="AB468" s="13">
        <x:v>2023</x:v>
      </x:c>
      <x:c r="AC468" s="3"/>
      <x:c r="AD468" s="8" t="s">
        <x:v>93</x:v>
      </x:c>
      <x:c r="AE468" s="1"/>
      <x:c r="AF468" s="8" t="s">
        <x:v>118</x:v>
      </x:c>
      <x:c r="AG468" s="1" t="s">
        <x:v>5324</x:v>
      </x:c>
      <x:c r="AH468" s="8" t="str">
        <x:v>Краткая затекстовая ссылка; повторная документальная сверка выполнена</x:v>
      </x:c>
      <x:c r="AI468" s="1"/>
      <x:c r="AJ468" s="17"/>
      <x:c r="AK468" s="1" t="s">
        <x:v>5325</x:v>
      </x:c>
      <x:c r="AL468" s="8" t="s">
        <x:v>5326</x:v>
      </x:c>
      <x:c r="AM468" s="1" t="s">
        <x:v>5468</x:v>
      </x:c>
      <x:c r="AN468" s="8" t="s">
        <x:v>95</x:v>
      </x:c>
      <x:c r="AO468" s="1" t="s">
        <x:v>76</x:v>
      </x:c>
      <x:c r="AP468" s="8"/>
      <x:c r="AQ468" s="1" t="s">
        <x:v>5522</x:v>
      </x:c>
      <x:c r="AR468" s="8" t="str">
        <x:v>Проверка автором исследования</x:v>
      </x:c>
      <x:c r="AS468" s="1"/>
      <x:c r="AT468" s="8" t="s">
        <x:v>96</x:v>
      </x:c>
      <x:c r="AU468" s="1" t="s">
        <x:v>4914</x:v>
      </x:c>
      <x:c r="AV468" s="17"/>
      <x:c r="AW468" s="1" t="s">
        <x:v>4915</x:v>
      </x:c>
      <x:c r="AX468" s="8" t="s">
        <x:v>82</x:v>
      </x:c>
      <x:c r="AY468" s="8"/>
    </x:row>
    <x:row r="469" ht="69.94999694824219" customHeight="1">
      <x:c r="A469" s="1" t="s">
        <x:v>5523</x:v>
      </x:c>
      <x:c r="B469" s="8" t="s">
        <x:v>5524</x:v>
      </x:c>
      <x:c r="C469" s="1" t="s">
        <x:v>5525</x:v>
      </x:c>
      <x:c r="D469" s="8" t="s">
        <x:v>73</x:v>
      </x:c>
      <x:c r="E469" s="1" t="s">
        <x:v>76</x:v>
      </x:c>
      <x:c r="F469" s="8" t="s">
        <x:v>5526</x:v>
      </x:c>
      <x:c r="G469" s="1" t="s">
        <x:v>5527</x:v>
      </x:c>
      <x:c r="H469" s="8" t="s">
        <x:v>5528</x:v>
      </x:c>
      <x:c r="I469" s="4">
        <x:v>2018</x:v>
      </x:c>
      <x:c r="J469" s="8"/>
      <x:c r="K469" s="1" t="s">
        <x:v>5529</x:v>
      </x:c>
      <x:c r="L469" s="8" t="s">
        <x:v>5132</x:v>
      </x:c>
      <x:c r="M469" s="1" t="s">
        <x:v>61</x:v>
      </x:c>
      <x:c r="N469" s="8"/>
      <x:c r="O469" s="1"/>
      <x:c r="P469" s="8"/>
      <x:c r="Q469" s="1"/>
      <x:c r="R469" s="8"/>
      <x:c r="S469" s="3"/>
      <x:c r="T469" s="8" t="s">
        <x:v>4905</x:v>
      </x:c>
      <x:c r="U469" s="1" t="s">
        <x:v>5530</x:v>
      </x:c>
      <x:c r="V469" s="13">
        <x:v>52</x:v>
      </x:c>
      <x:c r="W469" s="1" t="s">
        <x:v>4907</x:v>
      </x:c>
      <x:c r="X469" s="8" t="s">
        <x:v>66</x:v>
      </x:c>
      <x:c r="Y469" s="1" t="str">
        <x:v>Проверено автором исследования</x:v>
      </x:c>
      <x:c r="Z469" s="8"/>
      <x:c r="AA469" s="1" t="s">
        <x:v>5323</x:v>
      </x:c>
      <x:c r="AB469" s="13">
        <x:v>2023</x:v>
      </x:c>
      <x:c r="AC469" s="3"/>
      <x:c r="AD469" s="8" t="s">
        <x:v>93</x:v>
      </x:c>
      <x:c r="AE469" s="1"/>
      <x:c r="AF469" s="8" t="s">
        <x:v>118</x:v>
      </x:c>
      <x:c r="AG469" s="1" t="s">
        <x:v>5324</x:v>
      </x:c>
      <x:c r="AH469" s="8" t="str">
        <x:v>Краткая затекстовая ссылка; повторная документальная сверка выполнена</x:v>
      </x:c>
      <x:c r="AI469" s="1"/>
      <x:c r="AJ469" s="17"/>
      <x:c r="AK469" s="1" t="s">
        <x:v>5325</x:v>
      </x:c>
      <x:c r="AL469" s="8" t="s">
        <x:v>5326</x:v>
      </x:c>
      <x:c r="AM469" s="1" t="s">
        <x:v>5531</x:v>
      </x:c>
      <x:c r="AN469" s="8" t="s">
        <x:v>95</x:v>
      </x:c>
      <x:c r="AO469" s="1" t="s">
        <x:v>76</x:v>
      </x:c>
      <x:c r="AP469" s="8"/>
      <x:c r="AQ469" s="1" t="s">
        <x:v>5532</x:v>
      </x:c>
      <x:c r="AR469" s="8" t="str">
        <x:v>Проверка автором исследования</x:v>
      </x:c>
      <x:c r="AS469" s="1"/>
      <x:c r="AT469" s="8" t="s">
        <x:v>96</x:v>
      </x:c>
      <x:c r="AU469" s="1" t="s">
        <x:v>4914</x:v>
      </x:c>
      <x:c r="AV469" s="17"/>
      <x:c r="AW469" s="1" t="s">
        <x:v>4915</x:v>
      </x:c>
      <x:c r="AX469" s="8" t="s">
        <x:v>82</x:v>
      </x:c>
      <x:c r="AY469" s="8"/>
    </x:row>
    <x:row r="470" ht="84" customHeight="1">
      <x:c r="A470" s="1" t="s">
        <x:v>5533</x:v>
      </x:c>
      <x:c r="B470" s="8" t="s">
        <x:v>5534</x:v>
      </x:c>
      <x:c r="C470" s="1" t="s">
        <x:v>5535</x:v>
      </x:c>
      <x:c r="D470" s="8" t="s">
        <x:v>73</x:v>
      </x:c>
      <x:c r="E470" s="1" t="s">
        <x:v>76</x:v>
      </x:c>
      <x:c r="F470" s="8" t="s">
        <x:v>5536</x:v>
      </x:c>
      <x:c r="G470" s="1" t="s">
        <x:v>5537</x:v>
      </x:c>
      <x:c r="H470" s="8" t="s">
        <x:v>5538</x:v>
      </x:c>
      <x:c r="I470" s="4">
        <x:v>2019</x:v>
      </x:c>
      <x:c r="J470" s="8"/>
      <x:c r="K470" s="1" t="s">
        <x:v>5539</x:v>
      </x:c>
      <x:c r="L470" s="8" t="s">
        <x:v>5540</x:v>
      </x:c>
      <x:c r="M470" s="1" t="s">
        <x:v>61</x:v>
      </x:c>
      <x:c r="N470" s="8"/>
      <x:c r="O470" s="1"/>
      <x:c r="P470" s="8"/>
      <x:c r="Q470" s="1"/>
      <x:c r="R470" s="8"/>
      <x:c r="S470" s="3"/>
      <x:c r="T470" s="8" t="s">
        <x:v>4905</x:v>
      </x:c>
      <x:c r="U470" s="1" t="s">
        <x:v>5541</x:v>
      </x:c>
      <x:c r="V470" s="13">
        <x:v>59</x:v>
      </x:c>
      <x:c r="W470" s="1" t="s">
        <x:v>4907</x:v>
      </x:c>
      <x:c r="X470" s="8" t="s">
        <x:v>66</x:v>
      </x:c>
      <x:c r="Y470" s="1" t="str">
        <x:v>Проверено автором исследования</x:v>
      </x:c>
      <x:c r="Z470" s="8"/>
      <x:c r="AA470" s="1" t="s">
        <x:v>5323</x:v>
      </x:c>
      <x:c r="AB470" s="13">
        <x:v>2023</x:v>
      </x:c>
      <x:c r="AC470" s="3"/>
      <x:c r="AD470" s="8" t="s">
        <x:v>93</x:v>
      </x:c>
      <x:c r="AE470" s="1"/>
      <x:c r="AF470" s="8" t="s">
        <x:v>118</x:v>
      </x:c>
      <x:c r="AG470" s="1" t="s">
        <x:v>5324</x:v>
      </x:c>
      <x:c r="AH470" s="8" t="str">
        <x:v>Краткая затекстовая ссылка; повторная документальная сверка выполнена</x:v>
      </x:c>
      <x:c r="AI470" s="1"/>
      <x:c r="AJ470" s="17"/>
      <x:c r="AK470" s="1" t="s">
        <x:v>5325</x:v>
      </x:c>
      <x:c r="AL470" s="8" t="s">
        <x:v>5326</x:v>
      </x:c>
      <x:c r="AM470" s="1" t="s">
        <x:v>5542</x:v>
      </x:c>
      <x:c r="AN470" s="8" t="s">
        <x:v>95</x:v>
      </x:c>
      <x:c r="AO470" s="1" t="s">
        <x:v>76</x:v>
      </x:c>
      <x:c r="AP470" s="8"/>
      <x:c r="AQ470" s="1" t="s">
        <x:v>5543</x:v>
      </x:c>
      <x:c r="AR470" s="8" t="str">
        <x:v>Проверка автором исследования</x:v>
      </x:c>
      <x:c r="AS470" s="1"/>
      <x:c r="AT470" s="8" t="s">
        <x:v>96</x:v>
      </x:c>
      <x:c r="AU470" s="1" t="s">
        <x:v>4914</x:v>
      </x:c>
      <x:c r="AV470" s="17"/>
      <x:c r="AW470" s="1" t="s">
        <x:v>4915</x:v>
      </x:c>
      <x:c r="AX470" s="8" t="s">
        <x:v>82</x:v>
      </x:c>
      <x:c r="AY470" s="8"/>
    </x:row>
    <x:row r="471" ht="84" customHeight="1">
      <x:c r="A471" s="1" t="s">
        <x:v>5544</x:v>
      </x:c>
      <x:c r="B471" s="8" t="s">
        <x:v>5545</x:v>
      </x:c>
      <x:c r="C471" s="1" t="s">
        <x:v>5546</x:v>
      </x:c>
      <x:c r="D471" s="8" t="s">
        <x:v>73</x:v>
      </x:c>
      <x:c r="E471" s="1" t="s">
        <x:v>76</x:v>
      </x:c>
      <x:c r="F471" s="8" t="s">
        <x:v>5547</x:v>
      </x:c>
      <x:c r="G471" s="1" t="s">
        <x:v>5548</x:v>
      </x:c>
      <x:c r="H471" s="8" t="s">
        <x:v>5512</x:v>
      </x:c>
      <x:c r="I471" s="4">
        <x:v>2018</x:v>
      </x:c>
      <x:c r="J471" s="8"/>
      <x:c r="K471" s="1" t="s">
        <x:v>485</x:v>
      </x:c>
      <x:c r="L471" s="8" t="s">
        <x:v>5549</x:v>
      </x:c>
      <x:c r="M471" s="1" t="s">
        <x:v>61</x:v>
      </x:c>
      <x:c r="N471" s="8"/>
      <x:c r="O471" s="1"/>
      <x:c r="P471" s="8"/>
      <x:c r="Q471" s="1"/>
      <x:c r="R471" s="8"/>
      <x:c r="S471" s="3"/>
      <x:c r="T471" s="8" t="s">
        <x:v>4905</x:v>
      </x:c>
      <x:c r="U471" s="1" t="s">
        <x:v>5541</x:v>
      </x:c>
      <x:c r="V471" s="13">
        <x:v>60</x:v>
      </x:c>
      <x:c r="W471" s="1" t="s">
        <x:v>4907</x:v>
      </x:c>
      <x:c r="X471" s="8" t="s">
        <x:v>66</x:v>
      </x:c>
      <x:c r="Y471" s="1" t="str">
        <x:v>Проверено автором исследования</x:v>
      </x:c>
      <x:c r="Z471" s="8"/>
      <x:c r="AA471" s="1" t="s">
        <x:v>5323</x:v>
      </x:c>
      <x:c r="AB471" s="13">
        <x:v>2023</x:v>
      </x:c>
      <x:c r="AC471" s="3"/>
      <x:c r="AD471" s="8" t="s">
        <x:v>93</x:v>
      </x:c>
      <x:c r="AE471" s="1"/>
      <x:c r="AF471" s="8" t="s">
        <x:v>118</x:v>
      </x:c>
      <x:c r="AG471" s="1" t="s">
        <x:v>5324</x:v>
      </x:c>
      <x:c r="AH471" s="8" t="str">
        <x:v>Краткая затекстовая ссылка; повторная документальная сверка выполнена</x:v>
      </x:c>
      <x:c r="AI471" s="1"/>
      <x:c r="AJ471" s="17"/>
      <x:c r="AK471" s="1" t="s">
        <x:v>5325</x:v>
      </x:c>
      <x:c r="AL471" s="8" t="s">
        <x:v>5326</x:v>
      </x:c>
      <x:c r="AM471" s="1" t="s">
        <x:v>5542</x:v>
      </x:c>
      <x:c r="AN471" s="8" t="s">
        <x:v>95</x:v>
      </x:c>
      <x:c r="AO471" s="1" t="s">
        <x:v>76</x:v>
      </x:c>
      <x:c r="AP471" s="8"/>
      <x:c r="AQ471" s="1" t="s">
        <x:v>5550</x:v>
      </x:c>
      <x:c r="AR471" s="8" t="str">
        <x:v>Проверка автором исследования</x:v>
      </x:c>
      <x:c r="AS471" s="1"/>
      <x:c r="AT471" s="8" t="s">
        <x:v>96</x:v>
      </x:c>
      <x:c r="AU471" s="1" t="s">
        <x:v>4914</x:v>
      </x:c>
      <x:c r="AV471" s="17"/>
      <x:c r="AW471" s="1" t="s">
        <x:v>4915</x:v>
      </x:c>
      <x:c r="AX471" s="8" t="s">
        <x:v>82</x:v>
      </x:c>
      <x:c r="AY471" s="8"/>
    </x:row>
    <x:row r="472" ht="69.94999694824219" customHeight="1">
      <x:c r="A472" s="1" t="s">
        <x:v>5551</x:v>
      </x:c>
      <x:c r="B472" s="8" t="s">
        <x:v>5552</x:v>
      </x:c>
      <x:c r="C472" s="1" t="s">
        <x:v>5553</x:v>
      </x:c>
      <x:c r="D472" s="8" t="s">
        <x:v>86</x:v>
      </x:c>
      <x:c r="E472" s="1" t="s">
        <x:v>76</x:v>
      </x:c>
      <x:c r="F472" s="8" t="s">
        <x:v>5554</x:v>
      </x:c>
      <x:c r="G472" s="1" t="s">
        <x:v>5555</x:v>
      </x:c>
      <x:c r="H472" s="8"/>
      <x:c r="I472" s="4">
        <x:v>2015</x:v>
      </x:c>
      <x:c r="J472" s="8"/>
      <x:c r="K472" s="1"/>
      <x:c r="L472" s="8" t="s">
        <x:v>5556</x:v>
      </x:c>
      <x:c r="M472" s="1" t="s">
        <x:v>90</x:v>
      </x:c>
      <x:c r="N472" s="8" t="s">
        <x:v>5557</x:v>
      </x:c>
      <x:c r="O472" s="1" t="s">
        <x:v>4904</x:v>
      </x:c>
      <x:c r="P472" s="8"/>
      <x:c r="Q472" s="1"/>
      <x:c r="R472" s="8"/>
      <x:c r="S472" s="3"/>
      <x:c r="T472" s="8" t="s">
        <x:v>4905</x:v>
      </x:c>
      <x:c r="U472" s="1" t="s">
        <x:v>5541</x:v>
      </x:c>
      <x:c r="V472" s="13">
        <x:v>61</x:v>
      </x:c>
      <x:c r="W472" s="1" t="s">
        <x:v>4907</x:v>
      </x:c>
      <x:c r="X472" s="8" t="s">
        <x:v>66</x:v>
      </x:c>
      <x:c r="Y472" s="1" t="str">
        <x:v>Проверено автором исследования</x:v>
      </x:c>
      <x:c r="Z472" s="8"/>
      <x:c r="AA472" s="1" t="s">
        <x:v>5323</x:v>
      </x:c>
      <x:c r="AB472" s="13">
        <x:v>2023</x:v>
      </x:c>
      <x:c r="AC472" s="3"/>
      <x:c r="AD472" s="8" t="s">
        <x:v>93</x:v>
      </x:c>
      <x:c r="AE472" s="1"/>
      <x:c r="AF472" s="8" t="s">
        <x:v>118</x:v>
      </x:c>
      <x:c r="AG472" s="1" t="s">
        <x:v>5324</x:v>
      </x:c>
      <x:c r="AH472" s="8" t="str">
        <x:v>Краткая затекстовая ссылка; повторная документальная сверка выполнена</x:v>
      </x:c>
      <x:c r="AI472" s="1"/>
      <x:c r="AJ472" s="17"/>
      <x:c r="AK472" s="1" t="s">
        <x:v>5325</x:v>
      </x:c>
      <x:c r="AL472" s="8" t="s">
        <x:v>5326</x:v>
      </x:c>
      <x:c r="AM472" s="1" t="s">
        <x:v>5542</x:v>
      </x:c>
      <x:c r="AN472" s="8" t="s">
        <x:v>95</x:v>
      </x:c>
      <x:c r="AO472" s="1" t="s">
        <x:v>76</x:v>
      </x:c>
      <x:c r="AP472" s="8"/>
      <x:c r="AQ472" s="1" t="s">
        <x:v>5558</x:v>
      </x:c>
      <x:c r="AR472" s="8" t="str">
        <x:v>Проверка автором исследования</x:v>
      </x:c>
      <x:c r="AS472" s="1"/>
      <x:c r="AT472" s="8" t="s">
        <x:v>96</x:v>
      </x:c>
      <x:c r="AU472" s="1" t="s">
        <x:v>4914</x:v>
      </x:c>
      <x:c r="AV472" s="17"/>
      <x:c r="AW472" s="1" t="s">
        <x:v>4915</x:v>
      </x:c>
      <x:c r="AX472" s="8" t="s">
        <x:v>82</x:v>
      </x:c>
      <x:c r="AY472" s="8"/>
    </x:row>
    <x:row r="473" ht="84" customHeight="1">
      <x:c r="A473" s="1" t="s">
        <x:v>5559</x:v>
      </x:c>
      <x:c r="B473" s="8" t="s">
        <x:v>5560</x:v>
      </x:c>
      <x:c r="C473" s="1" t="s">
        <x:v>5561</x:v>
      </x:c>
      <x:c r="D473" s="8" t="s">
        <x:v>73</x:v>
      </x:c>
      <x:c r="E473" s="1" t="s">
        <x:v>76</x:v>
      </x:c>
      <x:c r="F473" s="8" t="s">
        <x:v>5562</x:v>
      </x:c>
      <x:c r="G473" s="1" t="s">
        <x:v>5563</x:v>
      </x:c>
      <x:c r="H473" s="8" t="s">
        <x:v>5321</x:v>
      </x:c>
      <x:c r="I473" s="4">
        <x:v>2015</x:v>
      </x:c>
      <x:c r="J473" s="8"/>
      <x:c r="K473" s="1" t="s">
        <x:v>59</x:v>
      </x:c>
      <x:c r="L473" s="8" t="s">
        <x:v>5564</x:v>
      </x:c>
      <x:c r="M473" s="1" t="s">
        <x:v>61</x:v>
      </x:c>
      <x:c r="N473" s="8"/>
      <x:c r="O473" s="1"/>
      <x:c r="P473" s="8"/>
      <x:c r="Q473" s="1"/>
      <x:c r="R473" s="8"/>
      <x:c r="S473" s="3"/>
      <x:c r="T473" s="8" t="s">
        <x:v>4905</x:v>
      </x:c>
      <x:c r="U473" s="1" t="s">
        <x:v>5541</x:v>
      </x:c>
      <x:c r="V473" s="13">
        <x:v>63</x:v>
      </x:c>
      <x:c r="W473" s="1" t="s">
        <x:v>4907</x:v>
      </x:c>
      <x:c r="X473" s="8" t="s">
        <x:v>66</x:v>
      </x:c>
      <x:c r="Y473" s="1" t="str">
        <x:v>Проверено автором исследования</x:v>
      </x:c>
      <x:c r="Z473" s="8"/>
      <x:c r="AA473" s="1" t="s">
        <x:v>5323</x:v>
      </x:c>
      <x:c r="AB473" s="13">
        <x:v>2023</x:v>
      </x:c>
      <x:c r="AC473" s="3"/>
      <x:c r="AD473" s="8" t="s">
        <x:v>93</x:v>
      </x:c>
      <x:c r="AE473" s="1"/>
      <x:c r="AF473" s="8" t="s">
        <x:v>118</x:v>
      </x:c>
      <x:c r="AG473" s="1" t="s">
        <x:v>5324</x:v>
      </x:c>
      <x:c r="AH473" s="8" t="str">
        <x:v>Краткая затекстовая ссылка; повторная документальная сверка выполнена</x:v>
      </x:c>
      <x:c r="AI473" s="1"/>
      <x:c r="AJ473" s="17"/>
      <x:c r="AK473" s="1" t="s">
        <x:v>5325</x:v>
      </x:c>
      <x:c r="AL473" s="8" t="s">
        <x:v>5326</x:v>
      </x:c>
      <x:c r="AM473" s="1" t="s">
        <x:v>5542</x:v>
      </x:c>
      <x:c r="AN473" s="8" t="s">
        <x:v>95</x:v>
      </x:c>
      <x:c r="AO473" s="1" t="s">
        <x:v>76</x:v>
      </x:c>
      <x:c r="AP473" s="8"/>
      <x:c r="AQ473" s="1" t="s">
        <x:v>5565</x:v>
      </x:c>
      <x:c r="AR473" s="8" t="str">
        <x:v>Проверка автором исследования</x:v>
      </x:c>
      <x:c r="AS473" s="1"/>
      <x:c r="AT473" s="8" t="s">
        <x:v>96</x:v>
      </x:c>
      <x:c r="AU473" s="1" t="s">
        <x:v>4914</x:v>
      </x:c>
      <x:c r="AV473" s="17"/>
      <x:c r="AW473" s="1" t="s">
        <x:v>4915</x:v>
      </x:c>
      <x:c r="AX473" s="8" t="s">
        <x:v>82</x:v>
      </x:c>
      <x:c r="AY473" s="8"/>
    </x:row>
    <x:row r="474" ht="69.94999694824219" customHeight="1">
      <x:c r="A474" s="1" t="s">
        <x:v>5566</x:v>
      </x:c>
      <x:c r="B474" s="8" t="s">
        <x:v>5567</x:v>
      </x:c>
      <x:c r="C474" s="1" t="s">
        <x:v>5568</x:v>
      </x:c>
      <x:c r="D474" s="8" t="s">
        <x:v>86</x:v>
      </x:c>
      <x:c r="E474" s="1" t="s">
        <x:v>76</x:v>
      </x:c>
      <x:c r="F474" s="8" t="s">
        <x:v>5569</x:v>
      </x:c>
      <x:c r="G474" s="1" t="s">
        <x:v>5570</x:v>
      </x:c>
      <x:c r="H474" s="8"/>
      <x:c r="I474" s="4">
        <x:v>2002</x:v>
      </x:c>
      <x:c r="J474" s="8"/>
      <x:c r="K474" s="1"/>
      <x:c r="L474" s="8" t="s">
        <x:v>1394</x:v>
      </x:c>
      <x:c r="M474" s="1" t="s">
        <x:v>90</x:v>
      </x:c>
      <x:c r="N474" s="8" t="s">
        <x:v>5571</x:v>
      </x:c>
      <x:c r="O474" s="1" t="s">
        <x:v>1122</x:v>
      </x:c>
      <x:c r="P474" s="8"/>
      <x:c r="Q474" s="1"/>
      <x:c r="R474" s="8"/>
      <x:c r="S474" s="3"/>
      <x:c r="T474" s="8" t="s">
        <x:v>4905</x:v>
      </x:c>
      <x:c r="U474" s="1" t="s">
        <x:v>5541</x:v>
      </x:c>
      <x:c r="V474" s="13">
        <x:v>64</x:v>
      </x:c>
      <x:c r="W474" s="1" t="s">
        <x:v>4907</x:v>
      </x:c>
      <x:c r="X474" s="8" t="s">
        <x:v>66</x:v>
      </x:c>
      <x:c r="Y474" s="1" t="str">
        <x:v>Проверено автором исследования</x:v>
      </x:c>
      <x:c r="Z474" s="8"/>
      <x:c r="AA474" s="1" t="s">
        <x:v>5323</x:v>
      </x:c>
      <x:c r="AB474" s="13">
        <x:v>2023</x:v>
      </x:c>
      <x:c r="AC474" s="3"/>
      <x:c r="AD474" s="8" t="s">
        <x:v>93</x:v>
      </x:c>
      <x:c r="AE474" s="1"/>
      <x:c r="AF474" s="8" t="s">
        <x:v>118</x:v>
      </x:c>
      <x:c r="AG474" s="1" t="s">
        <x:v>5324</x:v>
      </x:c>
      <x:c r="AH474" s="8" t="str">
        <x:v>Краткая затекстовая ссылка; повторная документальная сверка выполнена</x:v>
      </x:c>
      <x:c r="AI474" s="1"/>
      <x:c r="AJ474" s="17"/>
      <x:c r="AK474" s="1" t="s">
        <x:v>5325</x:v>
      </x:c>
      <x:c r="AL474" s="8" t="s">
        <x:v>5326</x:v>
      </x:c>
      <x:c r="AM474" s="1" t="s">
        <x:v>5542</x:v>
      </x:c>
      <x:c r="AN474" s="8" t="s">
        <x:v>95</x:v>
      </x:c>
      <x:c r="AO474" s="1" t="s">
        <x:v>76</x:v>
      </x:c>
      <x:c r="AP474" s="8"/>
      <x:c r="AQ474" s="1" t="s">
        <x:v>5572</x:v>
      </x:c>
      <x:c r="AR474" s="8" t="str">
        <x:v>Проверка автором исследования</x:v>
      </x:c>
      <x:c r="AS474" s="1"/>
      <x:c r="AT474" s="8" t="s">
        <x:v>96</x:v>
      </x:c>
      <x:c r="AU474" s="1" t="s">
        <x:v>4914</x:v>
      </x:c>
      <x:c r="AV474" s="17"/>
      <x:c r="AW474" s="1" t="s">
        <x:v>4915</x:v>
      </x:c>
      <x:c r="AX474" s="8" t="s">
        <x:v>82</x:v>
      </x:c>
      <x:c r="AY474" s="8"/>
    </x:row>
    <x:row r="475" ht="69.94999694824219" customHeight="1">
      <x:c r="A475" s="1" t="s">
        <x:v>5573</x:v>
      </x:c>
      <x:c r="B475" s="8" t="s">
        <x:v>5574</x:v>
      </x:c>
      <x:c r="C475" s="1" t="s">
        <x:v>5575</x:v>
      </x:c>
      <x:c r="D475" s="8" t="s">
        <x:v>73</x:v>
      </x:c>
      <x:c r="E475" s="1" t="s">
        <x:v>76</x:v>
      </x:c>
      <x:c r="F475" s="8" t="s">
        <x:v>5576</x:v>
      </x:c>
      <x:c r="G475" s="1" t="s">
        <x:v>5577</x:v>
      </x:c>
      <x:c r="H475" s="8" t="s">
        <x:v>5578</x:v>
      </x:c>
      <x:c r="I475" s="4">
        <x:v>2020</x:v>
      </x:c>
      <x:c r="J475" s="8"/>
      <x:c r="K475" s="1" t="s">
        <x:v>416</x:v>
      </x:c>
      <x:c r="L475" s="8" t="s">
        <x:v>5579</x:v>
      </x:c>
      <x:c r="M475" s="1" t="s">
        <x:v>61</x:v>
      </x:c>
      <x:c r="N475" s="8"/>
      <x:c r="O475" s="1"/>
      <x:c r="P475" s="8"/>
      <x:c r="Q475" s="1"/>
      <x:c r="R475" s="8"/>
      <x:c r="S475" s="3"/>
      <x:c r="T475" s="8" t="s">
        <x:v>4905</x:v>
      </x:c>
      <x:c r="U475" s="1" t="s">
        <x:v>5580</x:v>
      </x:c>
      <x:c r="V475" s="13">
        <x:v>76</x:v>
      </x:c>
      <x:c r="W475" s="1" t="s">
        <x:v>4907</x:v>
      </x:c>
      <x:c r="X475" s="8" t="s">
        <x:v>66</x:v>
      </x:c>
      <x:c r="Y475" s="1" t="str">
        <x:v>Проверено автором исследования</x:v>
      </x:c>
      <x:c r="Z475" s="8"/>
      <x:c r="AA475" s="1" t="s">
        <x:v>5323</x:v>
      </x:c>
      <x:c r="AB475" s="13">
        <x:v>2023</x:v>
      </x:c>
      <x:c r="AC475" s="3"/>
      <x:c r="AD475" s="8" t="s">
        <x:v>93</x:v>
      </x:c>
      <x:c r="AE475" s="1"/>
      <x:c r="AF475" s="8" t="s">
        <x:v>118</x:v>
      </x:c>
      <x:c r="AG475" s="1" t="s">
        <x:v>5324</x:v>
      </x:c>
      <x:c r="AH475" s="8" t="str">
        <x:v>Краткая затекстовая ссылка; повторная документальная сверка выполнена</x:v>
      </x:c>
      <x:c r="AI475" s="1"/>
      <x:c r="AJ475" s="17"/>
      <x:c r="AK475" s="1" t="s">
        <x:v>5325</x:v>
      </x:c>
      <x:c r="AL475" s="8" t="s">
        <x:v>5326</x:v>
      </x:c>
      <x:c r="AM475" s="1" t="s">
        <x:v>5581</x:v>
      </x:c>
      <x:c r="AN475" s="8" t="s">
        <x:v>95</x:v>
      </x:c>
      <x:c r="AO475" s="1" t="s">
        <x:v>76</x:v>
      </x:c>
      <x:c r="AP475" s="8"/>
      <x:c r="AQ475" s="1" t="s">
        <x:v>5582</x:v>
      </x:c>
      <x:c r="AR475" s="8" t="str">
        <x:v>Проверка автором исследования</x:v>
      </x:c>
      <x:c r="AS475" s="1"/>
      <x:c r="AT475" s="8" t="s">
        <x:v>96</x:v>
      </x:c>
      <x:c r="AU475" s="1" t="s">
        <x:v>4914</x:v>
      </x:c>
      <x:c r="AV475" s="17"/>
      <x:c r="AW475" s="1" t="s">
        <x:v>4915</x:v>
      </x:c>
      <x:c r="AX475" s="8" t="s">
        <x:v>82</x:v>
      </x:c>
      <x:c r="AY475" s="8"/>
    </x:row>
    <x:row r="476" ht="69.94999694824219" customHeight="1">
      <x:c r="A476" s="1" t="s">
        <x:v>5583</x:v>
      </x:c>
      <x:c r="B476" s="8" t="s">
        <x:v>5584</x:v>
      </x:c>
      <x:c r="C476" s="1" t="s">
        <x:v>5585</x:v>
      </x:c>
      <x:c r="D476" s="8" t="s">
        <x:v>73</x:v>
      </x:c>
      <x:c r="E476" s="1" t="s">
        <x:v>76</x:v>
      </x:c>
      <x:c r="F476" s="8" t="s">
        <x:v>5586</x:v>
      </x:c>
      <x:c r="G476" s="1" t="s">
        <x:v>5587</x:v>
      </x:c>
      <x:c r="H476" s="8" t="s">
        <x:v>5588</x:v>
      </x:c>
      <x:c r="I476" s="4">
        <x:v>2009</x:v>
      </x:c>
      <x:c r="J476" s="8"/>
      <x:c r="K476" s="1" t="s">
        <x:v>5589</x:v>
      </x:c>
      <x:c r="L476" s="8" t="s">
        <x:v>5590</x:v>
      </x:c>
      <x:c r="M476" s="1" t="s">
        <x:v>61</x:v>
      </x:c>
      <x:c r="N476" s="8"/>
      <x:c r="O476" s="1"/>
      <x:c r="P476" s="8"/>
      <x:c r="Q476" s="1"/>
      <x:c r="R476" s="8"/>
      <x:c r="S476" s="3"/>
      <x:c r="T476" s="8" t="s">
        <x:v>4905</x:v>
      </x:c>
      <x:c r="U476" s="1" t="s">
        <x:v>5580</x:v>
      </x:c>
      <x:c r="V476" s="13">
        <x:v>84</x:v>
      </x:c>
      <x:c r="W476" s="1" t="s">
        <x:v>5591</x:v>
      </x:c>
      <x:c r="X476" s="8" t="s">
        <x:v>66</x:v>
      </x:c>
      <x:c r="Y476" s="1" t="str">
        <x:v>Проверено автором; дополнительно проверено Михаилом Саяпиным</x:v>
      </x:c>
      <x:c r="Z476" s="8"/>
      <x:c r="AA476" s="1" t="s">
        <x:v>5323</x:v>
      </x:c>
      <x:c r="AB476" s="13">
        <x:v>2023</x:v>
      </x:c>
      <x:c r="AC476" s="3"/>
      <x:c r="AD476" s="8" t="s">
        <x:v>93</x:v>
      </x:c>
      <x:c r="AE476" s="1"/>
      <x:c r="AF476" s="8" t="s">
        <x:v>118</x:v>
      </x:c>
      <x:c r="AG476" s="1" t="s">
        <x:v>5324</x:v>
      </x:c>
      <x:c r="AH476" s="8" t="s">
        <x:v>144</x:v>
      </x:c>
      <x:c r="AI476" s="1" t="s">
        <x:v>145</x:v>
      </x:c>
      <x:c r="AJ476" s="17">
        <x:v>46323</x:v>
      </x:c>
      <x:c r="AK476" s="1" t="s">
        <x:v>5325</x:v>
      </x:c>
      <x:c r="AL476" s="8" t="s">
        <x:v>5326</x:v>
      </x:c>
      <x:c r="AM476" s="1" t="s">
        <x:v>5581</x:v>
      </x:c>
      <x:c r="AN476" s="8" t="s">
        <x:v>95</x:v>
      </x:c>
      <x:c r="AO476" s="1" t="s">
        <x:v>76</x:v>
      </x:c>
      <x:c r="AP476" s="8"/>
      <x:c r="AQ476" s="1" t="s">
        <x:v>5592</x:v>
      </x:c>
      <x:c r="AR476" s="8" t="str">
        <x:v>Проверка автором исследования; дополнительная проверка Михаилом Саяпиным; согласование 28.10.2026</x:v>
      </x:c>
      <x:c r="AS476" s="1"/>
      <x:c r="AT476" s="8" t="s">
        <x:v>96</x:v>
      </x:c>
      <x:c r="AU476" s="1" t="s">
        <x:v>4914</x:v>
      </x:c>
      <x:c r="AV476" s="17"/>
      <x:c r="AW476" s="1" t="s">
        <x:v>4915</x:v>
      </x:c>
      <x:c r="AX476" s="8" t="s">
        <x:v>146</x:v>
      </x:c>
      <x:c r="AY476" s="8" t="s">
        <x:v>5593</x:v>
      </x:c>
    </x:row>
    <x:row r="477" ht="69.94999694824219" customHeight="1">
      <x:c r="A477" s="1" t="s">
        <x:v>5594</x:v>
      </x:c>
      <x:c r="B477" s="8" t="s">
        <x:v>5595</x:v>
      </x:c>
      <x:c r="C477" s="1" t="s">
        <x:v>5596</x:v>
      </x:c>
      <x:c r="D477" s="8" t="s">
        <x:v>86</x:v>
      </x:c>
      <x:c r="E477" s="1" t="s">
        <x:v>76</x:v>
      </x:c>
      <x:c r="F477" s="8" t="s">
        <x:v>5597</x:v>
      </x:c>
      <x:c r="G477" s="1" t="s">
        <x:v>5598</x:v>
      </x:c>
      <x:c r="H477" s="8"/>
      <x:c r="I477" s="4">
        <x:v>2010</x:v>
      </x:c>
      <x:c r="J477" s="8"/>
      <x:c r="K477" s="1"/>
      <x:c r="L477" s="8" t="s">
        <x:v>1169</x:v>
      </x:c>
      <x:c r="M477" s="1" t="s">
        <x:v>90</x:v>
      </x:c>
      <x:c r="N477" s="8" t="s">
        <x:v>5599</x:v>
      </x:c>
      <x:c r="O477" s="1" t="s">
        <x:v>1122</x:v>
      </x:c>
      <x:c r="P477" s="8"/>
      <x:c r="Q477" s="1"/>
      <x:c r="R477" s="8"/>
      <x:c r="S477" s="3"/>
      <x:c r="T477" s="8" t="s">
        <x:v>4905</x:v>
      </x:c>
      <x:c r="U477" s="1" t="s">
        <x:v>5600</x:v>
      </x:c>
      <x:c r="V477" s="13">
        <x:v>107</x:v>
      </x:c>
      <x:c r="W477" s="1" t="s">
        <x:v>4907</x:v>
      </x:c>
      <x:c r="X477" s="8" t="s">
        <x:v>66</x:v>
      </x:c>
      <x:c r="Y477" s="1" t="str">
        <x:v>Проверено автором исследования</x:v>
      </x:c>
      <x:c r="Z477" s="8"/>
      <x:c r="AA477" s="1" t="s">
        <x:v>5323</x:v>
      </x:c>
      <x:c r="AB477" s="13">
        <x:v>2023</x:v>
      </x:c>
      <x:c r="AC477" s="3"/>
      <x:c r="AD477" s="8" t="s">
        <x:v>93</x:v>
      </x:c>
      <x:c r="AE477" s="1"/>
      <x:c r="AF477" s="8" t="s">
        <x:v>118</x:v>
      </x:c>
      <x:c r="AG477" s="1" t="s">
        <x:v>5324</x:v>
      </x:c>
      <x:c r="AH477" s="8" t="str">
        <x:v>Краткая затекстовая ссылка; повторная документальная сверка выполнена</x:v>
      </x:c>
      <x:c r="AI477" s="1"/>
      <x:c r="AJ477" s="17"/>
      <x:c r="AK477" s="1" t="s">
        <x:v>5325</x:v>
      </x:c>
      <x:c r="AL477" s="8" t="s">
        <x:v>5326</x:v>
      </x:c>
      <x:c r="AM477" s="1" t="s">
        <x:v>5601</x:v>
      </x:c>
      <x:c r="AN477" s="8" t="s">
        <x:v>95</x:v>
      </x:c>
      <x:c r="AO477" s="1" t="s">
        <x:v>76</x:v>
      </x:c>
      <x:c r="AP477" s="8"/>
      <x:c r="AQ477" s="1" t="s">
        <x:v>5602</x:v>
      </x:c>
      <x:c r="AR477" s="8" t="str">
        <x:v>Проверка автором исследования</x:v>
      </x:c>
      <x:c r="AS477" s="1"/>
      <x:c r="AT477" s="8" t="s">
        <x:v>96</x:v>
      </x:c>
      <x:c r="AU477" s="1" t="s">
        <x:v>4914</x:v>
      </x:c>
      <x:c r="AV477" s="17"/>
      <x:c r="AW477" s="1" t="s">
        <x:v>4915</x:v>
      </x:c>
      <x:c r="AX477" s="8" t="s">
        <x:v>82</x:v>
      </x:c>
      <x:c r="AY477" s="8"/>
    </x:row>
    <x:row r="478" ht="69.94999694824219" customHeight="1">
      <x:c r="A478" s="1" t="s">
        <x:v>5603</x:v>
      </x:c>
      <x:c r="B478" s="8" t="s">
        <x:v>5604</x:v>
      </x:c>
      <x:c r="C478" s="1" t="s">
        <x:v>5605</x:v>
      </x:c>
      <x:c r="D478" s="8" t="s">
        <x:v>73</x:v>
      </x:c>
      <x:c r="E478" s="1" t="s">
        <x:v>76</x:v>
      </x:c>
      <x:c r="F478" s="8" t="s">
        <x:v>5606</x:v>
      </x:c>
      <x:c r="G478" s="1" t="s">
        <x:v>5607</x:v>
      </x:c>
      <x:c r="H478" s="8" t="s">
        <x:v>5608</x:v>
      </x:c>
      <x:c r="I478" s="4">
        <x:v>2002</x:v>
      </x:c>
      <x:c r="J478" s="8"/>
      <x:c r="K478" s="1" t="s">
        <x:v>931</x:v>
      </x:c>
      <x:c r="L478" s="8" t="s">
        <x:v>5609</x:v>
      </x:c>
      <x:c r="M478" s="1" t="s">
        <x:v>61</x:v>
      </x:c>
      <x:c r="N478" s="8"/>
      <x:c r="O478" s="1"/>
      <x:c r="P478" s="8"/>
      <x:c r="Q478" s="1"/>
      <x:c r="R478" s="8"/>
      <x:c r="S478" s="3"/>
      <x:c r="T478" s="8" t="s">
        <x:v>4905</x:v>
      </x:c>
      <x:c r="U478" s="1" t="s">
        <x:v>5600</x:v>
      </x:c>
      <x:c r="V478" s="13">
        <x:v>108</x:v>
      </x:c>
      <x:c r="W478" s="1" t="s">
        <x:v>4907</x:v>
      </x:c>
      <x:c r="X478" s="8" t="s">
        <x:v>66</x:v>
      </x:c>
      <x:c r="Y478" s="1" t="str">
        <x:v>Проверено автором исследования</x:v>
      </x:c>
      <x:c r="Z478" s="8"/>
      <x:c r="AA478" s="1" t="s">
        <x:v>5323</x:v>
      </x:c>
      <x:c r="AB478" s="13">
        <x:v>2023</x:v>
      </x:c>
      <x:c r="AC478" s="3"/>
      <x:c r="AD478" s="8" t="s">
        <x:v>93</x:v>
      </x:c>
      <x:c r="AE478" s="1"/>
      <x:c r="AF478" s="8" t="s">
        <x:v>118</x:v>
      </x:c>
      <x:c r="AG478" s="1" t="s">
        <x:v>5324</x:v>
      </x:c>
      <x:c r="AH478" s="8" t="str">
        <x:v>Краткая затекстовая ссылка; повторная документальная сверка выполнена</x:v>
      </x:c>
      <x:c r="AI478" s="1"/>
      <x:c r="AJ478" s="17"/>
      <x:c r="AK478" s="1" t="s">
        <x:v>5325</x:v>
      </x:c>
      <x:c r="AL478" s="8" t="s">
        <x:v>5326</x:v>
      </x:c>
      <x:c r="AM478" s="1" t="s">
        <x:v>5601</x:v>
      </x:c>
      <x:c r="AN478" s="8" t="s">
        <x:v>95</x:v>
      </x:c>
      <x:c r="AO478" s="1" t="s">
        <x:v>76</x:v>
      </x:c>
      <x:c r="AP478" s="8"/>
      <x:c r="AQ478" s="1" t="s">
        <x:v>5610</x:v>
      </x:c>
      <x:c r="AR478" s="8" t="str">
        <x:v>Проверка автором исследования</x:v>
      </x:c>
      <x:c r="AS478" s="1"/>
      <x:c r="AT478" s="8" t="s">
        <x:v>96</x:v>
      </x:c>
      <x:c r="AU478" s="1" t="s">
        <x:v>4914</x:v>
      </x:c>
      <x:c r="AV478" s="17"/>
      <x:c r="AW478" s="1" t="s">
        <x:v>4915</x:v>
      </x:c>
      <x:c r="AX478" s="8" t="s">
        <x:v>82</x:v>
      </x:c>
      <x:c r="AY478" s="8"/>
    </x:row>
    <x:row r="479" ht="69.94999694824219" customHeight="1">
      <x:c r="A479" s="1" t="s">
        <x:v>5611</x:v>
      </x:c>
      <x:c r="B479" s="8" t="s">
        <x:v>5612</x:v>
      </x:c>
      <x:c r="C479" s="1" t="s">
        <x:v>5613</x:v>
      </x:c>
      <x:c r="D479" s="8" t="s">
        <x:v>86</x:v>
      </x:c>
      <x:c r="E479" s="1" t="s">
        <x:v>76</x:v>
      </x:c>
      <x:c r="F479" s="8" t="s">
        <x:v>5614</x:v>
      </x:c>
      <x:c r="G479" s="1" t="s">
        <x:v>5615</x:v>
      </x:c>
      <x:c r="H479" s="8"/>
      <x:c r="I479" s="4">
        <x:v>1974</x:v>
      </x:c>
      <x:c r="J479" s="8"/>
      <x:c r="K479" s="1"/>
      <x:c r="L479" s="8" t="s">
        <x:v>5616</x:v>
      </x:c>
      <x:c r="M479" s="1" t="s">
        <x:v>61</x:v>
      </x:c>
      <x:c r="N479" s="8" t="s">
        <x:v>4348</x:v>
      </x:c>
      <x:c r="O479" s="1" t="s">
        <x:v>1122</x:v>
      </x:c>
      <x:c r="P479" s="8"/>
      <x:c r="Q479" s="1"/>
      <x:c r="R479" s="8"/>
      <x:c r="S479" s="3"/>
      <x:c r="T479" s="8" t="s">
        <x:v>4905</x:v>
      </x:c>
      <x:c r="U479" s="1" t="s">
        <x:v>5600</x:v>
      </x:c>
      <x:c r="V479" s="13">
        <x:v>109</x:v>
      </x:c>
      <x:c r="W479" s="1" t="s">
        <x:v>4933</x:v>
      </x:c>
      <x:c r="X479" s="8" t="s">
        <x:v>66</x:v>
      </x:c>
      <x:c r="Y479" s="1" t="str">
        <x:v>Проверено автором; дополнительно проверено Михаилом Саяпиным</x:v>
      </x:c>
      <x:c r="Z479" s="8"/>
      <x:c r="AA479" s="1" t="s">
        <x:v>5323</x:v>
      </x:c>
      <x:c r="AB479" s="13">
        <x:v>2023</x:v>
      </x:c>
      <x:c r="AC479" s="3"/>
      <x:c r="AD479" s="8" t="s">
        <x:v>93</x:v>
      </x:c>
      <x:c r="AE479" s="1"/>
      <x:c r="AF479" s="8" t="s">
        <x:v>118</x:v>
      </x:c>
      <x:c r="AG479" s="1" t="s">
        <x:v>5324</x:v>
      </x:c>
      <x:c r="AH479" s="8" t="s">
        <x:v>144</x:v>
      </x:c>
      <x:c r="AI479" s="1" t="s">
        <x:v>145</x:v>
      </x:c>
      <x:c r="AJ479" s="17">
        <x:v>46323</x:v>
      </x:c>
      <x:c r="AK479" s="1" t="s">
        <x:v>5325</x:v>
      </x:c>
      <x:c r="AL479" s="8" t="s">
        <x:v>5326</x:v>
      </x:c>
      <x:c r="AM479" s="1" t="s">
        <x:v>5601</x:v>
      </x:c>
      <x:c r="AN479" s="8" t="s">
        <x:v>95</x:v>
      </x:c>
      <x:c r="AO479" s="1" t="s">
        <x:v>76</x:v>
      </x:c>
      <x:c r="AP479" s="8"/>
      <x:c r="AQ479" s="1" t="s">
        <x:v>5617</x:v>
      </x:c>
      <x:c r="AR479" s="8" t="str">
        <x:v>Проверка автором исследования; дополнительная проверка Михаилом Саяпиным; согласование 28.10.2026</x:v>
      </x:c>
      <x:c r="AS479" s="1"/>
      <x:c r="AT479" s="8" t="s">
        <x:v>96</x:v>
      </x:c>
      <x:c r="AU479" s="1" t="s">
        <x:v>4914</x:v>
      </x:c>
      <x:c r="AV479" s="17"/>
      <x:c r="AW479" s="1" t="s">
        <x:v>4915</x:v>
      </x:c>
      <x:c r="AX479" s="8" t="s">
        <x:v>146</x:v>
      </x:c>
      <x:c r="AY479" s="8" t="s">
        <x:v>5618</x:v>
      </x:c>
    </x:row>
    <x:row r="480" ht="69.94999694824219" customHeight="1">
      <x:c r="A480" s="1" t="s">
        <x:v>5619</x:v>
      </x:c>
      <x:c r="B480" s="8" t="s">
        <x:v>5620</x:v>
      </x:c>
      <x:c r="C480" s="1" t="s">
        <x:v>5621</x:v>
      </x:c>
      <x:c r="D480" s="8" t="s">
        <x:v>73</x:v>
      </x:c>
      <x:c r="E480" s="1" t="s">
        <x:v>76</x:v>
      </x:c>
      <x:c r="F480" s="8" t="s">
        <x:v>5622</x:v>
      </x:c>
      <x:c r="G480" s="1" t="s">
        <x:v>5623</x:v>
      </x:c>
      <x:c r="H480" s="8" t="s">
        <x:v>5321</x:v>
      </x:c>
      <x:c r="I480" s="4">
        <x:v>2014</x:v>
      </x:c>
      <x:c r="J480" s="8"/>
      <x:c r="K480" s="1" t="s">
        <x:v>1346</x:v>
      </x:c>
      <x:c r="L480" s="8" t="s">
        <x:v>5624</x:v>
      </x:c>
      <x:c r="M480" s="1" t="s">
        <x:v>61</x:v>
      </x:c>
      <x:c r="N480" s="8"/>
      <x:c r="O480" s="1"/>
      <x:c r="P480" s="8"/>
      <x:c r="Q480" s="1"/>
      <x:c r="R480" s="8"/>
      <x:c r="S480" s="3"/>
      <x:c r="T480" s="8" t="s">
        <x:v>4905</x:v>
      </x:c>
      <x:c r="U480" s="1" t="s">
        <x:v>5625</x:v>
      </x:c>
      <x:c r="V480" s="13">
        <x:v>114</x:v>
      </x:c>
      <x:c r="W480" s="1" t="s">
        <x:v>4933</x:v>
      </x:c>
      <x:c r="X480" s="8" t="s">
        <x:v>66</x:v>
      </x:c>
      <x:c r="Y480" s="1" t="str">
        <x:v>Проверено автором; дополнительно проверено Михаилом Саяпиным</x:v>
      </x:c>
      <x:c r="Z480" s="8"/>
      <x:c r="AA480" s="1" t="s">
        <x:v>5323</x:v>
      </x:c>
      <x:c r="AB480" s="13">
        <x:v>2023</x:v>
      </x:c>
      <x:c r="AC480" s="3"/>
      <x:c r="AD480" s="8" t="s">
        <x:v>93</x:v>
      </x:c>
      <x:c r="AE480" s="1"/>
      <x:c r="AF480" s="8" t="s">
        <x:v>118</x:v>
      </x:c>
      <x:c r="AG480" s="1" t="s">
        <x:v>5324</x:v>
      </x:c>
      <x:c r="AH480" s="8" t="s">
        <x:v>144</x:v>
      </x:c>
      <x:c r="AI480" s="1" t="s">
        <x:v>145</x:v>
      </x:c>
      <x:c r="AJ480" s="17">
        <x:v>46323</x:v>
      </x:c>
      <x:c r="AK480" s="1" t="s">
        <x:v>5325</x:v>
      </x:c>
      <x:c r="AL480" s="8" t="s">
        <x:v>5326</x:v>
      </x:c>
      <x:c r="AM480" s="1" t="s">
        <x:v>5626</x:v>
      </x:c>
      <x:c r="AN480" s="8" t="s">
        <x:v>95</x:v>
      </x:c>
      <x:c r="AO480" s="1" t="s">
        <x:v>76</x:v>
      </x:c>
      <x:c r="AP480" s="8"/>
      <x:c r="AQ480" s="1" t="s">
        <x:v>5627</x:v>
      </x:c>
      <x:c r="AR480" s="8" t="str">
        <x:v>Проверка автором исследования; дополнительная проверка Михаилом Саяпиным; согласование 28.10.2026</x:v>
      </x:c>
      <x:c r="AS480" s="1"/>
      <x:c r="AT480" s="8" t="s">
        <x:v>96</x:v>
      </x:c>
      <x:c r="AU480" s="1" t="s">
        <x:v>4914</x:v>
      </x:c>
      <x:c r="AV480" s="17"/>
      <x:c r="AW480" s="1" t="s">
        <x:v>4915</x:v>
      </x:c>
      <x:c r="AX480" s="8" t="s">
        <x:v>146</x:v>
      </x:c>
      <x:c r="AY480" s="8" t="s">
        <x:v>5628</x:v>
      </x:c>
    </x:row>
    <x:row r="481" ht="69.94999694824219" customHeight="1">
      <x:c r="A481" s="1" t="s">
        <x:v>5629</x:v>
      </x:c>
      <x:c r="B481" s="8" t="s">
        <x:v>5630</x:v>
      </x:c>
      <x:c r="C481" s="1" t="s">
        <x:v>5631</x:v>
      </x:c>
      <x:c r="D481" s="8" t="s">
        <x:v>86</x:v>
      </x:c>
      <x:c r="E481" s="1" t="s">
        <x:v>76</x:v>
      </x:c>
      <x:c r="F481" s="8" t="s">
        <x:v>5632</x:v>
      </x:c>
      <x:c r="G481" s="1" t="s">
        <x:v>5633</x:v>
      </x:c>
      <x:c r="H481" s="8"/>
      <x:c r="I481" s="4">
        <x:v>1984</x:v>
      </x:c>
      <x:c r="J481" s="8"/>
      <x:c r="K481" s="1"/>
      <x:c r="L481" s="8"/>
      <x:c r="M481" s="1"/>
      <x:c r="N481" s="8" t="s">
        <x:v>5634</x:v>
      </x:c>
      <x:c r="O481" s="1" t="s">
        <x:v>5635</x:v>
      </x:c>
      <x:c r="P481" s="8"/>
      <x:c r="Q481" s="1"/>
      <x:c r="R481" s="8"/>
      <x:c r="S481" s="3"/>
      <x:c r="T481" s="8" t="s">
        <x:v>4905</x:v>
      </x:c>
      <x:c r="U481" s="1" t="s">
        <x:v>5625</x:v>
      </x:c>
      <x:c r="V481" s="13">
        <x:v>115</x:v>
      </x:c>
      <x:c r="W481" s="1" t="s">
        <x:v>5636</x:v>
      </x:c>
      <x:c r="X481" s="8" t="s">
        <x:v>66</x:v>
      </x:c>
      <x:c r="Y481" s="1" t="str">
        <x:v>Проверено автором; дополнительно проверено Михаилом Саяпиным</x:v>
      </x:c>
      <x:c r="Z481" s="8"/>
      <x:c r="AA481" s="1" t="s">
        <x:v>5323</x:v>
      </x:c>
      <x:c r="AB481" s="13">
        <x:v>2023</x:v>
      </x:c>
      <x:c r="AC481" s="3"/>
      <x:c r="AD481" s="8" t="s">
        <x:v>93</x:v>
      </x:c>
      <x:c r="AE481" s="1"/>
      <x:c r="AF481" s="8" t="s">
        <x:v>118</x:v>
      </x:c>
      <x:c r="AG481" s="1" t="s">
        <x:v>5324</x:v>
      </x:c>
      <x:c r="AH481" s="8" t="s">
        <x:v>144</x:v>
      </x:c>
      <x:c r="AI481" s="1" t="s">
        <x:v>145</x:v>
      </x:c>
      <x:c r="AJ481" s="17">
        <x:v>46323</x:v>
      </x:c>
      <x:c r="AK481" s="1" t="s">
        <x:v>5325</x:v>
      </x:c>
      <x:c r="AL481" s="8" t="s">
        <x:v>5326</x:v>
      </x:c>
      <x:c r="AM481" s="1" t="s">
        <x:v>5626</x:v>
      </x:c>
      <x:c r="AN481" s="8" t="s">
        <x:v>95</x:v>
      </x:c>
      <x:c r="AO481" s="1" t="s">
        <x:v>76</x:v>
      </x:c>
      <x:c r="AP481" s="8"/>
      <x:c r="AQ481" s="1" t="s">
        <x:v>5637</x:v>
      </x:c>
      <x:c r="AR481" s="8" t="str">
        <x:v>Проверка автором исследования; дополнительная проверка Михаилом Саяпиным; согласование 28.10.2026</x:v>
      </x:c>
      <x:c r="AS481" s="1"/>
      <x:c r="AT481" s="8" t="s">
        <x:v>96</x:v>
      </x:c>
      <x:c r="AU481" s="1" t="s">
        <x:v>4914</x:v>
      </x:c>
      <x:c r="AV481" s="17"/>
      <x:c r="AW481" s="1" t="s">
        <x:v>4915</x:v>
      </x:c>
      <x:c r="AX481" s="8" t="s">
        <x:v>146</x:v>
      </x:c>
      <x:c r="AY481" s="8" t="s">
        <x:v>5638</x:v>
      </x:c>
    </x:row>
    <x:row r="482" ht="69.94999694824219" customHeight="1">
      <x:c r="A482" s="1" t="s">
        <x:v>5639</x:v>
      </x:c>
      <x:c r="B482" s="8" t="s">
        <x:v>5640</x:v>
      </x:c>
      <x:c r="C482" s="1" t="s">
        <x:v>5641</x:v>
      </x:c>
      <x:c r="D482" s="8" t="s">
        <x:v>73</x:v>
      </x:c>
      <x:c r="E482" s="1" t="s">
        <x:v>76</x:v>
      </x:c>
      <x:c r="F482" s="8" t="s">
        <x:v>5642</x:v>
      </x:c>
      <x:c r="G482" s="1" t="s">
        <x:v>5643</x:v>
      </x:c>
      <x:c r="H482" s="8" t="s">
        <x:v>5644</x:v>
      </x:c>
      <x:c r="I482" s="4">
        <x:v>2014</x:v>
      </x:c>
      <x:c r="J482" s="8" t="s">
        <x:v>5645</x:v>
      </x:c>
      <x:c r="K482" s="1"/>
      <x:c r="L482" s="8" t="s">
        <x:v>287</x:v>
      </x:c>
      <x:c r="M482" s="1" t="s">
        <x:v>61</x:v>
      </x:c>
      <x:c r="N482" s="8"/>
      <x:c r="O482" s="1"/>
      <x:c r="P482" s="8"/>
      <x:c r="Q482" s="1"/>
      <x:c r="R482" s="8"/>
      <x:c r="S482" s="3"/>
      <x:c r="T482" s="8" t="s">
        <x:v>4905</x:v>
      </x:c>
      <x:c r="U482" s="1" t="s">
        <x:v>5625</x:v>
      </x:c>
      <x:c r="V482" s="13">
        <x:v>117</x:v>
      </x:c>
      <x:c r="W482" s="1" t="s">
        <x:v>4907</x:v>
      </x:c>
      <x:c r="X482" s="8" t="s">
        <x:v>66</x:v>
      </x:c>
      <x:c r="Y482" s="1" t="str">
        <x:v>Проверено автором исследования</x:v>
      </x:c>
      <x:c r="Z482" s="8"/>
      <x:c r="AA482" s="1" t="s">
        <x:v>5323</x:v>
      </x:c>
      <x:c r="AB482" s="13">
        <x:v>2023</x:v>
      </x:c>
      <x:c r="AC482" s="3"/>
      <x:c r="AD482" s="8" t="s">
        <x:v>93</x:v>
      </x:c>
      <x:c r="AE482" s="1"/>
      <x:c r="AF482" s="8" t="s">
        <x:v>118</x:v>
      </x:c>
      <x:c r="AG482" s="1" t="s">
        <x:v>5324</x:v>
      </x:c>
      <x:c r="AH482" s="8" t="str">
        <x:v>Краткая затекстовая ссылка; повторная документальная сверка выполнена</x:v>
      </x:c>
      <x:c r="AI482" s="1"/>
      <x:c r="AJ482" s="17"/>
      <x:c r="AK482" s="1" t="s">
        <x:v>5325</x:v>
      </x:c>
      <x:c r="AL482" s="8" t="s">
        <x:v>5326</x:v>
      </x:c>
      <x:c r="AM482" s="1" t="s">
        <x:v>5626</x:v>
      </x:c>
      <x:c r="AN482" s="8" t="s">
        <x:v>95</x:v>
      </x:c>
      <x:c r="AO482" s="1" t="s">
        <x:v>76</x:v>
      </x:c>
      <x:c r="AP482" s="8"/>
      <x:c r="AQ482" s="1" t="s">
        <x:v>5646</x:v>
      </x:c>
      <x:c r="AR482" s="8" t="str">
        <x:v>Проверка автором исследования</x:v>
      </x:c>
      <x:c r="AS482" s="1"/>
      <x:c r="AT482" s="8" t="s">
        <x:v>96</x:v>
      </x:c>
      <x:c r="AU482" s="1" t="s">
        <x:v>4914</x:v>
      </x:c>
      <x:c r="AV482" s="17"/>
      <x:c r="AW482" s="1" t="s">
        <x:v>4915</x:v>
      </x:c>
      <x:c r="AX482" s="8" t="s">
        <x:v>82</x:v>
      </x:c>
      <x:c r="AY482" s="8"/>
    </x:row>
    <x:row r="483" ht="84" customHeight="1">
      <x:c r="A483" s="1" t="s">
        <x:v>5647</x:v>
      </x:c>
      <x:c r="B483" s="8" t="s">
        <x:v>5648</x:v>
      </x:c>
      <x:c r="C483" s="1" t="s">
        <x:v>5649</x:v>
      </x:c>
      <x:c r="D483" s="8" t="s">
        <x:v>73</x:v>
      </x:c>
      <x:c r="E483" s="1" t="s">
        <x:v>76</x:v>
      </x:c>
      <x:c r="F483" s="8" t="s">
        <x:v>5650</x:v>
      </x:c>
      <x:c r="G483" s="1" t="s">
        <x:v>5651</x:v>
      </x:c>
      <x:c r="H483" s="8" t="s">
        <x:v>5652</x:v>
      </x:c>
      <x:c r="I483" s="4">
        <x:v>2011</x:v>
      </x:c>
      <x:c r="J483" s="8" t="s">
        <x:v>5653</x:v>
      </x:c>
      <x:c r="K483" s="1" t="s">
        <x:v>416</x:v>
      </x:c>
      <x:c r="L483" s="8" t="s">
        <x:v>5654</x:v>
      </x:c>
      <x:c r="M483" s="1" t="s">
        <x:v>61</x:v>
      </x:c>
      <x:c r="N483" s="8"/>
      <x:c r="O483" s="1"/>
      <x:c r="P483" s="8"/>
      <x:c r="Q483" s="1"/>
      <x:c r="R483" s="8"/>
      <x:c r="S483" s="3"/>
      <x:c r="T483" s="8" t="s">
        <x:v>4905</x:v>
      </x:c>
      <x:c r="U483" s="1" t="s">
        <x:v>5625</x:v>
      </x:c>
      <x:c r="V483" s="13">
        <x:v>118</x:v>
      </x:c>
      <x:c r="W483" s="1" t="s">
        <x:v>4907</x:v>
      </x:c>
      <x:c r="X483" s="8" t="s">
        <x:v>66</x:v>
      </x:c>
      <x:c r="Y483" s="1" t="str">
        <x:v>Проверено автором исследования</x:v>
      </x:c>
      <x:c r="Z483" s="8"/>
      <x:c r="AA483" s="1" t="s">
        <x:v>5323</x:v>
      </x:c>
      <x:c r="AB483" s="13">
        <x:v>2023</x:v>
      </x:c>
      <x:c r="AC483" s="3"/>
      <x:c r="AD483" s="8" t="s">
        <x:v>93</x:v>
      </x:c>
      <x:c r="AE483" s="1"/>
      <x:c r="AF483" s="8" t="s">
        <x:v>118</x:v>
      </x:c>
      <x:c r="AG483" s="1" t="s">
        <x:v>5324</x:v>
      </x:c>
      <x:c r="AH483" s="8" t="str">
        <x:v>Краткая затекстовая ссылка; повторная документальная сверка выполнена</x:v>
      </x:c>
      <x:c r="AI483" s="1"/>
      <x:c r="AJ483" s="17"/>
      <x:c r="AK483" s="1" t="s">
        <x:v>5325</x:v>
      </x:c>
      <x:c r="AL483" s="8" t="s">
        <x:v>5326</x:v>
      </x:c>
      <x:c r="AM483" s="1" t="s">
        <x:v>5626</x:v>
      </x:c>
      <x:c r="AN483" s="8" t="s">
        <x:v>95</x:v>
      </x:c>
      <x:c r="AO483" s="1" t="s">
        <x:v>76</x:v>
      </x:c>
      <x:c r="AP483" s="8"/>
      <x:c r="AQ483" s="1" t="s">
        <x:v>5655</x:v>
      </x:c>
      <x:c r="AR483" s="8" t="str">
        <x:v>Проверка автором исследования</x:v>
      </x:c>
      <x:c r="AS483" s="1"/>
      <x:c r="AT483" s="8" t="s">
        <x:v>96</x:v>
      </x:c>
      <x:c r="AU483" s="1" t="s">
        <x:v>4914</x:v>
      </x:c>
      <x:c r="AV483" s="17"/>
      <x:c r="AW483" s="1" t="s">
        <x:v>4915</x:v>
      </x:c>
      <x:c r="AX483" s="8" t="s">
        <x:v>82</x:v>
      </x:c>
      <x:c r="AY483" s="8"/>
    </x:row>
    <x:row r="484" ht="69.94999694824219" customHeight="1">
      <x:c r="A484" s="1" t="s">
        <x:v>5656</x:v>
      </x:c>
      <x:c r="B484" s="8" t="s">
        <x:v>5657</x:v>
      </x:c>
      <x:c r="C484" s="1" t="s">
        <x:v>5658</x:v>
      </x:c>
      <x:c r="D484" s="8" t="s">
        <x:v>86</x:v>
      </x:c>
      <x:c r="E484" s="1" t="s">
        <x:v>76</x:v>
      </x:c>
      <x:c r="F484" s="8" t="s">
        <x:v>5659</x:v>
      </x:c>
      <x:c r="G484" s="1" t="s">
        <x:v>5660</x:v>
      </x:c>
      <x:c r="H484" s="8"/>
      <x:c r="I484" s="4">
        <x:v>2014</x:v>
      </x:c>
      <x:c r="J484" s="8"/>
      <x:c r="K484" s="1"/>
      <x:c r="L484" s="8" t="s">
        <x:v>5661</x:v>
      </x:c>
      <x:c r="M484" s="1" t="s">
        <x:v>61</x:v>
      </x:c>
      <x:c r="N484" s="8" t="s">
        <x:v>5662</x:v>
      </x:c>
      <x:c r="O484" s="1" t="s">
        <x:v>5663</x:v>
      </x:c>
      <x:c r="P484" s="8"/>
      <x:c r="Q484" s="1"/>
      <x:c r="R484" s="8"/>
      <x:c r="S484" s="3"/>
      <x:c r="T484" s="8" t="s">
        <x:v>4905</x:v>
      </x:c>
      <x:c r="U484" s="1" t="s">
        <x:v>5664</x:v>
      </x:c>
      <x:c r="V484" s="13">
        <x:v>123</x:v>
      </x:c>
      <x:c r="W484" s="1" t="s">
        <x:v>4907</x:v>
      </x:c>
      <x:c r="X484" s="8" t="s">
        <x:v>66</x:v>
      </x:c>
      <x:c r="Y484" s="1" t="str">
        <x:v>Проверено автором исследования</x:v>
      </x:c>
      <x:c r="Z484" s="8"/>
      <x:c r="AA484" s="1" t="s">
        <x:v>5323</x:v>
      </x:c>
      <x:c r="AB484" s="13">
        <x:v>2023</x:v>
      </x:c>
      <x:c r="AC484" s="3"/>
      <x:c r="AD484" s="8" t="s">
        <x:v>93</x:v>
      </x:c>
      <x:c r="AE484" s="1"/>
      <x:c r="AF484" s="8" t="s">
        <x:v>118</x:v>
      </x:c>
      <x:c r="AG484" s="1" t="s">
        <x:v>5324</x:v>
      </x:c>
      <x:c r="AH484" s="8" t="str">
        <x:v>Краткая затекстовая ссылка; повторная документальная сверка выполнена</x:v>
      </x:c>
      <x:c r="AI484" s="1"/>
      <x:c r="AJ484" s="17"/>
      <x:c r="AK484" s="1" t="s">
        <x:v>5325</x:v>
      </x:c>
      <x:c r="AL484" s="8" t="s">
        <x:v>5326</x:v>
      </x:c>
      <x:c r="AM484" s="1" t="s">
        <x:v>5665</x:v>
      </x:c>
      <x:c r="AN484" s="8" t="s">
        <x:v>95</x:v>
      </x:c>
      <x:c r="AO484" s="1" t="s">
        <x:v>76</x:v>
      </x:c>
      <x:c r="AP484" s="8"/>
      <x:c r="AQ484" s="1" t="s">
        <x:v>5666</x:v>
      </x:c>
      <x:c r="AR484" s="8" t="str">
        <x:v>Проверка автором исследования</x:v>
      </x:c>
      <x:c r="AS484" s="1"/>
      <x:c r="AT484" s="8" t="s">
        <x:v>96</x:v>
      </x:c>
      <x:c r="AU484" s="1" t="s">
        <x:v>4914</x:v>
      </x:c>
      <x:c r="AV484" s="17"/>
      <x:c r="AW484" s="1" t="s">
        <x:v>4915</x:v>
      </x:c>
      <x:c r="AX484" s="8" t="s">
        <x:v>82</x:v>
      </x:c>
      <x:c r="AY484" s="8"/>
    </x:row>
    <x:row r="485" ht="69.94999694824219" customHeight="1">
      <x:c r="A485" s="1" t="s">
        <x:v>5667</x:v>
      </x:c>
      <x:c r="B485" s="8" t="s">
        <x:v>5668</x:v>
      </x:c>
      <x:c r="C485" s="1" t="s">
        <x:v>5669</x:v>
      </x:c>
      <x:c r="D485" s="8" t="s">
        <x:v>86</x:v>
      </x:c>
      <x:c r="E485" s="1" t="s">
        <x:v>76</x:v>
      </x:c>
      <x:c r="F485" s="8" t="s">
        <x:v>5670</x:v>
      </x:c>
      <x:c r="G485" s="1" t="s">
        <x:v>5671</x:v>
      </x:c>
      <x:c r="H485" s="8"/>
      <x:c r="I485" s="4">
        <x:v>2002</x:v>
      </x:c>
      <x:c r="J485" s="8"/>
      <x:c r="K485" s="1"/>
      <x:c r="L485" s="8"/>
      <x:c r="M485" s="1"/>
      <x:c r="N485" s="8" t="s">
        <x:v>388</x:v>
      </x:c>
      <x:c r="O485" s="1" t="s">
        <x:v>1122</x:v>
      </x:c>
      <x:c r="P485" s="8"/>
      <x:c r="Q485" s="1"/>
      <x:c r="R485" s="8"/>
      <x:c r="S485" s="3"/>
      <x:c r="T485" s="8" t="s">
        <x:v>4905</x:v>
      </x:c>
      <x:c r="U485" s="1" t="s">
        <x:v>5664</x:v>
      </x:c>
      <x:c r="V485" s="13">
        <x:v>125</x:v>
      </x:c>
      <x:c r="W485" s="1" t="s">
        <x:v>5672</x:v>
      </x:c>
      <x:c r="X485" s="8" t="s">
        <x:v>66</x:v>
      </x:c>
      <x:c r="Y485" s="1" t="str">
        <x:v>Проверено автором; дополнительно проверено Михаилом Саяпиным</x:v>
      </x:c>
      <x:c r="Z485" s="8"/>
      <x:c r="AA485" s="1" t="s">
        <x:v>5323</x:v>
      </x:c>
      <x:c r="AB485" s="13">
        <x:v>2023</x:v>
      </x:c>
      <x:c r="AC485" s="3"/>
      <x:c r="AD485" s="8" t="s">
        <x:v>93</x:v>
      </x:c>
      <x:c r="AE485" s="1"/>
      <x:c r="AF485" s="8" t="s">
        <x:v>118</x:v>
      </x:c>
      <x:c r="AG485" s="1" t="s">
        <x:v>5324</x:v>
      </x:c>
      <x:c r="AH485" s="8" t="s">
        <x:v>144</x:v>
      </x:c>
      <x:c r="AI485" s="1" t="s">
        <x:v>145</x:v>
      </x:c>
      <x:c r="AJ485" s="17">
        <x:v>46323</x:v>
      </x:c>
      <x:c r="AK485" s="1" t="s">
        <x:v>5325</x:v>
      </x:c>
      <x:c r="AL485" s="8" t="s">
        <x:v>5326</x:v>
      </x:c>
      <x:c r="AM485" s="1" t="s">
        <x:v>5665</x:v>
      </x:c>
      <x:c r="AN485" s="8" t="s">
        <x:v>95</x:v>
      </x:c>
      <x:c r="AO485" s="1" t="s">
        <x:v>76</x:v>
      </x:c>
      <x:c r="AP485" s="8"/>
      <x:c r="AQ485" s="1" t="s">
        <x:v>5673</x:v>
      </x:c>
      <x:c r="AR485" s="8" t="str">
        <x:v>Проверка автором исследования; дополнительная проверка Михаилом Саяпиным; согласование 28.10.2026</x:v>
      </x:c>
      <x:c r="AS485" s="1"/>
      <x:c r="AT485" s="8" t="s">
        <x:v>96</x:v>
      </x:c>
      <x:c r="AU485" s="1" t="s">
        <x:v>4914</x:v>
      </x:c>
      <x:c r="AV485" s="17"/>
      <x:c r="AW485" s="1" t="s">
        <x:v>4915</x:v>
      </x:c>
      <x:c r="AX485" s="8" t="s">
        <x:v>146</x:v>
      </x:c>
      <x:c r="AY485" s="8" t="s">
        <x:v>5674</x:v>
      </x:c>
    </x:row>
    <x:row r="486" ht="69.94999694824219" customHeight="1">
      <x:c r="A486" s="1" t="s">
        <x:v>5675</x:v>
      </x:c>
      <x:c r="B486" s="8" t="s">
        <x:v>5676</x:v>
      </x:c>
      <x:c r="C486" s="1" t="s">
        <x:v>5677</x:v>
      </x:c>
      <x:c r="D486" s="8" t="s">
        <x:v>73</x:v>
      </x:c>
      <x:c r="E486" s="1" t="s">
        <x:v>76</x:v>
      </x:c>
      <x:c r="F486" s="8" t="s">
        <x:v>5678</x:v>
      </x:c>
      <x:c r="G486" s="1" t="s">
        <x:v>5679</x:v>
      </x:c>
      <x:c r="H486" s="8" t="s">
        <x:v>1001</x:v>
      </x:c>
      <x:c r="I486" s="4">
        <x:v>2014</x:v>
      </x:c>
      <x:c r="J486" s="8"/>
      <x:c r="K486" s="1" t="s">
        <x:v>5131</x:v>
      </x:c>
      <x:c r="L486" s="8" t="s">
        <x:v>5680</x:v>
      </x:c>
      <x:c r="M486" s="1" t="s">
        <x:v>61</x:v>
      </x:c>
      <x:c r="N486" s="8"/>
      <x:c r="O486" s="1"/>
      <x:c r="P486" s="8"/>
      <x:c r="Q486" s="1"/>
      <x:c r="R486" s="8"/>
      <x:c r="S486" s="3"/>
      <x:c r="T486" s="8" t="s">
        <x:v>4905</x:v>
      </x:c>
      <x:c r="U486" s="1" t="s">
        <x:v>5681</x:v>
      </x:c>
      <x:c r="V486" s="13">
        <x:v>46</x:v>
      </x:c>
      <x:c r="W486" s="1" t="s">
        <x:v>5682</x:v>
      </x:c>
      <x:c r="X486" s="8" t="s">
        <x:v>66</x:v>
      </x:c>
      <x:c r="Y486" s="1" t="str">
        <x:v>Проверено автором; дополнительно проверено Михаилом Саяпиным</x:v>
      </x:c>
      <x:c r="Z486" s="8"/>
      <x:c r="AA486" s="1" t="s">
        <x:v>4908</x:v>
      </x:c>
      <x:c r="AB486" s="13">
        <x:v>2017</x:v>
      </x:c>
      <x:c r="AC486" s="3"/>
      <x:c r="AD486" s="8" t="s">
        <x:v>93</x:v>
      </x:c>
      <x:c r="AE486" s="1"/>
      <x:c r="AF486" s="8" t="s">
        <x:v>118</x:v>
      </x:c>
      <x:c r="AG486" s="1" t="s">
        <x:v>4909</x:v>
      </x:c>
      <x:c r="AH486" s="8" t="s">
        <x:v>144</x:v>
      </x:c>
      <x:c r="AI486" s="1" t="s">
        <x:v>145</x:v>
      </x:c>
      <x:c r="AJ486" s="17">
        <x:v>46323</x:v>
      </x:c>
      <x:c r="AK486" s="1" t="s">
        <x:v>4910</x:v>
      </x:c>
      <x:c r="AL486" s="8" t="s">
        <x:v>4911</x:v>
      </x:c>
      <x:c r="AM486" s="1" t="s">
        <x:v>2308</x:v>
      </x:c>
      <x:c r="AN486" s="8" t="s">
        <x:v>95</x:v>
      </x:c>
      <x:c r="AO486" s="1"/>
      <x:c r="AP486" s="8"/>
      <x:c r="AQ486" s="1" t="s">
        <x:v>5683</x:v>
      </x:c>
      <x:c r="AR486" s="8" t="str">
        <x:v>Проверка автором исследования; дополнительная проверка Михаилом Саяпиным; согласование 28.10.2026</x:v>
      </x:c>
      <x:c r="AS486" s="1"/>
      <x:c r="AT486" s="8" t="s">
        <x:v>96</x:v>
      </x:c>
      <x:c r="AU486" s="1" t="s">
        <x:v>5684</x:v>
      </x:c>
      <x:c r="AV486" s="17"/>
      <x:c r="AW486" s="1"/>
      <x:c r="AX486" s="8" t="s">
        <x:v>146</x:v>
      </x:c>
      <x:c r="AY486" s="8" t="s">
        <x:v>5685</x:v>
      </x:c>
    </x:row>
    <x:row r="487" ht="84" customHeight="1">
      <x:c r="A487" s="1" t="s">
        <x:v>5686</x:v>
      </x:c>
      <x:c r="B487" s="8" t="s">
        <x:v>5687</x:v>
      </x:c>
      <x:c r="C487" s="1" t="s">
        <x:v>5688</x:v>
      </x:c>
      <x:c r="D487" s="8" t="s">
        <x:v>5058</x:v>
      </x:c>
      <x:c r="E487" s="1" t="s">
        <x:v>76</x:v>
      </x:c>
      <x:c r="F487" s="8"/>
      <x:c r="G487" s="1" t="s">
        <x:v>5689</x:v>
      </x:c>
      <x:c r="H487" s="8" t="s">
        <x:v>5690</x:v>
      </x:c>
      <x:c r="I487" s="4">
        <x:v>2015</x:v>
      </x:c>
      <x:c r="J487" s="8"/>
      <x:c r="K487" s="1" t="s">
        <x:v>754</x:v>
      </x:c>
      <x:c r="L487" s="8" t="s">
        <x:v>5691</x:v>
      </x:c>
      <x:c r="M487" s="1" t="s">
        <x:v>5062</x:v>
      </x:c>
      <x:c r="N487" s="8"/>
      <x:c r="O487" s="1"/>
      <x:c r="P487" s="8"/>
      <x:c r="Q487" s="1"/>
      <x:c r="R487" s="8"/>
      <x:c r="S487" s="3"/>
      <x:c r="T487" s="8" t="s">
        <x:v>4905</x:v>
      </x:c>
      <x:c r="U487" s="1" t="s">
        <x:v>5681</x:v>
      </x:c>
      <x:c r="V487" s="13">
        <x:v>51</x:v>
      </x:c>
      <x:c r="W487" s="1" t="s">
        <x:v>5692</x:v>
      </x:c>
      <x:c r="X487" s="8" t="s">
        <x:v>66</x:v>
      </x:c>
      <x:c r="Y487" s="1" t="str">
        <x:v>Проверено автором исследования</x:v>
      </x:c>
      <x:c r="Z487" s="8"/>
      <x:c r="AA487" s="1" t="s">
        <x:v>4908</x:v>
      </x:c>
      <x:c r="AB487" s="13">
        <x:v>2017</x:v>
      </x:c>
      <x:c r="AC487" s="3"/>
      <x:c r="AD487" s="8" t="s">
        <x:v>93</x:v>
      </x:c>
      <x:c r="AE487" s="1"/>
      <x:c r="AF487" s="8" t="s">
        <x:v>118</x:v>
      </x:c>
      <x:c r="AG487" s="1" t="s">
        <x:v>4909</x:v>
      </x:c>
      <x:c r="AH487" s="8" t="str">
        <x:v>Краткая затекстовая ссылка; повторная документальная сверка выполнена</x:v>
      </x:c>
      <x:c r="AI487" s="1"/>
      <x:c r="AJ487" s="17"/>
      <x:c r="AK487" s="1" t="s">
        <x:v>4910</x:v>
      </x:c>
      <x:c r="AL487" s="8" t="s">
        <x:v>4911</x:v>
      </x:c>
      <x:c r="AM487" s="1" t="s">
        <x:v>2308</x:v>
      </x:c>
      <x:c r="AN487" s="8" t="s">
        <x:v>95</x:v>
      </x:c>
      <x:c r="AO487" s="1"/>
      <x:c r="AP487" s="8"/>
      <x:c r="AQ487" s="1" t="s">
        <x:v>5693</x:v>
      </x:c>
      <x:c r="AR487" s="8" t="str">
        <x:v>Проверка автором исследования</x:v>
      </x:c>
      <x:c r="AS487" s="1"/>
      <x:c r="AT487" s="8" t="s">
        <x:v>96</x:v>
      </x:c>
      <x:c r="AU487" s="1" t="s">
        <x:v>5684</x:v>
      </x:c>
      <x:c r="AV487" s="17"/>
      <x:c r="AW487" s="1"/>
      <x:c r="AX487" s="8" t="s">
        <x:v>82</x:v>
      </x:c>
      <x:c r="AY487" s="8"/>
    </x:row>
    <x:row r="488" ht="69.94999694824219" customHeight="1">
      <x:c r="A488" s="1" t="s">
        <x:v>5694</x:v>
      </x:c>
      <x:c r="B488" s="8" t="s">
        <x:v>5695</x:v>
      </x:c>
      <x:c r="C488" s="1" t="s">
        <x:v>5696</x:v>
      </x:c>
      <x:c r="D488" s="8" t="s">
        <x:v>73</x:v>
      </x:c>
      <x:c r="E488" s="1" t="s">
        <x:v>76</x:v>
      </x:c>
      <x:c r="F488" s="8" t="s">
        <x:v>5697</x:v>
      </x:c>
      <x:c r="G488" s="1" t="s">
        <x:v>5698</x:v>
      </x:c>
      <x:c r="H488" s="8" t="s">
        <x:v>5699</x:v>
      </x:c>
      <x:c r="I488" s="4">
        <x:v>2010</x:v>
      </x:c>
      <x:c r="J488" s="8"/>
      <x:c r="K488" s="1" t="s">
        <x:v>416</x:v>
      </x:c>
      <x:c r="L488" s="8" t="s">
        <x:v>5700</x:v>
      </x:c>
      <x:c r="M488" s="1" t="s">
        <x:v>61</x:v>
      </x:c>
      <x:c r="N488" s="8"/>
      <x:c r="O488" s="1"/>
      <x:c r="P488" s="8"/>
      <x:c r="Q488" s="1"/>
      <x:c r="R488" s="8"/>
      <x:c r="S488" s="3"/>
      <x:c r="T488" s="8" t="s">
        <x:v>4905</x:v>
      </x:c>
      <x:c r="U488" s="1" t="s">
        <x:v>5681</x:v>
      </x:c>
      <x:c r="V488" s="13">
        <x:v>56</x:v>
      </x:c>
      <x:c r="W488" s="1" t="s">
        <x:v>5701</x:v>
      </x:c>
      <x:c r="X488" s="8" t="s">
        <x:v>66</x:v>
      </x:c>
      <x:c r="Y488" s="1" t="str">
        <x:v>Проверено автором; дополнительно проверено Михаилом Саяпиным</x:v>
      </x:c>
      <x:c r="Z488" s="8"/>
      <x:c r="AA488" s="1" t="s">
        <x:v>4908</x:v>
      </x:c>
      <x:c r="AB488" s="13">
        <x:v>2017</x:v>
      </x:c>
      <x:c r="AC488" s="3"/>
      <x:c r="AD488" s="8" t="s">
        <x:v>93</x:v>
      </x:c>
      <x:c r="AE488" s="1"/>
      <x:c r="AF488" s="8" t="s">
        <x:v>118</x:v>
      </x:c>
      <x:c r="AG488" s="1" t="s">
        <x:v>4909</x:v>
      </x:c>
      <x:c r="AH488" s="8" t="s">
        <x:v>144</x:v>
      </x:c>
      <x:c r="AI488" s="1" t="s">
        <x:v>145</x:v>
      </x:c>
      <x:c r="AJ488" s="17">
        <x:v>46323</x:v>
      </x:c>
      <x:c r="AK488" s="1" t="s">
        <x:v>4910</x:v>
      </x:c>
      <x:c r="AL488" s="8" t="s">
        <x:v>4911</x:v>
      </x:c>
      <x:c r="AM488" s="1" t="s">
        <x:v>2308</x:v>
      </x:c>
      <x:c r="AN488" s="8" t="s">
        <x:v>95</x:v>
      </x:c>
      <x:c r="AO488" s="1"/>
      <x:c r="AP488" s="8"/>
      <x:c r="AQ488" s="1" t="s">
        <x:v>5702</x:v>
      </x:c>
      <x:c r="AR488" s="8" t="str">
        <x:v>Проверка автором исследования; дополнительная проверка Михаилом Саяпиным; согласование 28.10.2026</x:v>
      </x:c>
      <x:c r="AS488" s="1"/>
      <x:c r="AT488" s="8" t="s">
        <x:v>96</x:v>
      </x:c>
      <x:c r="AU488" s="1" t="s">
        <x:v>5684</x:v>
      </x:c>
      <x:c r="AV488" s="17"/>
      <x:c r="AW488" s="1"/>
      <x:c r="AX488" s="8" t="s">
        <x:v>146</x:v>
      </x:c>
      <x:c r="AY488" s="8" t="s">
        <x:v>5703</x:v>
      </x:c>
    </x:row>
    <x:row r="489" ht="84" customHeight="1">
      <x:c r="A489" s="1" t="s">
        <x:v>5704</x:v>
      </x:c>
      <x:c r="B489" s="8" t="s">
        <x:v>5705</x:v>
      </x:c>
      <x:c r="C489" s="1" t="s">
        <x:v>5706</x:v>
      </x:c>
      <x:c r="D489" s="8" t="s">
        <x:v>3176</x:v>
      </x:c>
      <x:c r="E489" s="1" t="s">
        <x:v>76</x:v>
      </x:c>
      <x:c r="F489" s="8" t="s">
        <x:v>5707</x:v>
      </x:c>
      <x:c r="G489" s="1" t="s">
        <x:v>5708</x:v>
      </x:c>
      <x:c r="H489" s="8" t="s">
        <x:v>5709</x:v>
      </x:c>
      <x:c r="I489" s="4">
        <x:v>2014</x:v>
      </x:c>
      <x:c r="J489" s="8"/>
      <x:c r="K489" s="1" t="s">
        <x:v>5710</x:v>
      </x:c>
      <x:c r="L489" s="8" t="s">
        <x:v>5711</x:v>
      </x:c>
      <x:c r="M489" s="1" t="s">
        <x:v>61</x:v>
      </x:c>
      <x:c r="N489" s="8" t="s">
        <x:v>5712</x:v>
      </x:c>
      <x:c r="O489" s="1" t="s">
        <x:v>1822</x:v>
      </x:c>
      <x:c r="P489" s="8"/>
      <x:c r="Q489" s="1"/>
      <x:c r="R489" s="8"/>
      <x:c r="S489" s="3"/>
      <x:c r="T489" s="8" t="s">
        <x:v>4905</x:v>
      </x:c>
      <x:c r="U489" s="1" t="s">
        <x:v>5681</x:v>
      </x:c>
      <x:c r="V489" s="13">
        <x:v>58</x:v>
      </x:c>
      <x:c r="W489" s="1" t="s">
        <x:v>5713</x:v>
      </x:c>
      <x:c r="X489" s="8" t="s">
        <x:v>66</x:v>
      </x:c>
      <x:c r="Y489" s="1" t="str">
        <x:v>Проверено автором; дополнительно проверено Михаилом Саяпиным</x:v>
      </x:c>
      <x:c r="Z489" s="8"/>
      <x:c r="AA489" s="1" t="s">
        <x:v>4908</x:v>
      </x:c>
      <x:c r="AB489" s="13">
        <x:v>2017</x:v>
      </x:c>
      <x:c r="AC489" s="3"/>
      <x:c r="AD489" s="8" t="s">
        <x:v>93</x:v>
      </x:c>
      <x:c r="AE489" s="1"/>
      <x:c r="AF489" s="8" t="s">
        <x:v>118</x:v>
      </x:c>
      <x:c r="AG489" s="1" t="s">
        <x:v>4909</x:v>
      </x:c>
      <x:c r="AH489" s="8" t="s">
        <x:v>144</x:v>
      </x:c>
      <x:c r="AI489" s="1" t="s">
        <x:v>145</x:v>
      </x:c>
      <x:c r="AJ489" s="17">
        <x:v>46323</x:v>
      </x:c>
      <x:c r="AK489" s="1" t="s">
        <x:v>4910</x:v>
      </x:c>
      <x:c r="AL489" s="8" t="s">
        <x:v>4911</x:v>
      </x:c>
      <x:c r="AM489" s="1" t="s">
        <x:v>5714</x:v>
      </x:c>
      <x:c r="AN489" s="8" t="s">
        <x:v>95</x:v>
      </x:c>
      <x:c r="AO489" s="1"/>
      <x:c r="AP489" s="8"/>
      <x:c r="AQ489" s="1" t="s">
        <x:v>5715</x:v>
      </x:c>
      <x:c r="AR489" s="8" t="str">
        <x:v>Проверка автором исследования; дополнительная проверка Михаилом Саяпиным; согласование 28.10.2026</x:v>
      </x:c>
      <x:c r="AS489" s="1"/>
      <x:c r="AT489" s="8" t="s">
        <x:v>96</x:v>
      </x:c>
      <x:c r="AU489" s="1" t="s">
        <x:v>5684</x:v>
      </x:c>
      <x:c r="AV489" s="17"/>
      <x:c r="AW489" s="1"/>
      <x:c r="AX489" s="8" t="s">
        <x:v>146</x:v>
      </x:c>
      <x:c r="AY489" s="8" t="s">
        <x:v>5716</x:v>
      </x:c>
    </x:row>
    <x:row r="490" ht="69.94999694824219" customHeight="1">
      <x:c r="A490" s="1" t="s">
        <x:v>5717</x:v>
      </x:c>
      <x:c r="B490" s="8" t="s">
        <x:v>5718</x:v>
      </x:c>
      <x:c r="C490" s="1" t="s">
        <x:v>5719</x:v>
      </x:c>
      <x:c r="D490" s="8" t="s">
        <x:v>73</x:v>
      </x:c>
      <x:c r="E490" s="1" t="s">
        <x:v>76</x:v>
      </x:c>
      <x:c r="F490" s="8" t="s">
        <x:v>5720</x:v>
      </x:c>
      <x:c r="G490" s="1" t="s">
        <x:v>5721</x:v>
      </x:c>
      <x:c r="H490" s="8" t="s">
        <x:v>5722</x:v>
      </x:c>
      <x:c r="I490" s="4">
        <x:v>2011</x:v>
      </x:c>
      <x:c r="J490" s="8"/>
      <x:c r="K490" s="1" t="s">
        <x:v>239</x:v>
      </x:c>
      <x:c r="L490" s="8" t="s">
        <x:v>5723</x:v>
      </x:c>
      <x:c r="M490" s="1" t="s">
        <x:v>61</x:v>
      </x:c>
      <x:c r="N490" s="8"/>
      <x:c r="O490" s="1"/>
      <x:c r="P490" s="8"/>
      <x:c r="Q490" s="1"/>
      <x:c r="R490" s="8"/>
      <x:c r="S490" s="3"/>
      <x:c r="T490" s="8" t="s">
        <x:v>4905</x:v>
      </x:c>
      <x:c r="U490" s="1" t="s">
        <x:v>5724</x:v>
      </x:c>
      <x:c r="V490" s="13">
        <x:v>65</x:v>
      </x:c>
      <x:c r="W490" s="1" t="s">
        <x:v>5725</x:v>
      </x:c>
      <x:c r="X490" s="8" t="s">
        <x:v>66</x:v>
      </x:c>
      <x:c r="Y490" s="1" t="str">
        <x:v>Проверено автором исследования</x:v>
      </x:c>
      <x:c r="Z490" s="8"/>
      <x:c r="AA490" s="1" t="s">
        <x:v>4908</x:v>
      </x:c>
      <x:c r="AB490" s="13">
        <x:v>2017</x:v>
      </x:c>
      <x:c r="AC490" s="3"/>
      <x:c r="AD490" s="8" t="s">
        <x:v>93</x:v>
      </x:c>
      <x:c r="AE490" s="1"/>
      <x:c r="AF490" s="8" t="s">
        <x:v>118</x:v>
      </x:c>
      <x:c r="AG490" s="1" t="s">
        <x:v>4909</x:v>
      </x:c>
      <x:c r="AH490" s="8" t="str">
        <x:v>Краткая затекстовая ссылка; повторная документальная сверка выполнена</x:v>
      </x:c>
      <x:c r="AI490" s="1"/>
      <x:c r="AJ490" s="17"/>
      <x:c r="AK490" s="1" t="s">
        <x:v>4910</x:v>
      </x:c>
      <x:c r="AL490" s="8" t="s">
        <x:v>4911</x:v>
      </x:c>
      <x:c r="AM490" s="1" t="s">
        <x:v>5726</x:v>
      </x:c>
      <x:c r="AN490" s="8" t="s">
        <x:v>95</x:v>
      </x:c>
      <x:c r="AO490" s="1"/>
      <x:c r="AP490" s="8"/>
      <x:c r="AQ490" s="1" t="s">
        <x:v>5727</x:v>
      </x:c>
      <x:c r="AR490" s="8" t="str">
        <x:v>Проверка автором исследования</x:v>
      </x:c>
      <x:c r="AS490" s="1"/>
      <x:c r="AT490" s="8" t="s">
        <x:v>96</x:v>
      </x:c>
      <x:c r="AU490" s="1" t="s">
        <x:v>5684</x:v>
      </x:c>
      <x:c r="AV490" s="17"/>
      <x:c r="AW490" s="1"/>
      <x:c r="AX490" s="8" t="s">
        <x:v>82</x:v>
      </x:c>
      <x:c r="AY490" s="8"/>
    </x:row>
    <x:row r="491" ht="69.94999694824219" customHeight="1">
      <x:c r="A491" s="1" t="s">
        <x:v>5728</x:v>
      </x:c>
      <x:c r="B491" s="8" t="s">
        <x:v>5729</x:v>
      </x:c>
      <x:c r="C491" s="1" t="s">
        <x:v>5730</x:v>
      </x:c>
      <x:c r="D491" s="8" t="s">
        <x:v>73</x:v>
      </x:c>
      <x:c r="E491" s="1" t="s">
        <x:v>76</x:v>
      </x:c>
      <x:c r="F491" s="8" t="s">
        <x:v>5731</x:v>
      </x:c>
      <x:c r="G491" s="1" t="s">
        <x:v>5732</x:v>
      </x:c>
      <x:c r="H491" s="8" t="s">
        <x:v>5733</x:v>
      </x:c>
      <x:c r="I491" s="4">
        <x:v>2016</x:v>
      </x:c>
      <x:c r="J491" s="8"/>
      <x:c r="K491" s="1" t="s">
        <x:v>5734</x:v>
      </x:c>
      <x:c r="L491" s="8" t="s">
        <x:v>5735</x:v>
      </x:c>
      <x:c r="M491" s="1" t="s">
        <x:v>61</x:v>
      </x:c>
      <x:c r="N491" s="8"/>
      <x:c r="O491" s="1"/>
      <x:c r="P491" s="8"/>
      <x:c r="Q491" s="1"/>
      <x:c r="R491" s="8"/>
      <x:c r="S491" s="3"/>
      <x:c r="T491" s="8" t="s">
        <x:v>4905</x:v>
      </x:c>
      <x:c r="U491" s="1" t="s">
        <x:v>5724</x:v>
      </x:c>
      <x:c r="V491" s="13">
        <x:v>68</x:v>
      </x:c>
      <x:c r="W491" s="1" t="s">
        <x:v>5701</x:v>
      </x:c>
      <x:c r="X491" s="8" t="s">
        <x:v>66</x:v>
      </x:c>
      <x:c r="Y491" s="1" t="str">
        <x:v>Проверено автором; дополнительно проверено Михаилом Саяпиным</x:v>
      </x:c>
      <x:c r="Z491" s="8"/>
      <x:c r="AA491" s="1" t="s">
        <x:v>4908</x:v>
      </x:c>
      <x:c r="AB491" s="13">
        <x:v>2017</x:v>
      </x:c>
      <x:c r="AC491" s="3"/>
      <x:c r="AD491" s="8" t="s">
        <x:v>93</x:v>
      </x:c>
      <x:c r="AE491" s="1"/>
      <x:c r="AF491" s="8" t="s">
        <x:v>118</x:v>
      </x:c>
      <x:c r="AG491" s="1" t="s">
        <x:v>4909</x:v>
      </x:c>
      <x:c r="AH491" s="8" t="s">
        <x:v>144</x:v>
      </x:c>
      <x:c r="AI491" s="1" t="s">
        <x:v>145</x:v>
      </x:c>
      <x:c r="AJ491" s="17">
        <x:v>46323</x:v>
      </x:c>
      <x:c r="AK491" s="1" t="s">
        <x:v>4910</x:v>
      </x:c>
      <x:c r="AL491" s="8" t="s">
        <x:v>4911</x:v>
      </x:c>
      <x:c r="AM491" s="1" t="s">
        <x:v>5726</x:v>
      </x:c>
      <x:c r="AN491" s="8" t="s">
        <x:v>95</x:v>
      </x:c>
      <x:c r="AO491" s="1"/>
      <x:c r="AP491" s="8"/>
      <x:c r="AQ491" s="1" t="s">
        <x:v>5736</x:v>
      </x:c>
      <x:c r="AR491" s="8" t="str">
        <x:v>Проверка автором исследования; дополнительная проверка Михаилом Саяпиным; согласование 28.10.2026</x:v>
      </x:c>
      <x:c r="AS491" s="1"/>
      <x:c r="AT491" s="8" t="s">
        <x:v>96</x:v>
      </x:c>
      <x:c r="AU491" s="1" t="s">
        <x:v>5684</x:v>
      </x:c>
      <x:c r="AV491" s="17"/>
      <x:c r="AW491" s="1"/>
      <x:c r="AX491" s="8" t="s">
        <x:v>146</x:v>
      </x:c>
      <x:c r="AY491" s="8" t="s">
        <x:v>5737</x:v>
      </x:c>
    </x:row>
    <x:row r="492" ht="69.94999694824219" customHeight="1">
      <x:c r="A492" s="1" t="s">
        <x:v>5738</x:v>
      </x:c>
      <x:c r="B492" s="8" t="s">
        <x:v>5739</x:v>
      </x:c>
      <x:c r="C492" s="1" t="s">
        <x:v>5740</x:v>
      </x:c>
      <x:c r="D492" s="8" t="s">
        <x:v>73</x:v>
      </x:c>
      <x:c r="E492" s="1" t="s">
        <x:v>76</x:v>
      </x:c>
      <x:c r="F492" s="8" t="s">
        <x:v>5741</x:v>
      </x:c>
      <x:c r="G492" s="1" t="s">
        <x:v>5742</x:v>
      </x:c>
      <x:c r="H492" s="8" t="s">
        <x:v>5743</x:v>
      </x:c>
      <x:c r="I492" s="4">
        <x:v>2015</x:v>
      </x:c>
      <x:c r="J492" s="8"/>
      <x:c r="K492" s="1" t="s">
        <x:v>3101</x:v>
      </x:c>
      <x:c r="L492" s="8" t="s">
        <x:v>5744</x:v>
      </x:c>
      <x:c r="M492" s="1" t="s">
        <x:v>61</x:v>
      </x:c>
      <x:c r="N492" s="8"/>
      <x:c r="O492" s="1"/>
      <x:c r="P492" s="8"/>
      <x:c r="Q492" s="1"/>
      <x:c r="R492" s="8"/>
      <x:c r="S492" s="3"/>
      <x:c r="T492" s="8" t="s">
        <x:v>4905</x:v>
      </x:c>
      <x:c r="U492" s="1" t="s">
        <x:v>5745</x:v>
      </x:c>
      <x:c r="V492" s="13">
        <x:v>72</x:v>
      </x:c>
      <x:c r="W492" s="1" t="s">
        <x:v>5746</x:v>
      </x:c>
      <x:c r="X492" s="8" t="s">
        <x:v>66</x:v>
      </x:c>
      <x:c r="Y492" s="1" t="str">
        <x:v>Проверено автором; дополнительно проверено Михаилом Саяпиным</x:v>
      </x:c>
      <x:c r="Z492" s="8"/>
      <x:c r="AA492" s="1" t="s">
        <x:v>4908</x:v>
      </x:c>
      <x:c r="AB492" s="13">
        <x:v>2017</x:v>
      </x:c>
      <x:c r="AC492" s="3"/>
      <x:c r="AD492" s="8" t="s">
        <x:v>93</x:v>
      </x:c>
      <x:c r="AE492" s="1"/>
      <x:c r="AF492" s="8" t="s">
        <x:v>118</x:v>
      </x:c>
      <x:c r="AG492" s="1" t="s">
        <x:v>4909</x:v>
      </x:c>
      <x:c r="AH492" s="8" t="s">
        <x:v>144</x:v>
      </x:c>
      <x:c r="AI492" s="1" t="s">
        <x:v>145</x:v>
      </x:c>
      <x:c r="AJ492" s="17">
        <x:v>46323</x:v>
      </x:c>
      <x:c r="AK492" s="1" t="s">
        <x:v>4910</x:v>
      </x:c>
      <x:c r="AL492" s="8" t="s">
        <x:v>4911</x:v>
      </x:c>
      <x:c r="AM492" s="1" t="s">
        <x:v>5747</x:v>
      </x:c>
      <x:c r="AN492" s="8" t="s">
        <x:v>95</x:v>
      </x:c>
      <x:c r="AO492" s="1"/>
      <x:c r="AP492" s="8"/>
      <x:c r="AQ492" s="1" t="s">
        <x:v>5748</x:v>
      </x:c>
      <x:c r="AR492" s="8" t="str">
        <x:v>Проверка автором исследования; дополнительная проверка Михаилом Саяпиным; согласование 28.10.2026</x:v>
      </x:c>
      <x:c r="AS492" s="1"/>
      <x:c r="AT492" s="8" t="s">
        <x:v>96</x:v>
      </x:c>
      <x:c r="AU492" s="1" t="s">
        <x:v>5684</x:v>
      </x:c>
      <x:c r="AV492" s="17"/>
      <x:c r="AW492" s="1"/>
      <x:c r="AX492" s="8" t="s">
        <x:v>146</x:v>
      </x:c>
      <x:c r="AY492" s="8" t="s">
        <x:v>5749</x:v>
      </x:c>
    </x:row>
    <x:row r="493" ht="69.94999694824219" customHeight="1">
      <x:c r="A493" s="1" t="s">
        <x:v>5750</x:v>
      </x:c>
      <x:c r="B493" s="8" t="s">
        <x:v>5751</x:v>
      </x:c>
      <x:c r="C493" s="1" t="s">
        <x:v>5752</x:v>
      </x:c>
      <x:c r="D493" s="8" t="s">
        <x:v>73</x:v>
      </x:c>
      <x:c r="E493" s="1" t="s">
        <x:v>76</x:v>
      </x:c>
      <x:c r="F493" s="8" t="s">
        <x:v>5753</x:v>
      </x:c>
      <x:c r="G493" s="1" t="s">
        <x:v>5754</x:v>
      </x:c>
      <x:c r="H493" s="8" t="s">
        <x:v>5755</x:v>
      </x:c>
      <x:c r="I493" s="4">
        <x:v>2012</x:v>
      </x:c>
      <x:c r="J493" s="8"/>
      <x:c r="K493" s="1" t="s">
        <x:v>5756</x:v>
      </x:c>
      <x:c r="L493" s="8" t="s">
        <x:v>5757</x:v>
      </x:c>
      <x:c r="M493" s="1" t="s">
        <x:v>61</x:v>
      </x:c>
      <x:c r="N493" s="8"/>
      <x:c r="O493" s="1"/>
      <x:c r="P493" s="8"/>
      <x:c r="Q493" s="1"/>
      <x:c r="R493" s="8"/>
      <x:c r="S493" s="3"/>
      <x:c r="T493" s="8" t="s">
        <x:v>4905</x:v>
      </x:c>
      <x:c r="U493" s="1" t="s">
        <x:v>5745</x:v>
      </x:c>
      <x:c r="V493" s="13">
        <x:v>73</x:v>
      </x:c>
      <x:c r="W493" s="1" t="s">
        <x:v>5758</x:v>
      </x:c>
      <x:c r="X493" s="8" t="s">
        <x:v>66</x:v>
      </x:c>
      <x:c r="Y493" s="1" t="str">
        <x:v>Проверено автором исследования</x:v>
      </x:c>
      <x:c r="Z493" s="8"/>
      <x:c r="AA493" s="1" t="s">
        <x:v>4908</x:v>
      </x:c>
      <x:c r="AB493" s="13">
        <x:v>2017</x:v>
      </x:c>
      <x:c r="AC493" s="3"/>
      <x:c r="AD493" s="8" t="s">
        <x:v>93</x:v>
      </x:c>
      <x:c r="AE493" s="1"/>
      <x:c r="AF493" s="8" t="s">
        <x:v>118</x:v>
      </x:c>
      <x:c r="AG493" s="1" t="s">
        <x:v>4909</x:v>
      </x:c>
      <x:c r="AH493" s="8" t="str">
        <x:v>Краткая затекстовая ссылка; повторная документальная сверка выполнена</x:v>
      </x:c>
      <x:c r="AI493" s="1"/>
      <x:c r="AJ493" s="17"/>
      <x:c r="AK493" s="1" t="s">
        <x:v>4910</x:v>
      </x:c>
      <x:c r="AL493" s="8" t="s">
        <x:v>4911</x:v>
      </x:c>
      <x:c r="AM493" s="1" t="s">
        <x:v>5747</x:v>
      </x:c>
      <x:c r="AN493" s="8" t="s">
        <x:v>95</x:v>
      </x:c>
      <x:c r="AO493" s="1"/>
      <x:c r="AP493" s="8"/>
      <x:c r="AQ493" s="1" t="s">
        <x:v>5759</x:v>
      </x:c>
      <x:c r="AR493" s="8" t="str">
        <x:v>Проверка автором исследования</x:v>
      </x:c>
      <x:c r="AS493" s="1"/>
      <x:c r="AT493" s="8" t="s">
        <x:v>96</x:v>
      </x:c>
      <x:c r="AU493" s="1" t="s">
        <x:v>5684</x:v>
      </x:c>
      <x:c r="AV493" s="17"/>
      <x:c r="AW493" s="1"/>
      <x:c r="AX493" s="8" t="s">
        <x:v>82</x:v>
      </x:c>
      <x:c r="AY493" s="8"/>
    </x:row>
    <x:row r="494" ht="69.94999694824219" customHeight="1">
      <x:c r="A494" s="1" t="s">
        <x:v>5760</x:v>
      </x:c>
      <x:c r="B494" s="8" t="s">
        <x:v>5761</x:v>
      </x:c>
      <x:c r="C494" s="1" t="s">
        <x:v>5762</x:v>
      </x:c>
      <x:c r="D494" s="8" t="s">
        <x:v>73</x:v>
      </x:c>
      <x:c r="E494" s="1" t="s">
        <x:v>76</x:v>
      </x:c>
      <x:c r="F494" s="8" t="s">
        <x:v>5763</x:v>
      </x:c>
      <x:c r="G494" s="1" t="s">
        <x:v>5764</x:v>
      </x:c>
      <x:c r="H494" s="8" t="s">
        <x:v>5743</x:v>
      </x:c>
      <x:c r="I494" s="4">
        <x:v>2015</x:v>
      </x:c>
      <x:c r="J494" s="8"/>
      <x:c r="K494" s="1" t="s">
        <x:v>3101</x:v>
      </x:c>
      <x:c r="L494" s="8" t="s">
        <x:v>5744</x:v>
      </x:c>
      <x:c r="M494" s="1" t="s">
        <x:v>61</x:v>
      </x:c>
      <x:c r="N494" s="8"/>
      <x:c r="O494" s="1"/>
      <x:c r="P494" s="8"/>
      <x:c r="Q494" s="1"/>
      <x:c r="R494" s="8"/>
      <x:c r="S494" s="3"/>
      <x:c r="T494" s="8" t="s">
        <x:v>4905</x:v>
      </x:c>
      <x:c r="U494" s="1" t="s">
        <x:v>5745</x:v>
      </x:c>
      <x:c r="V494" s="13">
        <x:v>74</x:v>
      </x:c>
      <x:c r="W494" s="1" t="s">
        <x:v>5765</x:v>
      </x:c>
      <x:c r="X494" s="8" t="s">
        <x:v>66</x:v>
      </x:c>
      <x:c r="Y494" s="1" t="str">
        <x:v>Проверено автором; дополнительно проверено Михаилом Саяпиным</x:v>
      </x:c>
      <x:c r="Z494" s="8"/>
      <x:c r="AA494" s="1" t="s">
        <x:v>4908</x:v>
      </x:c>
      <x:c r="AB494" s="13">
        <x:v>2017</x:v>
      </x:c>
      <x:c r="AC494" s="3"/>
      <x:c r="AD494" s="8" t="s">
        <x:v>93</x:v>
      </x:c>
      <x:c r="AE494" s="1"/>
      <x:c r="AF494" s="8" t="s">
        <x:v>118</x:v>
      </x:c>
      <x:c r="AG494" s="1" t="s">
        <x:v>4909</x:v>
      </x:c>
      <x:c r="AH494" s="8" t="s">
        <x:v>144</x:v>
      </x:c>
      <x:c r="AI494" s="1" t="s">
        <x:v>145</x:v>
      </x:c>
      <x:c r="AJ494" s="17">
        <x:v>46323</x:v>
      </x:c>
      <x:c r="AK494" s="1" t="s">
        <x:v>4910</x:v>
      </x:c>
      <x:c r="AL494" s="8" t="s">
        <x:v>4911</x:v>
      </x:c>
      <x:c r="AM494" s="1" t="s">
        <x:v>5747</x:v>
      </x:c>
      <x:c r="AN494" s="8" t="s">
        <x:v>95</x:v>
      </x:c>
      <x:c r="AO494" s="1"/>
      <x:c r="AP494" s="8"/>
      <x:c r="AQ494" s="1" t="s">
        <x:v>5766</x:v>
      </x:c>
      <x:c r="AR494" s="8" t="str">
        <x:v>Проверка автором исследования; дополнительная проверка Михаилом Саяпиным; согласование 28.10.2026</x:v>
      </x:c>
      <x:c r="AS494" s="1"/>
      <x:c r="AT494" s="8" t="s">
        <x:v>96</x:v>
      </x:c>
      <x:c r="AU494" s="1" t="s">
        <x:v>5684</x:v>
      </x:c>
      <x:c r="AV494" s="17"/>
      <x:c r="AW494" s="1"/>
      <x:c r="AX494" s="8" t="s">
        <x:v>146</x:v>
      </x:c>
      <x:c r="AY494" s="8" t="s">
        <x:v>5767</x:v>
      </x:c>
    </x:row>
    <x:row r="495" ht="69.94999694824219" customHeight="1">
      <x:c r="A495" s="1" t="s">
        <x:v>5768</x:v>
      </x:c>
      <x:c r="B495" s="8" t="s">
        <x:v>5769</x:v>
      </x:c>
      <x:c r="C495" s="1" t="s">
        <x:v>5770</x:v>
      </x:c>
      <x:c r="D495" s="8" t="s">
        <x:v>73</x:v>
      </x:c>
      <x:c r="E495" s="1" t="s">
        <x:v>76</x:v>
      </x:c>
      <x:c r="F495" s="8" t="s">
        <x:v>5771</x:v>
      </x:c>
      <x:c r="G495" s="1" t="s">
        <x:v>5772</x:v>
      </x:c>
      <x:c r="H495" s="8" t="s">
        <x:v>5773</x:v>
      </x:c>
      <x:c r="I495" s="4">
        <x:v>2013</x:v>
      </x:c>
      <x:c r="J495" s="8"/>
      <x:c r="K495" s="1" t="s">
        <x:v>416</x:v>
      </x:c>
      <x:c r="L495" s="8" t="s">
        <x:v>5774</x:v>
      </x:c>
      <x:c r="M495" s="1" t="s">
        <x:v>61</x:v>
      </x:c>
      <x:c r="N495" s="8"/>
      <x:c r="O495" s="1"/>
      <x:c r="P495" s="8"/>
      <x:c r="Q495" s="1"/>
      <x:c r="R495" s="8"/>
      <x:c r="S495" s="3"/>
      <x:c r="T495" s="8" t="s">
        <x:v>4905</x:v>
      </x:c>
      <x:c r="U495" s="1" t="s">
        <x:v>5745</x:v>
      </x:c>
      <x:c r="V495" s="13">
        <x:v>76</x:v>
      </x:c>
      <x:c r="W495" s="1" t="s">
        <x:v>5775</x:v>
      </x:c>
      <x:c r="X495" s="8" t="s">
        <x:v>66</x:v>
      </x:c>
      <x:c r="Y495" s="1" t="str">
        <x:v>Проверено автором исследования</x:v>
      </x:c>
      <x:c r="Z495" s="8"/>
      <x:c r="AA495" s="1" t="s">
        <x:v>4908</x:v>
      </x:c>
      <x:c r="AB495" s="13">
        <x:v>2017</x:v>
      </x:c>
      <x:c r="AC495" s="3"/>
      <x:c r="AD495" s="8" t="s">
        <x:v>93</x:v>
      </x:c>
      <x:c r="AE495" s="1"/>
      <x:c r="AF495" s="8" t="s">
        <x:v>118</x:v>
      </x:c>
      <x:c r="AG495" s="1" t="s">
        <x:v>4909</x:v>
      </x:c>
      <x:c r="AH495" s="8" t="str">
        <x:v>Краткая затекстовая ссылка; повторная документальная сверка выполнена</x:v>
      </x:c>
      <x:c r="AI495" s="1"/>
      <x:c r="AJ495" s="17"/>
      <x:c r="AK495" s="1" t="s">
        <x:v>4910</x:v>
      </x:c>
      <x:c r="AL495" s="8" t="s">
        <x:v>4911</x:v>
      </x:c>
      <x:c r="AM495" s="1" t="s">
        <x:v>5747</x:v>
      </x:c>
      <x:c r="AN495" s="8" t="s">
        <x:v>95</x:v>
      </x:c>
      <x:c r="AO495" s="1"/>
      <x:c r="AP495" s="8"/>
      <x:c r="AQ495" s="1" t="s">
        <x:v>5776</x:v>
      </x:c>
      <x:c r="AR495" s="8" t="str">
        <x:v>Проверка автором исследования</x:v>
      </x:c>
      <x:c r="AS495" s="1"/>
      <x:c r="AT495" s="8" t="s">
        <x:v>96</x:v>
      </x:c>
      <x:c r="AU495" s="1" t="s">
        <x:v>5684</x:v>
      </x:c>
      <x:c r="AV495" s="17"/>
      <x:c r="AW495" s="1"/>
      <x:c r="AX495" s="8" t="s">
        <x:v>82</x:v>
      </x:c>
      <x:c r="AY495" s="8"/>
    </x:row>
    <x:row r="496" ht="69.94999694824219" customHeight="1">
      <x:c r="A496" s="1" t="s">
        <x:v>5777</x:v>
      </x:c>
      <x:c r="B496" s="8" t="s">
        <x:v>5778</x:v>
      </x:c>
      <x:c r="C496" s="1" t="s">
        <x:v>5779</x:v>
      </x:c>
      <x:c r="D496" s="8" t="s">
        <x:v>86</x:v>
      </x:c>
      <x:c r="E496" s="1" t="s">
        <x:v>76</x:v>
      </x:c>
      <x:c r="F496" s="8" t="s">
        <x:v>5780</x:v>
      </x:c>
      <x:c r="G496" s="1" t="s">
        <x:v>5781</x:v>
      </x:c>
      <x:c r="H496" s="8"/>
      <x:c r="I496" s="4">
        <x:v>2014</x:v>
      </x:c>
      <x:c r="J496" s="8"/>
      <x:c r="K496" s="1"/>
      <x:c r="L496" s="8" t="s">
        <x:v>5782</x:v>
      </x:c>
      <x:c r="M496" s="1" t="s">
        <x:v>90</x:v>
      </x:c>
      <x:c r="N496" s="8" t="s">
        <x:v>5783</x:v>
      </x:c>
      <x:c r="O496" s="1" t="s">
        <x:v>5224</x:v>
      </x:c>
      <x:c r="P496" s="8"/>
      <x:c r="Q496" s="1"/>
      <x:c r="R496" s="8"/>
      <x:c r="S496" s="3"/>
      <x:c r="T496" s="8" t="s">
        <x:v>4905</x:v>
      </x:c>
      <x:c r="U496" s="1" t="s">
        <x:v>5745</x:v>
      </x:c>
      <x:c r="V496" s="13">
        <x:v>79</x:v>
      </x:c>
      <x:c r="W496" s="1" t="s">
        <x:v>5784</x:v>
      </x:c>
      <x:c r="X496" s="8" t="s">
        <x:v>66</x:v>
      </x:c>
      <x:c r="Y496" s="1" t="str">
        <x:v>Проверено автором; дополнительно проверено Михаилом Саяпиным</x:v>
      </x:c>
      <x:c r="Z496" s="8"/>
      <x:c r="AA496" s="1" t="s">
        <x:v>4908</x:v>
      </x:c>
      <x:c r="AB496" s="13">
        <x:v>2017</x:v>
      </x:c>
      <x:c r="AC496" s="3"/>
      <x:c r="AD496" s="8" t="s">
        <x:v>93</x:v>
      </x:c>
      <x:c r="AE496" s="1"/>
      <x:c r="AF496" s="8" t="s">
        <x:v>118</x:v>
      </x:c>
      <x:c r="AG496" s="1" t="s">
        <x:v>4909</x:v>
      </x:c>
      <x:c r="AH496" s="8" t="s">
        <x:v>144</x:v>
      </x:c>
      <x:c r="AI496" s="1" t="s">
        <x:v>145</x:v>
      </x:c>
      <x:c r="AJ496" s="17">
        <x:v>46323</x:v>
      </x:c>
      <x:c r="AK496" s="1" t="s">
        <x:v>4910</x:v>
      </x:c>
      <x:c r="AL496" s="8" t="s">
        <x:v>4911</x:v>
      </x:c>
      <x:c r="AM496" s="1" t="s">
        <x:v>5747</x:v>
      </x:c>
      <x:c r="AN496" s="8" t="s">
        <x:v>95</x:v>
      </x:c>
      <x:c r="AO496" s="1"/>
      <x:c r="AP496" s="8" t="s">
        <x:v>5785</x:v>
      </x:c>
      <x:c r="AQ496" s="1" t="s">
        <x:v>5786</x:v>
      </x:c>
      <x:c r="AR496" s="8" t="str">
        <x:v>Проверка автором исследования; дополнительная проверка Михаилом Саяпиным; согласование 28.10.2026</x:v>
      </x:c>
      <x:c r="AS496" s="1"/>
      <x:c r="AT496" s="8" t="s">
        <x:v>96</x:v>
      </x:c>
      <x:c r="AU496" s="1" t="s">
        <x:v>5684</x:v>
      </x:c>
      <x:c r="AV496" s="17"/>
      <x:c r="AW496" s="1"/>
      <x:c r="AX496" s="8" t="s">
        <x:v>146</x:v>
      </x:c>
      <x:c r="AY496" s="8" t="s">
        <x:v>5787</x:v>
      </x:c>
    </x:row>
    <x:row r="497" ht="69.94999694824219" customHeight="1">
      <x:c r="A497" s="1" t="s">
        <x:v>5788</x:v>
      </x:c>
      <x:c r="B497" s="8" t="s">
        <x:v>5789</x:v>
      </x:c>
      <x:c r="C497" s="1" t="s">
        <x:v>5790</x:v>
      </x:c>
      <x:c r="D497" s="8" t="s">
        <x:v>73</x:v>
      </x:c>
      <x:c r="E497" s="1" t="s">
        <x:v>76</x:v>
      </x:c>
      <x:c r="F497" s="8" t="s">
        <x:v>4997</x:v>
      </x:c>
      <x:c r="G497" s="1" t="s">
        <x:v>5791</x:v>
      </x:c>
      <x:c r="H497" s="8" t="s">
        <x:v>5792</x:v>
      </x:c>
      <x:c r="I497" s="4">
        <x:v>2009</x:v>
      </x:c>
      <x:c r="J497" s="8"/>
      <x:c r="K497" s="1" t="s">
        <x:v>239</x:v>
      </x:c>
      <x:c r="L497" s="8" t="s">
        <x:v>5793</x:v>
      </x:c>
      <x:c r="M497" s="1" t="s">
        <x:v>61</x:v>
      </x:c>
      <x:c r="N497" s="8"/>
      <x:c r="O497" s="1"/>
      <x:c r="P497" s="8"/>
      <x:c r="Q497" s="1"/>
      <x:c r="R497" s="8"/>
      <x:c r="S497" s="3"/>
      <x:c r="T497" s="8" t="s">
        <x:v>4905</x:v>
      </x:c>
      <x:c r="U497" s="1" t="s">
        <x:v>5745</x:v>
      </x:c>
      <x:c r="V497" s="13">
        <x:v>80</x:v>
      </x:c>
      <x:c r="W497" s="1" t="s">
        <x:v>5701</x:v>
      </x:c>
      <x:c r="X497" s="8" t="s">
        <x:v>66</x:v>
      </x:c>
      <x:c r="Y497" s="1" t="str">
        <x:v>Проверено автором; дополнительно проверено Михаилом Саяпиным</x:v>
      </x:c>
      <x:c r="Z497" s="8"/>
      <x:c r="AA497" s="1" t="s">
        <x:v>4908</x:v>
      </x:c>
      <x:c r="AB497" s="13">
        <x:v>2017</x:v>
      </x:c>
      <x:c r="AC497" s="3"/>
      <x:c r="AD497" s="8" t="s">
        <x:v>93</x:v>
      </x:c>
      <x:c r="AE497" s="1"/>
      <x:c r="AF497" s="8" t="s">
        <x:v>118</x:v>
      </x:c>
      <x:c r="AG497" s="1" t="s">
        <x:v>4909</x:v>
      </x:c>
      <x:c r="AH497" s="8" t="s">
        <x:v>144</x:v>
      </x:c>
      <x:c r="AI497" s="1" t="s">
        <x:v>145</x:v>
      </x:c>
      <x:c r="AJ497" s="17">
        <x:v>46323</x:v>
      </x:c>
      <x:c r="AK497" s="1" t="s">
        <x:v>4910</x:v>
      </x:c>
      <x:c r="AL497" s="8" t="s">
        <x:v>4911</x:v>
      </x:c>
      <x:c r="AM497" s="1" t="s">
        <x:v>5747</x:v>
      </x:c>
      <x:c r="AN497" s="8" t="s">
        <x:v>95</x:v>
      </x:c>
      <x:c r="AO497" s="1"/>
      <x:c r="AP497" s="8"/>
      <x:c r="AQ497" s="1" t="s">
        <x:v>5794</x:v>
      </x:c>
      <x:c r="AR497" s="8" t="str">
        <x:v>Проверка автором исследования; дополнительная проверка Михаилом Саяпиным; согласование 28.10.2026</x:v>
      </x:c>
      <x:c r="AS497" s="1"/>
      <x:c r="AT497" s="8" t="s">
        <x:v>96</x:v>
      </x:c>
      <x:c r="AU497" s="1" t="s">
        <x:v>5684</x:v>
      </x:c>
      <x:c r="AV497" s="17"/>
      <x:c r="AW497" s="1"/>
      <x:c r="AX497" s="8" t="s">
        <x:v>146</x:v>
      </x:c>
      <x:c r="AY497" s="8" t="s">
        <x:v>5795</x:v>
      </x:c>
    </x:row>
    <x:row r="498" ht="69.94999694824219" customHeight="1">
      <x:c r="A498" s="1" t="s">
        <x:v>5796</x:v>
      </x:c>
      <x:c r="B498" s="8" t="s">
        <x:v>5797</x:v>
      </x:c>
      <x:c r="C498" s="1" t="s">
        <x:v>5798</x:v>
      </x:c>
      <x:c r="D498" s="8" t="s">
        <x:v>86</x:v>
      </x:c>
      <x:c r="E498" s="1" t="s">
        <x:v>76</x:v>
      </x:c>
      <x:c r="F498" s="8" t="s">
        <x:v>5799</x:v>
      </x:c>
      <x:c r="G498" s="1" t="s">
        <x:v>5800</x:v>
      </x:c>
      <x:c r="H498" s="8"/>
      <x:c r="I498" s="4">
        <x:v>2015</x:v>
      </x:c>
      <x:c r="J498" s="8"/>
      <x:c r="K498" s="1"/>
      <x:c r="L498" s="8" t="s">
        <x:v>5801</x:v>
      </x:c>
      <x:c r="M498" s="1" t="s">
        <x:v>90</x:v>
      </x:c>
      <x:c r="N498" s="8" t="s">
        <x:v>5802</x:v>
      </x:c>
      <x:c r="O498" s="1" t="s">
        <x:v>1122</x:v>
      </x:c>
      <x:c r="P498" s="8" t="s">
        <x:v>5803</x:v>
      </x:c>
      <x:c r="Q498" s="1"/>
      <x:c r="R498" s="8"/>
      <x:c r="S498" s="3"/>
      <x:c r="T498" s="8" t="s">
        <x:v>4905</x:v>
      </x:c>
      <x:c r="U498" s="1" t="s">
        <x:v>5804</x:v>
      </x:c>
      <x:c r="V498" s="13">
        <x:v>111</x:v>
      </x:c>
      <x:c r="W498" s="1" t="s">
        <x:v>5805</x:v>
      </x:c>
      <x:c r="X498" s="8" t="s">
        <x:v>66</x:v>
      </x:c>
      <x:c r="Y498" s="1" t="str">
        <x:v>Проверено автором; дополнительно проверено Михаилом Саяпиным</x:v>
      </x:c>
      <x:c r="Z498" s="8"/>
      <x:c r="AA498" s="1" t="s">
        <x:v>4908</x:v>
      </x:c>
      <x:c r="AB498" s="13">
        <x:v>2017</x:v>
      </x:c>
      <x:c r="AC498" s="3"/>
      <x:c r="AD498" s="8" t="s">
        <x:v>93</x:v>
      </x:c>
      <x:c r="AE498" s="1"/>
      <x:c r="AF498" s="8" t="s">
        <x:v>118</x:v>
      </x:c>
      <x:c r="AG498" s="1" t="s">
        <x:v>4909</x:v>
      </x:c>
      <x:c r="AH498" s="8" t="s">
        <x:v>144</x:v>
      </x:c>
      <x:c r="AI498" s="1" t="s">
        <x:v>145</x:v>
      </x:c>
      <x:c r="AJ498" s="17">
        <x:v>46323</x:v>
      </x:c>
      <x:c r="AK498" s="1" t="s">
        <x:v>4910</x:v>
      </x:c>
      <x:c r="AL498" s="8" t="s">
        <x:v>4911</x:v>
      </x:c>
      <x:c r="AM498" s="1" t="s">
        <x:v>1915</x:v>
      </x:c>
      <x:c r="AN498" s="8" t="s">
        <x:v>95</x:v>
      </x:c>
      <x:c r="AO498" s="1"/>
      <x:c r="AP498" s="8"/>
      <x:c r="AQ498" s="1" t="s">
        <x:v>5806</x:v>
      </x:c>
      <x:c r="AR498" s="8" t="str">
        <x:v>Проверка автором исследования; дополнительная проверка Михаилом Саяпиным; согласование 28.10.2026</x:v>
      </x:c>
      <x:c r="AS498" s="1"/>
      <x:c r="AT498" s="8" t="s">
        <x:v>96</x:v>
      </x:c>
      <x:c r="AU498" s="1" t="s">
        <x:v>5684</x:v>
      </x:c>
      <x:c r="AV498" s="17"/>
      <x:c r="AW498" s="1"/>
      <x:c r="AX498" s="8" t="s">
        <x:v>146</x:v>
      </x:c>
      <x:c r="AY498" s="8" t="s">
        <x:v>5807</x:v>
      </x:c>
    </x:row>
    <x:row r="499" ht="69.94999694824219" customHeight="1">
      <x:c r="A499" s="1" t="s">
        <x:v>5808</x:v>
      </x:c>
      <x:c r="B499" s="8" t="s">
        <x:v>5809</x:v>
      </x:c>
      <x:c r="C499" s="1" t="s">
        <x:v>5810</x:v>
      </x:c>
      <x:c r="D499" s="8" t="s">
        <x:v>1368</x:v>
      </x:c>
      <x:c r="E499" s="1" t="s">
        <x:v>76</x:v>
      </x:c>
      <x:c r="F499" s="8" t="s">
        <x:v>5811</x:v>
      </x:c>
      <x:c r="G499" s="1" t="s">
        <x:v>5812</x:v>
      </x:c>
      <x:c r="H499" s="8" t="s">
        <x:v>5813</x:v>
      </x:c>
      <x:c r="I499" s="4">
        <x:v>2015</x:v>
      </x:c>
      <x:c r="J499" s="8" t="s">
        <x:v>239</x:v>
      </x:c>
      <x:c r="K499" s="1" t="s">
        <x:v>3244</x:v>
      </x:c>
      <x:c r="L499" s="8" t="s">
        <x:v>5814</x:v>
      </x:c>
      <x:c r="M499" s="1" t="s">
        <x:v>61</x:v>
      </x:c>
      <x:c r="N499" s="8"/>
      <x:c r="O499" s="1"/>
      <x:c r="P499" s="8"/>
      <x:c r="Q499" s="1"/>
      <x:c r="R499" s="8"/>
      <x:c r="S499" s="3"/>
      <x:c r="T499" s="8" t="s">
        <x:v>4905</x:v>
      </x:c>
      <x:c r="U499" s="1" t="s">
        <x:v>5804</x:v>
      </x:c>
      <x:c r="V499" s="13">
        <x:v>117</x:v>
      </x:c>
      <x:c r="W499" s="1" t="s">
        <x:v>5815</x:v>
      </x:c>
      <x:c r="X499" s="8" t="s">
        <x:v>66</x:v>
      </x:c>
      <x:c r="Y499" s="1" t="str">
        <x:v>Проверено автором; дополнительно проверено Михаилом Саяпиным</x:v>
      </x:c>
      <x:c r="Z499" s="8"/>
      <x:c r="AA499" s="1" t="s">
        <x:v>4908</x:v>
      </x:c>
      <x:c r="AB499" s="13">
        <x:v>2017</x:v>
      </x:c>
      <x:c r="AC499" s="3"/>
      <x:c r="AD499" s="8" t="s">
        <x:v>93</x:v>
      </x:c>
      <x:c r="AE499" s="1"/>
      <x:c r="AF499" s="8" t="s">
        <x:v>118</x:v>
      </x:c>
      <x:c r="AG499" s="1" t="s">
        <x:v>4909</x:v>
      </x:c>
      <x:c r="AH499" s="8" t="s">
        <x:v>1375</x:v>
      </x:c>
      <x:c r="AI499" s="1" t="s">
        <x:v>145</x:v>
      </x:c>
      <x:c r="AJ499" s="17">
        <x:v>46323</x:v>
      </x:c>
      <x:c r="AK499" s="1" t="s">
        <x:v>4910</x:v>
      </x:c>
      <x:c r="AL499" s="8" t="s">
        <x:v>4911</x:v>
      </x:c>
      <x:c r="AM499" s="1" t="s">
        <x:v>1915</x:v>
      </x:c>
      <x:c r="AN499" s="8" t="s">
        <x:v>95</x:v>
      </x:c>
      <x:c r="AO499" s="1"/>
      <x:c r="AP499" s="8"/>
      <x:c r="AQ499" s="1" t="s">
        <x:v>5816</x:v>
      </x:c>
      <x:c r="AR499" s="8" t="str">
        <x:v>Проверка автором исследования; дополнительная проверка Михаилом Саяпиным; согласование 28.10.2026</x:v>
      </x:c>
      <x:c r="AS499" s="1"/>
      <x:c r="AT499" s="8" t="s">
        <x:v>96</x:v>
      </x:c>
      <x:c r="AU499" s="1" t="s">
        <x:v>5684</x:v>
      </x:c>
      <x:c r="AV499" s="17"/>
      <x:c r="AW499" s="1"/>
      <x:c r="AX499" s="8" t="s">
        <x:v>146</x:v>
      </x:c>
      <x:c r="AY499" s="8" t="s">
        <x:v>5817</x:v>
      </x:c>
    </x:row>
    <x:row r="500" ht="69.94999694824219" customHeight="1">
      <x:c r="A500" s="1" t="s">
        <x:v>5818</x:v>
      </x:c>
      <x:c r="B500" s="8" t="s">
        <x:v>5819</x:v>
      </x:c>
      <x:c r="C500" s="1" t="s">
        <x:v>5820</x:v>
      </x:c>
      <x:c r="D500" s="8" t="s">
        <x:v>73</x:v>
      </x:c>
      <x:c r="E500" s="1" t="s">
        <x:v>76</x:v>
      </x:c>
      <x:c r="F500" s="8" t="s">
        <x:v>5391</x:v>
      </x:c>
      <x:c r="G500" s="1" t="s">
        <x:v>5821</x:v>
      </x:c>
      <x:c r="H500" s="8" t="s">
        <x:v>5822</x:v>
      </x:c>
      <x:c r="I500" s="4">
        <x:v>2018</x:v>
      </x:c>
      <x:c r="J500" s="8"/>
      <x:c r="K500" s="1" t="s">
        <x:v>5823</x:v>
      </x:c>
      <x:c r="L500" s="8" t="s">
        <x:v>5824</x:v>
      </x:c>
      <x:c r="M500" s="1" t="s">
        <x:v>61</x:v>
      </x:c>
      <x:c r="N500" s="8"/>
      <x:c r="O500" s="1"/>
      <x:c r="P500" s="8"/>
      <x:c r="Q500" s="1"/>
      <x:c r="R500" s="8"/>
      <x:c r="S500" s="3"/>
      <x:c r="T500" s="8" t="s">
        <x:v>4905</x:v>
      </x:c>
      <x:c r="U500" s="1" t="s">
        <x:v>5664</x:v>
      </x:c>
      <x:c r="V500" s="13">
        <x:v>126</x:v>
      </x:c>
      <x:c r="W500" s="1" t="s">
        <x:v>5701</x:v>
      </x:c>
      <x:c r="X500" s="8" t="s">
        <x:v>66</x:v>
      </x:c>
      <x:c r="Y500" s="1" t="str">
        <x:v>Проверено автором; дополнительно проверено Михаилом Саяпиным</x:v>
      </x:c>
      <x:c r="Z500" s="8"/>
      <x:c r="AA500" s="1" t="s">
        <x:v>5323</x:v>
      </x:c>
      <x:c r="AB500" s="13">
        <x:v>2023</x:v>
      </x:c>
      <x:c r="AC500" s="3"/>
      <x:c r="AD500" s="8" t="s">
        <x:v>93</x:v>
      </x:c>
      <x:c r="AE500" s="1"/>
      <x:c r="AF500" s="8" t="s">
        <x:v>118</x:v>
      </x:c>
      <x:c r="AG500" s="1" t="s">
        <x:v>5324</x:v>
      </x:c>
      <x:c r="AH500" s="8" t="s">
        <x:v>144</x:v>
      </x:c>
      <x:c r="AI500" s="1" t="s">
        <x:v>145</x:v>
      </x:c>
      <x:c r="AJ500" s="17">
        <x:v>46323</x:v>
      </x:c>
      <x:c r="AK500" s="1" t="s">
        <x:v>5325</x:v>
      </x:c>
      <x:c r="AL500" s="8" t="s">
        <x:v>5326</x:v>
      </x:c>
      <x:c r="AM500" s="1" t="s">
        <x:v>5665</x:v>
      </x:c>
      <x:c r="AN500" s="8" t="s">
        <x:v>95</x:v>
      </x:c>
      <x:c r="AO500" s="1"/>
      <x:c r="AP500" s="8"/>
      <x:c r="AQ500" s="1" t="s">
        <x:v>5825</x:v>
      </x:c>
      <x:c r="AR500" s="8" t="str">
        <x:v>Проверка автором исследования; дополнительная проверка Михаилом Саяпиным; согласование 28.10.2026</x:v>
      </x:c>
      <x:c r="AS500" s="1"/>
      <x:c r="AT500" s="8" t="s">
        <x:v>96</x:v>
      </x:c>
      <x:c r="AU500" s="1" t="s">
        <x:v>5684</x:v>
      </x:c>
      <x:c r="AV500" s="17"/>
      <x:c r="AW500" s="1"/>
      <x:c r="AX500" s="8" t="s">
        <x:v>146</x:v>
      </x:c>
      <x:c r="AY500" s="8" t="s">
        <x:v>5826</x:v>
      </x:c>
    </x:row>
    <x:row r="501" ht="69.94999694824219" customHeight="1">
      <x:c r="A501" s="1" t="s">
        <x:v>5827</x:v>
      </x:c>
      <x:c r="B501" s="9" t="s">
        <x:v>5828</x:v>
      </x:c>
      <x:c r="C501" s="1" t="s">
        <x:v>5829</x:v>
      </x:c>
      <x:c r="D501" s="9" t="s">
        <x:v>73</x:v>
      </x:c>
      <x:c r="E501" s="1" t="s">
        <x:v>76</x:v>
      </x:c>
      <x:c r="F501" s="9" t="s">
        <x:v>5830</x:v>
      </x:c>
      <x:c r="G501" s="1" t="s">
        <x:v>5831</x:v>
      </x:c>
      <x:c r="H501" s="9" t="s">
        <x:v>5832</x:v>
      </x:c>
      <x:c r="I501" s="4">
        <x:v>2022</x:v>
      </x:c>
      <x:c r="J501" s="9"/>
      <x:c r="K501" s="1" t="s">
        <x:v>5833</x:v>
      </x:c>
      <x:c r="L501" s="9" t="s">
        <x:v>5834</x:v>
      </x:c>
      <x:c r="M501" s="1" t="s">
        <x:v>61</x:v>
      </x:c>
      <x:c r="N501" s="9"/>
      <x:c r="O501" s="1"/>
      <x:c r="P501" s="9"/>
      <x:c r="Q501" s="1"/>
      <x:c r="R501" s="9"/>
      <x:c r="S501" s="3"/>
      <x:c r="T501" s="9" t="s">
        <x:v>4905</x:v>
      </x:c>
      <x:c r="U501" s="1" t="s">
        <x:v>5664</x:v>
      </x:c>
      <x:c r="V501" s="14">
        <x:v>131</x:v>
      </x:c>
      <x:c r="W501" s="1" t="s">
        <x:v>5835</x:v>
      </x:c>
      <x:c r="X501" s="9" t="s">
        <x:v>66</x:v>
      </x:c>
      <x:c r="Y501" s="1" t="str">
        <x:v>Проверено автором; дополнительно проверено Михаилом Саяпиным</x:v>
      </x:c>
      <x:c r="Z501" s="9"/>
      <x:c r="AA501" s="1" t="s">
        <x:v>5323</x:v>
      </x:c>
      <x:c r="AB501" s="14">
        <x:v>2023</x:v>
      </x:c>
      <x:c r="AC501" s="3"/>
      <x:c r="AD501" s="9" t="s">
        <x:v>93</x:v>
      </x:c>
      <x:c r="AE501" s="1"/>
      <x:c r="AF501" s="9" t="s">
        <x:v>118</x:v>
      </x:c>
      <x:c r="AG501" s="1" t="s">
        <x:v>5324</x:v>
      </x:c>
      <x:c r="AH501" s="9" t="s">
        <x:v>144</x:v>
      </x:c>
      <x:c r="AI501" s="1" t="s">
        <x:v>145</x:v>
      </x:c>
      <x:c r="AJ501" s="18">
        <x:v>46323</x:v>
      </x:c>
      <x:c r="AK501" s="1" t="s">
        <x:v>5325</x:v>
      </x:c>
      <x:c r="AL501" s="9" t="s">
        <x:v>5326</x:v>
      </x:c>
      <x:c r="AM501" s="1" t="s">
        <x:v>5665</x:v>
      </x:c>
      <x:c r="AN501" s="9" t="s">
        <x:v>95</x:v>
      </x:c>
      <x:c r="AO501" s="1"/>
      <x:c r="AP501" s="9"/>
      <x:c r="AQ501" s="1" t="s">
        <x:v>5836</x:v>
      </x:c>
      <x:c r="AR501" s="9" t="str">
        <x:v>Проверка автором исследования; дополнительная проверка Михаилом Саяпиным; согласование 28.10.2026</x:v>
      </x:c>
      <x:c r="AS501" s="1"/>
      <x:c r="AT501" s="9" t="s">
        <x:v>96</x:v>
      </x:c>
      <x:c r="AU501" s="1" t="s">
        <x:v>5684</x:v>
      </x:c>
      <x:c r="AV501" s="18"/>
      <x:c r="AW501" s="1"/>
      <x:c r="AX501" s="9" t="s">
        <x:v>146</x:v>
      </x:c>
      <x:c r="AY501" s="9" t="s">
        <x:v>5837</x:v>
      </x:c>
    </x:row>
  </x:sheetData>
  <x:dataValidations count="2">
    <x:dataValidation type="list" sqref="Y2:Y501">
      <x:formula1>"Проверено автором исследования,Проверено автором; дополнительно проверено Михаилом Саяпиным"</x:formula1>
    </x:dataValidation>
    <x:dataValidation type="list" sqref="AF2:AF501">
      <x:formula1>"dev,test"</x:formula1>
    </x:dataValidation>
  </x:dataValidations>
  <x:pageMargins left="0.7" right="0.7" top="0.75" bottom="0.75" header="0.3" footer="0.3"/>
  <x:tableParts count="1">
    <x:tablePart xmlns:r="http://schemas.openxmlformats.org/officeDocument/2006/relationships" r:id="R6480524258c54dd4"/>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4.25"/>
  <x:cols>
    <x:col min="1" max="1" width="13.375" customWidth="1"/>
    <x:col min="2" max="2" width="25" style="22" customWidth="1"/>
    <x:col min="3" max="3" width="75" customWidth="1"/>
    <x:col min="4" max="4" width="16" customWidth="1"/>
    <x:col min="5" max="5" width="18" customWidth="1"/>
    <x:col min="6" max="6" width="70" customWidth="1"/>
    <x:col min="7" max="7" width="85" customWidth="1"/>
    <x:col min="8" max="8" width="26" customWidth="1"/>
    <x:col min="9" max="9" width="85" customWidth="1"/>
    <x:col min="10" max="10" width="89.25" customWidth="1"/>
    <x:col min="11" max="11" width="95" customWidth="1"/>
    <x:col min="12" max="12" width="55" customWidth="1"/>
    <x:col min="13" max="13" width="20" customWidth="1"/>
    <x:col min="14" max="14" width="65" customWidth="1"/>
  </x:cols>
  <x:sheetData>
    <x:row r="1" ht="63.95000076293945" customHeight="1">
      <x:c r="A1" s="2" t="s">
        <x:v>0</x:v>
      </x:c>
      <x:c r="B1" s="21" t="s">
        <x:v>5838</x:v>
      </x:c>
      <x:c r="C1" s="2" t="s">
        <x:v>5839</x:v>
      </x:c>
      <x:c r="D1" s="2" t="s">
        <x:v>5840</x:v>
      </x:c>
      <x:c r="E1" s="2" t="s">
        <x:v>37</x:v>
      </x:c>
      <x:c r="F1" s="2" t="s">
        <x:v>5841</x:v>
      </x:c>
      <x:c r="G1" s="2" t="s">
        <x:v>5842</x:v>
      </x:c>
      <x:c r="H1" s="7" t="s">
        <x:v>5843</x:v>
      </x:c>
      <x:c r="I1" s="2" t="s">
        <x:v>5844</x:v>
      </x:c>
      <x:c r="J1" s="7" t="s">
        <x:v>5845</x:v>
      </x:c>
      <x:c r="K1" s="2" t="s">
        <x:v>5846</x:v>
      </x:c>
      <x:c r="L1" s="7" t="s">
        <x:v>5847</x:v>
      </x:c>
      <x:c r="M1" s="2" t="s">
        <x:v>5848</x:v>
      </x:c>
      <x:c r="N1" s="11" t="s">
        <x:v>5849</x:v>
      </x:c>
    </x:row>
    <x:row r="2" ht="75.94999694824219" customHeight="1">
      <x:c r="A2" s="1" t="s">
        <x:v>4886</x:v>
      </x:c>
      <x:c r="B2" s="10" t="s">
        <x:v>73</x:v>
      </x:c>
      <x:c r="C2" s="1" t="s">
        <x:v>4893</x:v>
      </x:c>
      <x:c r="D2" s="10">
        <x:v>28</x:v>
      </x:c>
      <x:c r="E2" s="1"/>
      <x:c r="F2" s="10" t="s">
        <x:v>77</x:v>
      </x:c>
      <x:c r="G2" s="1" t="s">
        <x:v>5850</x:v>
      </x:c>
      <x:c r="H2" s="8" t="s">
        <x:v>76</x:v>
      </x:c>
      <x:c r="I2" s="1" t="s">
        <x:v>95</x:v>
      </x:c>
      <x:c r="J2" s="8" t="s">
        <x:v>4897</x:v>
      </x:c>
      <x:c r="K2" s="1" t="s">
        <x:v>5851</x:v>
      </x:c>
      <x:c r="L2" s="8" t="s">
        <x:v>5852</x:v>
      </x:c>
      <x:c r="M2" s="3">
        <x:v>46323</x:v>
      </x:c>
      <x:c r="N2" s="10" t="s">
        <x:v>5853</x:v>
      </x:c>
    </x:row>
    <x:row r="3" ht="75.94999694824219" customHeight="1">
      <x:c r="A3" s="1" t="s">
        <x:v>2631</x:v>
      </x:c>
      <x:c r="B3" s="8" t="s">
        <x:v>73</x:v>
      </x:c>
      <x:c r="C3" s="1" t="s">
        <x:v>2639</x:v>
      </x:c>
      <x:c r="D3" s="8">
        <x:v>21</x:v>
      </x:c>
      <x:c r="E3" s="1"/>
      <x:c r="F3" s="8" t="s">
        <x:v>77</x:v>
      </x:c>
      <x:c r="G3" s="1" t="s">
        <x:v>5850</x:v>
      </x:c>
      <x:c r="H3" s="8" t="s">
        <x:v>76</x:v>
      </x:c>
      <x:c r="I3" s="1" t="s">
        <x:v>95</x:v>
      </x:c>
      <x:c r="J3" s="8" t="s">
        <x:v>2644</x:v>
      </x:c>
      <x:c r="K3" s="1" t="s">
        <x:v>5851</x:v>
      </x:c>
      <x:c r="L3" s="8" t="s">
        <x:v>5852</x:v>
      </x:c>
      <x:c r="M3" s="3">
        <x:v>46323</x:v>
      </x:c>
      <x:c r="N3" s="8" t="s">
        <x:v>5853</x:v>
      </x:c>
    </x:row>
    <x:row r="4" ht="75.94999694824219" customHeight="1">
      <x:c r="A4" s="1" t="s">
        <x:v>5135</x:v>
      </x:c>
      <x:c r="B4" s="8" t="s">
        <x:v>4910</x:v>
      </x:c>
      <x:c r="C4" s="1" t="s">
        <x:v>5104</x:v>
      </x:c>
      <x:c r="D4" s="8">
        <x:v>36</x:v>
      </x:c>
      <x:c r="E4" s="1" t="s">
        <x:v>5106</x:v>
      </x:c>
      <x:c r="F4" s="8" t="s">
        <x:v>5142</x:v>
      </x:c>
      <x:c r="G4" s="1" t="s">
        <x:v>5850</x:v>
      </x:c>
      <x:c r="H4" s="8" t="s">
        <x:v>76</x:v>
      </x:c>
      <x:c r="I4" s="1" t="s">
        <x:v>95</x:v>
      </x:c>
      <x:c r="J4" s="8" t="s">
        <x:v>5143</x:v>
      </x:c>
      <x:c r="K4" s="1" t="s">
        <x:v>5851</x:v>
      </x:c>
      <x:c r="L4" s="8" t="s">
        <x:v>5852</x:v>
      </x:c>
      <x:c r="M4" s="3">
        <x:v>46323</x:v>
      </x:c>
      <x:c r="N4" s="8" t="s">
        <x:v>5853</x:v>
      </x:c>
    </x:row>
    <x:row r="5" ht="75.94999694824219" customHeight="1">
      <x:c r="A5" s="1" t="s">
        <x:v>1739</x:v>
      </x:c>
      <x:c r="B5" s="8" t="s">
        <x:v>73</x:v>
      </x:c>
      <x:c r="C5" s="1" t="s">
        <x:v>1698</x:v>
      </x:c>
      <x:c r="D5" s="8">
        <x:v>22</x:v>
      </x:c>
      <x:c r="E5" s="1"/>
      <x:c r="F5" s="8" t="s">
        <x:v>77</x:v>
      </x:c>
      <x:c r="G5" s="1" t="s">
        <x:v>5850</x:v>
      </x:c>
      <x:c r="H5" s="8" t="s">
        <x:v>76</x:v>
      </x:c>
      <x:c r="I5" s="1" t="s">
        <x:v>95</x:v>
      </x:c>
      <x:c r="J5" s="8" t="s">
        <x:v>1746</x:v>
      </x:c>
      <x:c r="K5" s="1" t="s">
        <x:v>5851</x:v>
      </x:c>
      <x:c r="L5" s="8" t="s">
        <x:v>5852</x:v>
      </x:c>
      <x:c r="M5" s="3">
        <x:v>46323</x:v>
      </x:c>
      <x:c r="N5" s="8" t="s">
        <x:v>5853</x:v>
      </x:c>
    </x:row>
    <x:row r="6" ht="75.94999694824219" customHeight="1">
      <x:c r="A6" s="1" t="s">
        <x:v>5760</x:v>
      </x:c>
      <x:c r="B6" s="8" t="s">
        <x:v>4910</x:v>
      </x:c>
      <x:c r="C6" s="1" t="s">
        <x:v>5745</x:v>
      </x:c>
      <x:c r="D6" s="8">
        <x:v>74</x:v>
      </x:c>
      <x:c r="E6" s="1" t="s">
        <x:v>5747</x:v>
      </x:c>
      <x:c r="F6" s="8" t="s">
        <x:v>5766</x:v>
      </x:c>
      <x:c r="G6" s="1" t="s">
        <x:v>5850</x:v>
      </x:c>
      <x:c r="H6" s="8" t="s">
        <x:v>76</x:v>
      </x:c>
      <x:c r="I6" s="1" t="s">
        <x:v>95</x:v>
      </x:c>
      <x:c r="J6" s="8" t="s">
        <x:v>5767</x:v>
      </x:c>
      <x:c r="K6" s="1" t="s">
        <x:v>5854</x:v>
      </x:c>
      <x:c r="L6" s="8" t="s">
        <x:v>5852</x:v>
      </x:c>
      <x:c r="M6" s="3">
        <x:v>46323</x:v>
      </x:c>
      <x:c r="N6" s="8" t="s">
        <x:v>5853</x:v>
      </x:c>
    </x:row>
    <x:row r="7" ht="75.94999694824219" customHeight="1">
      <x:c r="A7" s="1" t="s">
        <x:v>610</x:v>
      </x:c>
      <x:c r="B7" s="8" t="s">
        <x:v>73</x:v>
      </x:c>
      <x:c r="C7" s="1" t="s">
        <x:v>605</x:v>
      </x:c>
      <x:c r="D7" s="8">
        <x:v>3</x:v>
      </x:c>
      <x:c r="E7" s="1"/>
      <x:c r="F7" s="8" t="s">
        <x:v>77</x:v>
      </x:c>
      <x:c r="G7" s="1" t="s">
        <x:v>5850</x:v>
      </x:c>
      <x:c r="H7" s="8" t="s">
        <x:v>54</x:v>
      </x:c>
      <x:c r="I7" s="1" t="s">
        <x:v>75</x:v>
      </x:c>
      <x:c r="J7" s="8" t="s">
        <x:v>623</x:v>
      </x:c>
      <x:c r="K7" s="1" t="s">
        <x:v>5855</x:v>
      </x:c>
      <x:c r="L7" s="8" t="s">
        <x:v>5852</x:v>
      </x:c>
      <x:c r="M7" s="3">
        <x:v>46323</x:v>
      </x:c>
      <x:c r="N7" s="8" t="s">
        <x:v>5853</x:v>
      </x:c>
    </x:row>
    <x:row r="8" ht="75.94999694824219" customHeight="1">
      <x:c r="A8" s="1" t="s">
        <x:v>5117</x:v>
      </x:c>
      <x:c r="B8" s="8" t="s">
        <x:v>4910</x:v>
      </x:c>
      <x:c r="C8" s="1" t="s">
        <x:v>5104</x:v>
      </x:c>
      <x:c r="D8" s="8">
        <x:v>34</x:v>
      </x:c>
      <x:c r="E8" s="1" t="s">
        <x:v>5106</x:v>
      </x:c>
      <x:c r="F8" s="8" t="s">
        <x:v>5124</x:v>
      </x:c>
      <x:c r="G8" s="1" t="s">
        <x:v>5850</x:v>
      </x:c>
      <x:c r="H8" s="8" t="s">
        <x:v>76</x:v>
      </x:c>
      <x:c r="I8" s="1" t="s">
        <x:v>95</x:v>
      </x:c>
      <x:c r="J8" s="8" t="s">
        <x:v>5125</x:v>
      </x:c>
      <x:c r="K8" s="1" t="s">
        <x:v>5851</x:v>
      </x:c>
      <x:c r="L8" s="8" t="s">
        <x:v>5852</x:v>
      </x:c>
      <x:c r="M8" s="3">
        <x:v>46323</x:v>
      </x:c>
      <x:c r="N8" s="8" t="s">
        <x:v>5853</x:v>
      </x:c>
    </x:row>
    <x:row r="9" ht="75.94999694824219" customHeight="1">
      <x:c r="A9" s="1" t="s">
        <x:v>5489</x:v>
      </x:c>
      <x:c r="B9" s="8" t="s">
        <x:v>5325</x:v>
      </x:c>
      <x:c r="C9" s="1" t="s">
        <x:v>5467</x:v>
      </x:c>
      <x:c r="D9" s="8">
        <x:v>44</x:v>
      </x:c>
      <x:c r="E9" s="1" t="s">
        <x:v>5468</x:v>
      </x:c>
      <x:c r="F9" s="8" t="s">
        <x:v>5497</x:v>
      </x:c>
      <x:c r="G9" s="1" t="s">
        <x:v>5850</x:v>
      </x:c>
      <x:c r="H9" s="8" t="s">
        <x:v>76</x:v>
      </x:c>
      <x:c r="I9" s="1" t="s">
        <x:v>95</x:v>
      </x:c>
      <x:c r="J9" s="8" t="s">
        <x:v>5498</x:v>
      </x:c>
      <x:c r="K9" s="1" t="s">
        <x:v>5856</x:v>
      </x:c>
      <x:c r="L9" s="8" t="s">
        <x:v>5852</x:v>
      </x:c>
      <x:c r="M9" s="3">
        <x:v>46323</x:v>
      </x:c>
      <x:c r="N9" s="8" t="s">
        <x:v>5853</x:v>
      </x:c>
    </x:row>
    <x:row r="10" ht="75.94999694824219" customHeight="1">
      <x:c r="A10" s="1" t="s">
        <x:v>2806</x:v>
      </x:c>
      <x:c r="B10" s="8" t="s">
        <x:v>73</x:v>
      </x:c>
      <x:c r="C10" s="1" t="s">
        <x:v>2814</x:v>
      </x:c>
      <x:c r="D10" s="8">
        <x:v>3</x:v>
      </x:c>
      <x:c r="E10" s="1"/>
      <x:c r="F10" s="8" t="s">
        <x:v>77</x:v>
      </x:c>
      <x:c r="G10" s="1" t="s">
        <x:v>5850</x:v>
      </x:c>
      <x:c r="H10" s="8" t="s">
        <x:v>76</x:v>
      </x:c>
      <x:c r="I10" s="1" t="s">
        <x:v>95</x:v>
      </x:c>
      <x:c r="J10" s="8" t="s">
        <x:v>2818</x:v>
      </x:c>
      <x:c r="K10" s="1" t="s">
        <x:v>5851</x:v>
      </x:c>
      <x:c r="L10" s="8" t="s">
        <x:v>5852</x:v>
      </x:c>
      <x:c r="M10" s="3">
        <x:v>46323</x:v>
      </x:c>
      <x:c r="N10" s="8" t="s">
        <x:v>5853</x:v>
      </x:c>
    </x:row>
    <x:row r="11" ht="75.94999694824219" customHeight="1">
      <x:c r="A11" s="1" t="s">
        <x:v>392</x:v>
      </x:c>
      <x:c r="B11" s="8" t="s">
        <x:v>73</x:v>
      </x:c>
      <x:c r="C11" s="1" t="s">
        <x:v>389</x:v>
      </x:c>
      <x:c r="D11" s="8">
        <x:v>5</x:v>
      </x:c>
      <x:c r="E11" s="1"/>
      <x:c r="F11" s="8" t="s">
        <x:v>77</x:v>
      </x:c>
      <x:c r="G11" s="1" t="s">
        <x:v>5850</x:v>
      </x:c>
      <x:c r="H11" s="8" t="s">
        <x:v>76</x:v>
      </x:c>
      <x:c r="I11" s="1" t="s">
        <x:v>95</x:v>
      </x:c>
      <x:c r="J11" s="8" t="s">
        <x:v>399</x:v>
      </x:c>
      <x:c r="K11" s="1" t="s">
        <x:v>5851</x:v>
      </x:c>
      <x:c r="L11" s="8" t="s">
        <x:v>5852</x:v>
      </x:c>
      <x:c r="M11" s="3">
        <x:v>46323</x:v>
      </x:c>
      <x:c r="N11" s="8" t="s">
        <x:v>5853</x:v>
      </x:c>
    </x:row>
    <x:row r="12" ht="75.94999694824219" customHeight="1">
      <x:c r="A12" s="1" t="s">
        <x:v>5090</x:v>
      </x:c>
      <x:c r="B12" s="8" t="s">
        <x:v>4910</x:v>
      </x:c>
      <x:c r="C12" s="1" t="s">
        <x:v>5020</x:v>
      </x:c>
      <x:c r="D12" s="8">
        <x:v>30</x:v>
      </x:c>
      <x:c r="E12" s="1" t="s">
        <x:v>5021</x:v>
      </x:c>
      <x:c r="F12" s="8" t="s">
        <x:v>5097</x:v>
      </x:c>
      <x:c r="G12" s="1" t="s">
        <x:v>5857</x:v>
      </x:c>
      <x:c r="H12" s="8" t="s">
        <x:v>76</x:v>
      </x:c>
      <x:c r="I12" s="1" t="s">
        <x:v>95</x:v>
      </x:c>
      <x:c r="J12" s="8" t="s">
        <x:v>5098</x:v>
      </x:c>
      <x:c r="K12" s="1" t="s">
        <x:v>5858</x:v>
      </x:c>
      <x:c r="L12" s="8" t="s">
        <x:v>5852</x:v>
      </x:c>
      <x:c r="M12" s="3">
        <x:v>46323</x:v>
      </x:c>
      <x:c r="N12" s="8" t="s">
        <x:v>5859</x:v>
      </x:c>
    </x:row>
    <x:row r="13" ht="75.94999694824219" customHeight="1">
      <x:c r="A13" s="1" t="s">
        <x:v>5144</x:v>
      </x:c>
      <x:c r="B13" s="8" t="s">
        <x:v>4910</x:v>
      </x:c>
      <x:c r="C13" s="1" t="s">
        <x:v>5104</x:v>
      </x:c>
      <x:c r="D13" s="8">
        <x:v>37</x:v>
      </x:c>
      <x:c r="E13" s="1" t="s">
        <x:v>5106</x:v>
      </x:c>
      <x:c r="F13" s="8" t="s">
        <x:v>5152</x:v>
      </x:c>
      <x:c r="G13" s="1" t="s">
        <x:v>5850</x:v>
      </x:c>
      <x:c r="H13" s="8" t="s">
        <x:v>76</x:v>
      </x:c>
      <x:c r="I13" s="1" t="s">
        <x:v>95</x:v>
      </x:c>
      <x:c r="J13" s="8" t="s">
        <x:v>5153</x:v>
      </x:c>
      <x:c r="K13" s="1" t="s">
        <x:v>5860</x:v>
      </x:c>
      <x:c r="L13" s="8" t="s">
        <x:v>5852</x:v>
      </x:c>
      <x:c r="M13" s="3">
        <x:v>46323</x:v>
      </x:c>
      <x:c r="N13" s="8" t="s">
        <x:v>5853</x:v>
      </x:c>
    </x:row>
    <x:row r="14" ht="75.94999694824219" customHeight="1">
      <x:c r="A14" s="1" t="s">
        <x:v>3173</x:v>
      </x:c>
      <x:c r="B14" s="8" t="s">
        <x:v>73</x:v>
      </x:c>
      <x:c r="C14" s="1" t="s">
        <x:v>3157</x:v>
      </x:c>
      <x:c r="D14" s="8">
        <x:v>31</x:v>
      </x:c>
      <x:c r="E14" s="1"/>
      <x:c r="F14" s="8" t="s">
        <x:v>77</x:v>
      </x:c>
      <x:c r="G14" s="1" t="s">
        <x:v>5850</x:v>
      </x:c>
      <x:c r="H14" s="8" t="s">
        <x:v>76</x:v>
      </x:c>
      <x:c r="I14" s="1" t="s">
        <x:v>95</x:v>
      </x:c>
      <x:c r="J14" s="8" t="s">
        <x:v>3184</x:v>
      </x:c>
      <x:c r="K14" s="1" t="s">
        <x:v>5861</x:v>
      </x:c>
      <x:c r="L14" s="8" t="s">
        <x:v>5852</x:v>
      </x:c>
      <x:c r="M14" s="3">
        <x:v>46323</x:v>
      </x:c>
      <x:c r="N14" s="8" t="s">
        <x:v>5853</x:v>
      </x:c>
    </x:row>
    <x:row r="15" ht="75.94999694824219" customHeight="1">
      <x:c r="A15" s="1" t="s">
        <x:v>2481</x:v>
      </x:c>
      <x:c r="B15" s="8" t="s">
        <x:v>73</x:v>
      </x:c>
      <x:c r="C15" s="1" t="s">
        <x:v>2459</x:v>
      </x:c>
      <x:c r="D15" s="8">
        <x:v>12</x:v>
      </x:c>
      <x:c r="E15" s="1"/>
      <x:c r="F15" s="8" t="s">
        <x:v>77</x:v>
      </x:c>
      <x:c r="G15" s="1" t="s">
        <x:v>5850</x:v>
      </x:c>
      <x:c r="H15" s="8" t="s">
        <x:v>54</x:v>
      </x:c>
      <x:c r="I15" s="1" t="s">
        <x:v>75</x:v>
      </x:c>
      <x:c r="J15" s="8" t="s">
        <x:v>2495</x:v>
      </x:c>
      <x:c r="K15" s="1" t="s">
        <x:v>5855</x:v>
      </x:c>
      <x:c r="L15" s="8" t="s">
        <x:v>5852</x:v>
      </x:c>
      <x:c r="M15" s="3">
        <x:v>46323</x:v>
      </x:c>
      <x:c r="N15" s="8" t="s">
        <x:v>5853</x:v>
      </x:c>
    </x:row>
    <x:row r="16" ht="75.94999694824219" customHeight="1">
      <x:c r="A16" s="1" t="s">
        <x:v>5046</x:v>
      </x:c>
      <x:c r="B16" s="8" t="s">
        <x:v>4910</x:v>
      </x:c>
      <x:c r="C16" s="1" t="s">
        <x:v>5020</x:v>
      </x:c>
      <x:c r="D16" s="8">
        <x:v>24</x:v>
      </x:c>
      <x:c r="E16" s="1" t="s">
        <x:v>5021</x:v>
      </x:c>
      <x:c r="F16" s="8" t="s">
        <x:v>5053</x:v>
      </x:c>
      <x:c r="G16" s="1" t="s">
        <x:v>5850</x:v>
      </x:c>
      <x:c r="H16" s="8" t="s">
        <x:v>76</x:v>
      </x:c>
      <x:c r="I16" s="1" t="s">
        <x:v>95</x:v>
      </x:c>
      <x:c r="J16" s="8" t="s">
        <x:v>5054</x:v>
      </x:c>
      <x:c r="K16" s="1" t="s">
        <x:v>5851</x:v>
      </x:c>
      <x:c r="L16" s="8" t="s">
        <x:v>5852</x:v>
      </x:c>
      <x:c r="M16" s="3">
        <x:v>46323</x:v>
      </x:c>
      <x:c r="N16" s="8" t="s">
        <x:v>5853</x:v>
      </x:c>
    </x:row>
    <x:row r="17" ht="75.94999694824219" customHeight="1">
      <x:c r="A17" s="1" t="s">
        <x:v>1309</x:v>
      </x:c>
      <x:c r="B17" s="8" t="s">
        <x:v>73</x:v>
      </x:c>
      <x:c r="C17" s="1" t="s">
        <x:v>1316</x:v>
      </x:c>
      <x:c r="D17" s="8">
        <x:v>1</x:v>
      </x:c>
      <x:c r="E17" s="1"/>
      <x:c r="F17" s="8" t="s">
        <x:v>77</x:v>
      </x:c>
      <x:c r="G17" s="1" t="s">
        <x:v>5850</x:v>
      </x:c>
      <x:c r="H17" s="8" t="s">
        <x:v>76</x:v>
      </x:c>
      <x:c r="I17" s="1" t="s">
        <x:v>95</x:v>
      </x:c>
      <x:c r="J17" s="8" t="s">
        <x:v>1320</x:v>
      </x:c>
      <x:c r="K17" s="1" t="s">
        <x:v>5851</x:v>
      </x:c>
      <x:c r="L17" s="8" t="s">
        <x:v>5852</x:v>
      </x:c>
      <x:c r="M17" s="3">
        <x:v>46323</x:v>
      </x:c>
      <x:c r="N17" s="8" t="s">
        <x:v>5853</x:v>
      </x:c>
    </x:row>
    <x:row r="18" ht="75.94999694824219" customHeight="1">
      <x:c r="A18" s="1" t="s">
        <x:v>4967</x:v>
      </x:c>
      <x:c r="B18" s="8" t="s">
        <x:v>4910</x:v>
      </x:c>
      <x:c r="C18" s="1" t="s">
        <x:v>4906</x:v>
      </x:c>
      <x:c r="D18" s="8">
        <x:v>9</x:v>
      </x:c>
      <x:c r="E18" s="1" t="s">
        <x:v>4912</x:v>
      </x:c>
      <x:c r="F18" s="8" t="s">
        <x:v>4974</x:v>
      </x:c>
      <x:c r="G18" s="1" t="s">
        <x:v>5862</x:v>
      </x:c>
      <x:c r="H18" s="8" t="s">
        <x:v>76</x:v>
      </x:c>
      <x:c r="I18" s="1" t="s">
        <x:v>95</x:v>
      </x:c>
      <x:c r="J18" s="8" t="s">
        <x:v>4975</x:v>
      </x:c>
      <x:c r="K18" s="1" t="s">
        <x:v>5863</x:v>
      </x:c>
      <x:c r="L18" s="8" t="s">
        <x:v>5852</x:v>
      </x:c>
      <x:c r="M18" s="3">
        <x:v>46323</x:v>
      </x:c>
      <x:c r="N18" s="8" t="s">
        <x:v>5864</x:v>
      </x:c>
    </x:row>
    <x:row r="19" ht="75.94999694824219" customHeight="1">
      <x:c r="A19" s="1" t="s">
        <x:v>5704</x:v>
      </x:c>
      <x:c r="B19" s="8" t="s">
        <x:v>4910</x:v>
      </x:c>
      <x:c r="C19" s="1" t="s">
        <x:v>5681</x:v>
      </x:c>
      <x:c r="D19" s="8">
        <x:v>58</x:v>
      </x:c>
      <x:c r="E19" s="1" t="s">
        <x:v>5714</x:v>
      </x:c>
      <x:c r="F19" s="8" t="s">
        <x:v>5715</x:v>
      </x:c>
      <x:c r="G19" s="1" t="s">
        <x:v>5850</x:v>
      </x:c>
      <x:c r="H19" s="8" t="s">
        <x:v>76</x:v>
      </x:c>
      <x:c r="I19" s="1" t="s">
        <x:v>95</x:v>
      </x:c>
      <x:c r="J19" s="8" t="s">
        <x:v>5716</x:v>
      </x:c>
      <x:c r="K19" s="1" t="s">
        <x:v>5865</x:v>
      </x:c>
      <x:c r="L19" s="8" t="s">
        <x:v>5852</x:v>
      </x:c>
      <x:c r="M19" s="3">
        <x:v>46323</x:v>
      </x:c>
      <x:c r="N19" s="8" t="s">
        <x:v>5853</x:v>
      </x:c>
    </x:row>
    <x:row r="20" ht="75.94999694824219" customHeight="1">
      <x:c r="A20" s="1" t="s">
        <x:v>5345</x:v>
      </x:c>
      <x:c r="B20" s="8" t="s">
        <x:v>5325</x:v>
      </x:c>
      <x:c r="C20" s="1" t="s">
        <x:v>5353</x:v>
      </x:c>
      <x:c r="D20" s="8">
        <x:v>10</x:v>
      </x:c>
      <x:c r="E20" s="1" t="s">
        <x:v>5355</x:v>
      </x:c>
      <x:c r="F20" s="8" t="s">
        <x:v>5356</x:v>
      </x:c>
      <x:c r="G20" s="1" t="s">
        <x:v>5850</x:v>
      </x:c>
      <x:c r="H20" s="8" t="s">
        <x:v>76</x:v>
      </x:c>
      <x:c r="I20" s="1" t="s">
        <x:v>95</x:v>
      </x:c>
      <x:c r="J20" s="8" t="s">
        <x:v>5357</x:v>
      </x:c>
      <x:c r="K20" s="1" t="s">
        <x:v>5866</x:v>
      </x:c>
      <x:c r="L20" s="8" t="s">
        <x:v>5852</x:v>
      </x:c>
      <x:c r="M20" s="3">
        <x:v>46323</x:v>
      </x:c>
      <x:c r="N20" s="8" t="s">
        <x:v>5867</x:v>
      </x:c>
    </x:row>
    <x:row r="21" ht="75.94999694824219" customHeight="1">
      <x:c r="A21" s="1" t="s">
        <x:v>5307</x:v>
      </x:c>
      <x:c r="B21" s="8" t="s">
        <x:v>4910</x:v>
      </x:c>
      <x:c r="C21" s="1" t="s">
        <x:v>5275</x:v>
      </x:c>
      <x:c r="D21" s="8">
        <x:v>20</x:v>
      </x:c>
      <x:c r="E21" s="1" t="s">
        <x:v>5277</x:v>
      </x:c>
      <x:c r="F21" s="8" t="s">
        <x:v>5312</x:v>
      </x:c>
      <x:c r="G21" s="1" t="s">
        <x:v>5850</x:v>
      </x:c>
      <x:c r="H21" s="8" t="s">
        <x:v>54</x:v>
      </x:c>
      <x:c r="I21" s="1" t="s">
        <x:v>75</x:v>
      </x:c>
      <x:c r="J21" s="8" t="s">
        <x:v>5315</x:v>
      </x:c>
      <x:c r="K21" s="1" t="s">
        <x:v>5868</x:v>
      </x:c>
      <x:c r="L21" s="8" t="s">
        <x:v>5852</x:v>
      </x:c>
      <x:c r="M21" s="3">
        <x:v>46323</x:v>
      </x:c>
      <x:c r="N21" s="8" t="s">
        <x:v>5853</x:v>
      </x:c>
    </x:row>
    <x:row r="22" ht="75.94999694824219" customHeight="1">
      <x:c r="A22" s="1" t="s">
        <x:v>5235</x:v>
      </x:c>
      <x:c r="B22" s="8" t="s">
        <x:v>4910</x:v>
      </x:c>
      <x:c r="C22" s="1" t="s">
        <x:v>5207</x:v>
      </x:c>
      <x:c r="D22" s="8">
        <x:v>7</x:v>
      </x:c>
      <x:c r="E22" s="1" t="s">
        <x:v>1783</x:v>
      </x:c>
      <x:c r="F22" s="8" t="s">
        <x:v>5241</x:v>
      </x:c>
      <x:c r="G22" s="1" t="s">
        <x:v>5850</x:v>
      </x:c>
      <x:c r="H22" s="8" t="s">
        <x:v>76</x:v>
      </x:c>
      <x:c r="I22" s="1" t="s">
        <x:v>95</x:v>
      </x:c>
      <x:c r="J22" s="8" t="s">
        <x:v>5242</x:v>
      </x:c>
      <x:c r="K22" s="1" t="s">
        <x:v>5869</x:v>
      </x:c>
      <x:c r="L22" s="8" t="s">
        <x:v>5852</x:v>
      </x:c>
      <x:c r="M22" s="3">
        <x:v>46323</x:v>
      </x:c>
      <x:c r="N22" s="8" t="s">
        <x:v>5853</x:v>
      </x:c>
    </x:row>
    <x:row r="23" ht="75.94999694824219" customHeight="1">
      <x:c r="A23" s="1" t="s">
        <x:v>1300</x:v>
      </x:c>
      <x:c r="B23" s="8" t="s">
        <x:v>73</x:v>
      </x:c>
      <x:c r="C23" s="1" t="s">
        <x:v>1288</x:v>
      </x:c>
      <x:c r="D23" s="8">
        <x:v>12</x:v>
      </x:c>
      <x:c r="E23" s="1"/>
      <x:c r="F23" s="8" t="s">
        <x:v>77</x:v>
      </x:c>
      <x:c r="G23" s="1" t="s">
        <x:v>5850</x:v>
      </x:c>
      <x:c r="H23" s="8" t="s">
        <x:v>76</x:v>
      </x:c>
      <x:c r="I23" s="1" t="s">
        <x:v>95</x:v>
      </x:c>
      <x:c r="J23" s="8" t="s">
        <x:v>1308</x:v>
      </x:c>
      <x:c r="K23" s="1" t="s">
        <x:v>5851</x:v>
      </x:c>
      <x:c r="L23" s="8" t="s">
        <x:v>5852</x:v>
      </x:c>
      <x:c r="M23" s="3">
        <x:v>46323</x:v>
      </x:c>
      <x:c r="N23" s="8" t="s">
        <x:v>5853</x:v>
      </x:c>
    </x:row>
    <x:row r="24" ht="75.94999694824219" customHeight="1">
      <x:c r="A24" s="1" t="s">
        <x:v>1450</x:v>
      </x:c>
      <x:c r="B24" s="8" t="s">
        <x:v>73</x:v>
      </x:c>
      <x:c r="C24" s="1" t="s">
        <x:v>1458</x:v>
      </x:c>
      <x:c r="D24" s="8">
        <x:v>1</x:v>
      </x:c>
      <x:c r="E24" s="1"/>
      <x:c r="F24" s="8" t="s">
        <x:v>77</x:v>
      </x:c>
      <x:c r="G24" s="1" t="s">
        <x:v>5850</x:v>
      </x:c>
      <x:c r="H24" s="8" t="s">
        <x:v>76</x:v>
      </x:c>
      <x:c r="I24" s="1" t="s">
        <x:v>95</x:v>
      </x:c>
      <x:c r="J24" s="8" t="s">
        <x:v>1461</x:v>
      </x:c>
      <x:c r="K24" s="1" t="s">
        <x:v>5851</x:v>
      </x:c>
      <x:c r="L24" s="8" t="s">
        <x:v>5852</x:v>
      </x:c>
      <x:c r="M24" s="3">
        <x:v>46323</x:v>
      </x:c>
      <x:c r="N24" s="8" t="s">
        <x:v>5853</x:v>
      </x:c>
    </x:row>
    <x:row r="25" ht="75.94999694824219" customHeight="1">
      <x:c r="A25" s="1" t="s">
        <x:v>3165</x:v>
      </x:c>
      <x:c r="B25" s="8" t="s">
        <x:v>73</x:v>
      </x:c>
      <x:c r="C25" s="1" t="s">
        <x:v>3157</x:v>
      </x:c>
      <x:c r="D25" s="8">
        <x:v>26</x:v>
      </x:c>
      <x:c r="E25" s="1"/>
      <x:c r="F25" s="8" t="s">
        <x:v>77</x:v>
      </x:c>
      <x:c r="G25" s="1" t="s">
        <x:v>5850</x:v>
      </x:c>
      <x:c r="H25" s="8" t="s">
        <x:v>76</x:v>
      </x:c>
      <x:c r="I25" s="1" t="s">
        <x:v>95</x:v>
      </x:c>
      <x:c r="J25" s="8" t="s">
        <x:v>3172</x:v>
      </x:c>
      <x:c r="K25" s="1" t="s">
        <x:v>5851</x:v>
      </x:c>
      <x:c r="L25" s="8" t="s">
        <x:v>5852</x:v>
      </x:c>
      <x:c r="M25" s="3">
        <x:v>46323</x:v>
      </x:c>
      <x:c r="N25" s="8" t="s">
        <x:v>5853</x:v>
      </x:c>
    </x:row>
    <x:row r="26" ht="75.94999694824219" customHeight="1">
      <x:c r="A26" s="1" t="s">
        <x:v>1414</x:v>
      </x:c>
      <x:c r="B26" s="8" t="s">
        <x:v>73</x:v>
      </x:c>
      <x:c r="C26" s="1" t="s">
        <x:v>1406</x:v>
      </x:c>
      <x:c r="D26" s="8">
        <x:v>13</x:v>
      </x:c>
      <x:c r="E26" s="1"/>
      <x:c r="F26" s="8" t="s">
        <x:v>77</x:v>
      </x:c>
      <x:c r="G26" s="1" t="s">
        <x:v>5850</x:v>
      </x:c>
      <x:c r="H26" s="8" t="s">
        <x:v>76</x:v>
      </x:c>
      <x:c r="I26" s="1" t="s">
        <x:v>95</x:v>
      </x:c>
      <x:c r="J26" s="8" t="s">
        <x:v>1424</x:v>
      </x:c>
      <x:c r="K26" s="1" t="s">
        <x:v>5870</x:v>
      </x:c>
      <x:c r="L26" s="8" t="s">
        <x:v>5852</x:v>
      </x:c>
      <x:c r="M26" s="3">
        <x:v>46323</x:v>
      </x:c>
      <x:c r="N26" s="8" t="s">
        <x:v>5853</x:v>
      </x:c>
    </x:row>
    <x:row r="27" ht="75.94999694824219" customHeight="1">
      <x:c r="A27" s="1" t="s">
        <x:v>1702</x:v>
      </x:c>
      <x:c r="B27" s="8" t="s">
        <x:v>73</x:v>
      </x:c>
      <x:c r="C27" s="1" t="s">
        <x:v>1698</x:v>
      </x:c>
      <x:c r="D27" s="8">
        <x:v>14</x:v>
      </x:c>
      <x:c r="E27" s="1"/>
      <x:c r="F27" s="8" t="s">
        <x:v>77</x:v>
      </x:c>
      <x:c r="G27" s="1" t="s">
        <x:v>5850</x:v>
      </x:c>
      <x:c r="H27" s="8" t="s">
        <x:v>54</x:v>
      </x:c>
      <x:c r="I27" s="1" t="s">
        <x:v>75</x:v>
      </x:c>
      <x:c r="J27" s="8" t="s">
        <x:v>1714</x:v>
      </x:c>
      <x:c r="K27" s="1" t="s">
        <x:v>5855</x:v>
      </x:c>
      <x:c r="L27" s="8" t="s">
        <x:v>5852</x:v>
      </x:c>
      <x:c r="M27" s="3">
        <x:v>46323</x:v>
      </x:c>
      <x:c r="N27" s="8" t="s">
        <x:v>5853</x:v>
      </x:c>
    </x:row>
    <x:row r="28" ht="75.94999694824219" customHeight="1">
      <x:c r="A28" s="1" t="s">
        <x:v>2645</x:v>
      </x:c>
      <x:c r="B28" s="8" t="s">
        <x:v>73</x:v>
      </x:c>
      <x:c r="C28" s="1" t="s">
        <x:v>2653</x:v>
      </x:c>
      <x:c r="D28" s="8">
        <x:v>1</x:v>
      </x:c>
      <x:c r="E28" s="1"/>
      <x:c r="F28" s="8" t="s">
        <x:v>77</x:v>
      </x:c>
      <x:c r="G28" s="1" t="s">
        <x:v>5850</x:v>
      </x:c>
      <x:c r="H28" s="8" t="s">
        <x:v>54</x:v>
      </x:c>
      <x:c r="I28" s="1" t="s">
        <x:v>75</x:v>
      </x:c>
      <x:c r="J28" s="8" t="s">
        <x:v>2661</x:v>
      </x:c>
      <x:c r="K28" s="1" t="s">
        <x:v>5855</x:v>
      </x:c>
      <x:c r="L28" s="8" t="s">
        <x:v>5852</x:v>
      </x:c>
      <x:c r="M28" s="3">
        <x:v>46323</x:v>
      </x:c>
      <x:c r="N28" s="8" t="s">
        <x:v>5853</x:v>
      </x:c>
    </x:row>
    <x:row r="29" ht="75.94999694824219" customHeight="1">
      <x:c r="A29" s="1" t="s">
        <x:v>5808</x:v>
      </x:c>
      <x:c r="B29" s="8" t="s">
        <x:v>4910</x:v>
      </x:c>
      <x:c r="C29" s="1" t="s">
        <x:v>5804</x:v>
      </x:c>
      <x:c r="D29" s="8">
        <x:v>117</x:v>
      </x:c>
      <x:c r="E29" s="1" t="s">
        <x:v>1915</x:v>
      </x:c>
      <x:c r="F29" s="8" t="s">
        <x:v>5816</x:v>
      </x:c>
      <x:c r="G29" s="1" t="s">
        <x:v>5871</x:v>
      </x:c>
      <x:c r="H29" s="8" t="s">
        <x:v>76</x:v>
      </x:c>
      <x:c r="I29" s="1" t="s">
        <x:v>95</x:v>
      </x:c>
      <x:c r="J29" s="8" t="s">
        <x:v>5817</x:v>
      </x:c>
      <x:c r="K29" s="1" t="s">
        <x:v>5872</x:v>
      </x:c>
      <x:c r="L29" s="8" t="s">
        <x:v>5852</x:v>
      </x:c>
      <x:c r="M29" s="3">
        <x:v>46323</x:v>
      </x:c>
      <x:c r="N29" s="8" t="s">
        <x:v>5873</x:v>
      </x:c>
    </x:row>
    <x:row r="30" ht="75.94999694824219" customHeight="1">
      <x:c r="A30" s="1" t="s">
        <x:v>1365</x:v>
      </x:c>
      <x:c r="B30" s="8" t="s">
        <x:v>73</x:v>
      </x:c>
      <x:c r="C30" s="1" t="s">
        <x:v>1350</x:v>
      </x:c>
      <x:c r="D30" s="8">
        <x:v>6</x:v>
      </x:c>
      <x:c r="E30" s="1"/>
      <x:c r="F30" s="8" t="s">
        <x:v>77</x:v>
      </x:c>
      <x:c r="G30" s="1" t="s">
        <x:v>5874</x:v>
      </x:c>
      <x:c r="H30" s="8" t="s">
        <x:v>76</x:v>
      </x:c>
      <x:c r="I30" s="1" t="s">
        <x:v>95</x:v>
      </x:c>
      <x:c r="J30" s="8" t="s">
        <x:v>1377</x:v>
      </x:c>
      <x:c r="K30" s="1" t="s">
        <x:v>5875</x:v>
      </x:c>
      <x:c r="L30" s="8" t="s">
        <x:v>5852</x:v>
      </x:c>
      <x:c r="M30" s="3">
        <x:v>46323</x:v>
      </x:c>
      <x:c r="N30" s="8" t="s">
        <x:v>5876</x:v>
      </x:c>
    </x:row>
    <x:row r="31" ht="75.94999694824219" customHeight="1">
      <x:c r="A31" s="1" t="s">
        <x:v>132</x:v>
      </x:c>
      <x:c r="B31" s="8" t="s">
        <x:v>73</x:v>
      </x:c>
      <x:c r="C31" s="1" t="s">
        <x:v>139</x:v>
      </x:c>
      <x:c r="D31" s="8">
        <x:v>3</x:v>
      </x:c>
      <x:c r="E31" s="1"/>
      <x:c r="F31" s="8" t="s">
        <x:v>77</x:v>
      </x:c>
      <x:c r="G31" s="1" t="s">
        <x:v>5850</x:v>
      </x:c>
      <x:c r="H31" s="8" t="s">
        <x:v>76</x:v>
      </x:c>
      <x:c r="I31" s="1" t="s">
        <x:v>95</x:v>
      </x:c>
      <x:c r="J31" s="8" t="s">
        <x:v>147</x:v>
      </x:c>
      <x:c r="K31" s="1" t="s">
        <x:v>5851</x:v>
      </x:c>
      <x:c r="L31" s="8" t="s">
        <x:v>5852</x:v>
      </x:c>
      <x:c r="M31" s="3">
        <x:v>46323</x:v>
      </x:c>
      <x:c r="N31" s="8" t="s">
        <x:v>5853</x:v>
      </x:c>
    </x:row>
    <x:row r="32" ht="75.94999694824219" customHeight="1">
      <x:c r="A32" s="1" t="s">
        <x:v>5270</x:v>
      </x:c>
      <x:c r="B32" s="8" t="s">
        <x:v>4910</x:v>
      </x:c>
      <x:c r="C32" s="1" t="s">
        <x:v>5275</x:v>
      </x:c>
      <x:c r="D32" s="8">
        <x:v>15</x:v>
      </x:c>
      <x:c r="E32" s="1" t="s">
        <x:v>5277</x:v>
      </x:c>
      <x:c r="F32" s="8" t="s">
        <x:v>5278</x:v>
      </x:c>
      <x:c r="G32" s="1" t="s">
        <x:v>5850</x:v>
      </x:c>
      <x:c r="H32" s="8" t="s">
        <x:v>76</x:v>
      </x:c>
      <x:c r="I32" s="1" t="s">
        <x:v>95</x:v>
      </x:c>
      <x:c r="J32" s="8" t="s">
        <x:v>5279</x:v>
      </x:c>
      <x:c r="K32" s="1" t="s">
        <x:v>5877</x:v>
      </x:c>
      <x:c r="L32" s="8" t="s">
        <x:v>5852</x:v>
      </x:c>
      <x:c r="M32" s="3">
        <x:v>46323</x:v>
      </x:c>
      <x:c r="N32" s="8" t="s">
        <x:v>5867</x:v>
      </x:c>
    </x:row>
    <x:row r="33" ht="75.94999694824219" customHeight="1">
      <x:c r="A33" s="1" t="s">
        <x:v>5452</x:v>
      </x:c>
      <x:c r="B33" s="8" t="s">
        <x:v>5325</x:v>
      </x:c>
      <x:c r="C33" s="1" t="s">
        <x:v>5425</x:v>
      </x:c>
      <x:c r="D33" s="8">
        <x:v>40</x:v>
      </x:c>
      <x:c r="E33" s="1" t="s">
        <x:v>5426</x:v>
      </x:c>
      <x:c r="F33" s="8" t="s">
        <x:v>5459</x:v>
      </x:c>
      <x:c r="G33" s="1" t="s">
        <x:v>5850</x:v>
      </x:c>
      <x:c r="H33" s="8" t="s">
        <x:v>76</x:v>
      </x:c>
      <x:c r="I33" s="1" t="s">
        <x:v>95</x:v>
      </x:c>
      <x:c r="J33" s="8" t="s">
        <x:v>5460</x:v>
      </x:c>
      <x:c r="K33" s="1" t="s">
        <x:v>5851</x:v>
      </x:c>
      <x:c r="L33" s="8" t="s">
        <x:v>5852</x:v>
      </x:c>
      <x:c r="M33" s="3">
        <x:v>46323</x:v>
      </x:c>
      <x:c r="N33" s="8" t="s">
        <x:v>5853</x:v>
      </x:c>
    </x:row>
    <x:row r="34" ht="75.94999694824219" customHeight="1">
      <x:c r="A34" s="1" t="s">
        <x:v>1211</x:v>
      </x:c>
      <x:c r="B34" s="8" t="s">
        <x:v>73</x:v>
      </x:c>
      <x:c r="C34" s="1" t="s">
        <x:v>1219</x:v>
      </x:c>
      <x:c r="D34" s="8">
        <x:v>5</x:v>
      </x:c>
      <x:c r="E34" s="1"/>
      <x:c r="F34" s="8" t="s">
        <x:v>77</x:v>
      </x:c>
      <x:c r="G34" s="1" t="s">
        <x:v>5850</x:v>
      </x:c>
      <x:c r="H34" s="8" t="s">
        <x:v>76</x:v>
      </x:c>
      <x:c r="I34" s="1" t="s">
        <x:v>95</x:v>
      </x:c>
      <x:c r="J34" s="8" t="s">
        <x:v>1223</x:v>
      </x:c>
      <x:c r="K34" s="1" t="s">
        <x:v>5851</x:v>
      </x:c>
      <x:c r="L34" s="8" t="s">
        <x:v>5852</x:v>
      </x:c>
      <x:c r="M34" s="3">
        <x:v>46323</x:v>
      </x:c>
      <x:c r="N34" s="8" t="s">
        <x:v>5853</x:v>
      </x:c>
    </x:row>
    <x:row r="35" ht="75.94999694824219" customHeight="1">
      <x:c r="A35" s="1" t="s">
        <x:v>4994</x:v>
      </x:c>
      <x:c r="B35" s="8" t="s">
        <x:v>4910</x:v>
      </x:c>
      <x:c r="C35" s="1" t="s">
        <x:v>4906</x:v>
      </x:c>
      <x:c r="D35" s="8">
        <x:v>13</x:v>
      </x:c>
      <x:c r="E35" s="1" t="s">
        <x:v>4912</x:v>
      </x:c>
      <x:c r="F35" s="8" t="s">
        <x:v>5001</x:v>
      </x:c>
      <x:c r="G35" s="1" t="s">
        <x:v>5850</x:v>
      </x:c>
      <x:c r="H35" s="8" t="s">
        <x:v>76</x:v>
      </x:c>
      <x:c r="I35" s="1" t="s">
        <x:v>95</x:v>
      </x:c>
      <x:c r="J35" s="8" t="s">
        <x:v>5002</x:v>
      </x:c>
      <x:c r="K35" s="1" t="s">
        <x:v>5878</x:v>
      </x:c>
      <x:c r="L35" s="8" t="s">
        <x:v>5852</x:v>
      </x:c>
      <x:c r="M35" s="3">
        <x:v>46323</x:v>
      </x:c>
      <x:c r="N35" s="8" t="s">
        <x:v>5853</x:v>
      </x:c>
    </x:row>
    <x:row r="36" ht="75.94999694824219" customHeight="1">
      <x:c r="A36" s="1" t="s">
        <x:v>5329</x:v>
      </x:c>
      <x:c r="B36" s="8" t="s">
        <x:v>5325</x:v>
      </x:c>
      <x:c r="C36" s="1" t="s">
        <x:v>5322</x:v>
      </x:c>
      <x:c r="D36" s="8">
        <x:v>2</x:v>
      </x:c>
      <x:c r="E36" s="1" t="s">
        <x:v>5327</x:v>
      </x:c>
      <x:c r="F36" s="8" t="s">
        <x:v>5335</x:v>
      </x:c>
      <x:c r="G36" s="1" t="s">
        <x:v>5850</x:v>
      </x:c>
      <x:c r="H36" s="8" t="s">
        <x:v>76</x:v>
      </x:c>
      <x:c r="I36" s="1" t="s">
        <x:v>95</x:v>
      </x:c>
      <x:c r="J36" s="8" t="s">
        <x:v>5336</x:v>
      </x:c>
      <x:c r="K36" s="1" t="s">
        <x:v>5851</x:v>
      </x:c>
      <x:c r="L36" s="8" t="s">
        <x:v>5852</x:v>
      </x:c>
      <x:c r="M36" s="3">
        <x:v>46323</x:v>
      </x:c>
      <x:c r="N36" s="8" t="s">
        <x:v>5853</x:v>
      </x:c>
    </x:row>
    <x:row r="37" ht="75.94999694824219" customHeight="1">
      <x:c r="A37" s="1" t="s">
        <x:v>4587</x:v>
      </x:c>
      <x:c r="B37" s="8" t="s">
        <x:v>73</x:v>
      </x:c>
      <x:c r="C37" s="1" t="s">
        <x:v>4584</x:v>
      </x:c>
      <x:c r="D37" s="8">
        <x:v>8</x:v>
      </x:c>
      <x:c r="E37" s="1"/>
      <x:c r="F37" s="8" t="s">
        <x:v>77</x:v>
      </x:c>
      <x:c r="G37" s="1" t="s">
        <x:v>5879</x:v>
      </x:c>
      <x:c r="H37" s="8" t="s">
        <x:v>76</x:v>
      </x:c>
      <x:c r="I37" s="1" t="s">
        <x:v>95</x:v>
      </x:c>
      <x:c r="J37" s="8" t="s">
        <x:v>4597</x:v>
      </x:c>
      <x:c r="K37" s="1" t="s">
        <x:v>5880</x:v>
      </x:c>
      <x:c r="L37" s="8" t="s">
        <x:v>5852</x:v>
      </x:c>
      <x:c r="M37" s="3">
        <x:v>46323</x:v>
      </x:c>
      <x:c r="N37" s="8" t="s">
        <x:v>5881</x:v>
      </x:c>
    </x:row>
    <x:row r="38" ht="75.94999694824219" customHeight="1">
      <x:c r="A38" s="1" t="s">
        <x:v>5777</x:v>
      </x:c>
      <x:c r="B38" s="8" t="s">
        <x:v>4910</x:v>
      </x:c>
      <x:c r="C38" s="1" t="s">
        <x:v>5745</x:v>
      </x:c>
      <x:c r="D38" s="8">
        <x:v>79</x:v>
      </x:c>
      <x:c r="E38" s="1" t="s">
        <x:v>5747</x:v>
      </x:c>
      <x:c r="F38" s="8" t="s">
        <x:v>5786</x:v>
      </x:c>
      <x:c r="G38" s="1" t="s">
        <x:v>5850</x:v>
      </x:c>
      <x:c r="H38" s="8" t="s">
        <x:v>76</x:v>
      </x:c>
      <x:c r="I38" s="1" t="s">
        <x:v>95</x:v>
      </x:c>
      <x:c r="J38" s="8" t="s">
        <x:v>5787</x:v>
      </x:c>
      <x:c r="K38" s="1" t="s">
        <x:v>5882</x:v>
      </x:c>
      <x:c r="L38" s="8" t="s">
        <x:v>5852</x:v>
      </x:c>
      <x:c r="M38" s="3">
        <x:v>46323</x:v>
      </x:c>
      <x:c r="N38" s="8" t="s">
        <x:v>5853</x:v>
      </x:c>
    </x:row>
    <x:row r="39" ht="75.94999694824219" customHeight="1">
      <x:c r="A39" s="1" t="s">
        <x:v>939</x:v>
      </x:c>
      <x:c r="B39" s="8" t="s">
        <x:v>73</x:v>
      </x:c>
      <x:c r="C39" s="1" t="s">
        <x:v>920</x:v>
      </x:c>
      <x:c r="D39" s="8">
        <x:v>7</x:v>
      </x:c>
      <x:c r="E39" s="1"/>
      <x:c r="F39" s="8" t="s">
        <x:v>77</x:v>
      </x:c>
      <x:c r="G39" s="1" t="s">
        <x:v>5850</x:v>
      </x:c>
      <x:c r="H39" s="8" t="s">
        <x:v>54</x:v>
      </x:c>
      <x:c r="I39" s="1" t="s">
        <x:v>75</x:v>
      </x:c>
      <x:c r="J39" s="8" t="s">
        <x:v>954</x:v>
      </x:c>
      <x:c r="K39" s="1" t="s">
        <x:v>5855</x:v>
      </x:c>
      <x:c r="L39" s="8" t="s">
        <x:v>5852</x:v>
      </x:c>
      <x:c r="M39" s="3">
        <x:v>46323</x:v>
      </x:c>
      <x:c r="N39" s="8" t="s">
        <x:v>5853</x:v>
      </x:c>
    </x:row>
    <x:row r="40" ht="75.94999694824219" customHeight="1">
      <x:c r="A40" s="1" t="s">
        <x:v>5728</x:v>
      </x:c>
      <x:c r="B40" s="8" t="s">
        <x:v>4910</x:v>
      </x:c>
      <x:c r="C40" s="1" t="s">
        <x:v>5724</x:v>
      </x:c>
      <x:c r="D40" s="8">
        <x:v>68</x:v>
      </x:c>
      <x:c r="E40" s="1" t="s">
        <x:v>5726</x:v>
      </x:c>
      <x:c r="F40" s="8" t="s">
        <x:v>5736</x:v>
      </x:c>
      <x:c r="G40" s="1" t="s">
        <x:v>5850</x:v>
      </x:c>
      <x:c r="H40" s="8" t="s">
        <x:v>76</x:v>
      </x:c>
      <x:c r="I40" s="1" t="s">
        <x:v>95</x:v>
      </x:c>
      <x:c r="J40" s="8" t="s">
        <x:v>5737</x:v>
      </x:c>
      <x:c r="K40" s="1" t="s">
        <x:v>5851</x:v>
      </x:c>
      <x:c r="L40" s="8" t="s">
        <x:v>5852</x:v>
      </x:c>
      <x:c r="M40" s="3">
        <x:v>46323</x:v>
      </x:c>
      <x:c r="N40" s="8" t="s">
        <x:v>5853</x:v>
      </x:c>
    </x:row>
    <x:row r="41" ht="75.94999694824219" customHeight="1">
      <x:c r="A41" s="1" t="s">
        <x:v>2729</x:v>
      </x:c>
      <x:c r="B41" s="8" t="s">
        <x:v>73</x:v>
      </x:c>
      <x:c r="C41" s="1" t="s">
        <x:v>2711</x:v>
      </x:c>
      <x:c r="D41" s="8">
        <x:v>14</x:v>
      </x:c>
      <x:c r="E41" s="1"/>
      <x:c r="F41" s="8" t="s">
        <x:v>77</x:v>
      </x:c>
      <x:c r="G41" s="1" t="s">
        <x:v>5850</x:v>
      </x:c>
      <x:c r="H41" s="8" t="s">
        <x:v>54</x:v>
      </x:c>
      <x:c r="I41" s="1" t="s">
        <x:v>75</x:v>
      </x:c>
      <x:c r="J41" s="8" t="s">
        <x:v>2741</x:v>
      </x:c>
      <x:c r="K41" s="1" t="s">
        <x:v>5855</x:v>
      </x:c>
      <x:c r="L41" s="8" t="s">
        <x:v>5852</x:v>
      </x:c>
      <x:c r="M41" s="3">
        <x:v>46323</x:v>
      </x:c>
      <x:c r="N41" s="8" t="s">
        <x:v>5853</x:v>
      </x:c>
    </x:row>
    <x:row r="42" ht="75.94999694824219" customHeight="1">
      <x:c r="A42" s="1" t="s">
        <x:v>4440</x:v>
      </x:c>
      <x:c r="B42" s="8" t="s">
        <x:v>73</x:v>
      </x:c>
      <x:c r="C42" s="1" t="s">
        <x:v>4437</x:v>
      </x:c>
      <x:c r="D42" s="8">
        <x:v>14</x:v>
      </x:c>
      <x:c r="E42" s="1"/>
      <x:c r="F42" s="8" t="s">
        <x:v>77</x:v>
      </x:c>
      <x:c r="G42" s="1" t="s">
        <x:v>5850</x:v>
      </x:c>
      <x:c r="H42" s="8" t="s">
        <x:v>76</x:v>
      </x:c>
      <x:c r="I42" s="1" t="s">
        <x:v>95</x:v>
      </x:c>
      <x:c r="J42" s="8" t="s">
        <x:v>4448</x:v>
      </x:c>
      <x:c r="K42" s="1" t="s">
        <x:v>5851</x:v>
      </x:c>
      <x:c r="L42" s="8" t="s">
        <x:v>5852</x:v>
      </x:c>
      <x:c r="M42" s="3">
        <x:v>46323</x:v>
      </x:c>
      <x:c r="N42" s="8" t="s">
        <x:v>5853</x:v>
      </x:c>
    </x:row>
    <x:row r="43" ht="75.94999694824219" customHeight="1">
      <x:c r="A43" s="1" t="s">
        <x:v>1676</x:v>
      </x:c>
      <x:c r="B43" s="8" t="s">
        <x:v>73</x:v>
      </x:c>
      <x:c r="C43" s="1" t="s">
        <x:v>1684</x:v>
      </x:c>
      <x:c r="D43" s="8">
        <x:v>9</x:v>
      </x:c>
      <x:c r="E43" s="1"/>
      <x:c r="F43" s="8" t="s">
        <x:v>77</x:v>
      </x:c>
      <x:c r="G43" s="1" t="s">
        <x:v>5850</x:v>
      </x:c>
      <x:c r="H43" s="8" t="s">
        <x:v>54</x:v>
      </x:c>
      <x:c r="I43" s="1" t="s">
        <x:v>75</x:v>
      </x:c>
      <x:c r="J43" s="8" t="s">
        <x:v>1689</x:v>
      </x:c>
      <x:c r="K43" s="1" t="s">
        <x:v>5851</x:v>
      </x:c>
      <x:c r="L43" s="8" t="s">
        <x:v>5852</x:v>
      </x:c>
      <x:c r="M43" s="3">
        <x:v>46323</x:v>
      </x:c>
      <x:c r="N43" s="8" t="s">
        <x:v>5853</x:v>
      </x:c>
    </x:row>
    <x:row r="44" ht="75.94999694824219" customHeight="1">
      <x:c r="A44" s="1" t="s">
        <x:v>4104</x:v>
      </x:c>
      <x:c r="B44" s="8" t="s">
        <x:v>73</x:v>
      </x:c>
      <x:c r="C44" s="1" t="s">
        <x:v>4111</x:v>
      </x:c>
      <x:c r="D44" s="8">
        <x:v>3</x:v>
      </x:c>
      <x:c r="E44" s="1"/>
      <x:c r="F44" s="8" t="s">
        <x:v>77</x:v>
      </x:c>
      <x:c r="G44" s="1" t="s">
        <x:v>5850</x:v>
      </x:c>
      <x:c r="H44" s="8" t="s">
        <x:v>54</x:v>
      </x:c>
      <x:c r="I44" s="1" t="s">
        <x:v>75</x:v>
      </x:c>
      <x:c r="J44" s="8" t="s">
        <x:v>4119</x:v>
      </x:c>
      <x:c r="K44" s="1" t="s">
        <x:v>5855</x:v>
      </x:c>
      <x:c r="L44" s="8" t="s">
        <x:v>5852</x:v>
      </x:c>
      <x:c r="M44" s="3">
        <x:v>46323</x:v>
      </x:c>
      <x:c r="N44" s="8" t="s">
        <x:v>5853</x:v>
      </x:c>
    </x:row>
    <x:row r="45" ht="75.94999694824219" customHeight="1">
      <x:c r="A45" s="1" t="s">
        <x:v>638</x:v>
      </x:c>
      <x:c r="B45" s="8" t="s">
        <x:v>73</x:v>
      </x:c>
      <x:c r="C45" s="1" t="s">
        <x:v>645</x:v>
      </x:c>
      <x:c r="D45" s="8">
        <x:v>3</x:v>
      </x:c>
      <x:c r="E45" s="1"/>
      <x:c r="F45" s="8" t="s">
        <x:v>77</x:v>
      </x:c>
      <x:c r="G45" s="1" t="s">
        <x:v>5850</x:v>
      </x:c>
      <x:c r="H45" s="8" t="s">
        <x:v>54</x:v>
      </x:c>
      <x:c r="I45" s="1" t="s">
        <x:v>75</x:v>
      </x:c>
      <x:c r="J45" s="8" t="s">
        <x:v>653</x:v>
      </x:c>
      <x:c r="K45" s="1" t="s">
        <x:v>5855</x:v>
      </x:c>
      <x:c r="L45" s="8" t="s">
        <x:v>5852</x:v>
      </x:c>
      <x:c r="M45" s="3">
        <x:v>46323</x:v>
      </x:c>
      <x:c r="N45" s="8" t="s">
        <x:v>5853</x:v>
      </x:c>
    </x:row>
    <x:row r="46" ht="75.94999694824219" customHeight="1">
      <x:c r="A46" s="1" t="s">
        <x:v>5583</x:v>
      </x:c>
      <x:c r="B46" s="8" t="s">
        <x:v>5325</x:v>
      </x:c>
      <x:c r="C46" s="1" t="s">
        <x:v>5580</x:v>
      </x:c>
      <x:c r="D46" s="8">
        <x:v>84</x:v>
      </x:c>
      <x:c r="E46" s="1" t="s">
        <x:v>5581</x:v>
      </x:c>
      <x:c r="F46" s="8" t="s">
        <x:v>5592</x:v>
      </x:c>
      <x:c r="G46" s="1" t="s">
        <x:v>5850</x:v>
      </x:c>
      <x:c r="H46" s="8" t="s">
        <x:v>76</x:v>
      </x:c>
      <x:c r="I46" s="1" t="s">
        <x:v>95</x:v>
      </x:c>
      <x:c r="J46" s="8" t="s">
        <x:v>5593</x:v>
      </x:c>
      <x:c r="K46" s="1" t="s">
        <x:v>5883</x:v>
      </x:c>
      <x:c r="L46" s="8" t="s">
        <x:v>5852</x:v>
      </x:c>
      <x:c r="M46" s="3">
        <x:v>46323</x:v>
      </x:c>
      <x:c r="N46" s="8" t="s">
        <x:v>5853</x:v>
      </x:c>
    </x:row>
    <x:row r="47" ht="75.94999694824219" customHeight="1">
      <x:c r="A47" s="1" t="s">
        <x:v>5297</x:v>
      </x:c>
      <x:c r="B47" s="8" t="s">
        <x:v>4910</x:v>
      </x:c>
      <x:c r="C47" s="1" t="s">
        <x:v>5275</x:v>
      </x:c>
      <x:c r="D47" s="8">
        <x:v>19</x:v>
      </x:c>
      <x:c r="E47" s="1" t="s">
        <x:v>5277</x:v>
      </x:c>
      <x:c r="F47" s="8" t="s">
        <x:v>5303</x:v>
      </x:c>
      <x:c r="G47" s="1" t="s">
        <x:v>5850</x:v>
      </x:c>
      <x:c r="H47" s="8" t="s">
        <x:v>54</x:v>
      </x:c>
      <x:c r="I47" s="1" t="s">
        <x:v>75</x:v>
      </x:c>
      <x:c r="J47" s="8" t="s">
        <x:v>5306</x:v>
      </x:c>
      <x:c r="K47" s="1" t="s">
        <x:v>5868</x:v>
      </x:c>
      <x:c r="L47" s="8" t="s">
        <x:v>5852</x:v>
      </x:c>
      <x:c r="M47" s="3">
        <x:v>46323</x:v>
      </x:c>
      <x:c r="N47" s="8" t="s">
        <x:v>5853</x:v>
      </x:c>
    </x:row>
    <x:row r="48" ht="75.94999694824219" customHeight="1">
      <x:c r="A48" s="1" t="s">
        <x:v>1557</x:v>
      </x:c>
      <x:c r="B48" s="8" t="s">
        <x:v>73</x:v>
      </x:c>
      <x:c r="C48" s="1" t="s">
        <x:v>1564</x:v>
      </x:c>
      <x:c r="D48" s="8">
        <x:v>1</x:v>
      </x:c>
      <x:c r="E48" s="1"/>
      <x:c r="F48" s="8" t="s">
        <x:v>77</x:v>
      </x:c>
      <x:c r="G48" s="1" t="s">
        <x:v>5850</x:v>
      </x:c>
      <x:c r="H48" s="8" t="s">
        <x:v>76</x:v>
      </x:c>
      <x:c r="I48" s="1" t="s">
        <x:v>95</x:v>
      </x:c>
      <x:c r="J48" s="8" t="s">
        <x:v>1567</x:v>
      </x:c>
      <x:c r="K48" s="1" t="s">
        <x:v>5851</x:v>
      </x:c>
      <x:c r="L48" s="8" t="s">
        <x:v>5852</x:v>
      </x:c>
      <x:c r="M48" s="3">
        <x:v>46323</x:v>
      </x:c>
      <x:c r="N48" s="8" t="s">
        <x:v>5853</x:v>
      </x:c>
    </x:row>
    <x:row r="49" ht="75.94999694824219" customHeight="1">
      <x:c r="A49" s="1" t="s">
        <x:v>1987</x:v>
      </x:c>
      <x:c r="B49" s="8" t="s">
        <x:v>73</x:v>
      </x:c>
      <x:c r="C49" s="1" t="s">
        <x:v>1995</x:v>
      </x:c>
      <x:c r="D49" s="8">
        <x:v>9</x:v>
      </x:c>
      <x:c r="E49" s="1"/>
      <x:c r="F49" s="8" t="s">
        <x:v>77</x:v>
      </x:c>
      <x:c r="G49" s="1" t="s">
        <x:v>5850</x:v>
      </x:c>
      <x:c r="H49" s="8" t="s">
        <x:v>76</x:v>
      </x:c>
      <x:c r="I49" s="1" t="s">
        <x:v>95</x:v>
      </x:c>
      <x:c r="J49" s="8" t="s">
        <x:v>1999</x:v>
      </x:c>
      <x:c r="K49" s="1" t="s">
        <x:v>5855</x:v>
      </x:c>
      <x:c r="L49" s="8" t="s">
        <x:v>5852</x:v>
      </x:c>
      <x:c r="M49" s="3">
        <x:v>46323</x:v>
      </x:c>
      <x:c r="N49" s="8" t="s">
        <x:v>5853</x:v>
      </x:c>
    </x:row>
    <x:row r="50" ht="75.94999694824219" customHeight="1">
      <x:c r="A50" s="1" t="s">
        <x:v>1973</x:v>
      </x:c>
      <x:c r="B50" s="8" t="s">
        <x:v>73</x:v>
      </x:c>
      <x:c r="C50" s="1" t="s">
        <x:v>1966</x:v>
      </x:c>
      <x:c r="D50" s="8">
        <x:v>15</x:v>
      </x:c>
      <x:c r="E50" s="1"/>
      <x:c r="F50" s="8" t="s">
        <x:v>77</x:v>
      </x:c>
      <x:c r="G50" s="1" t="s">
        <x:v>5850</x:v>
      </x:c>
      <x:c r="H50" s="8" t="s">
        <x:v>54</x:v>
      </x:c>
      <x:c r="I50" s="1" t="s">
        <x:v>75</x:v>
      </x:c>
      <x:c r="J50" s="8" t="s">
        <x:v>1986</x:v>
      </x:c>
      <x:c r="K50" s="1" t="s">
        <x:v>5855</x:v>
      </x:c>
      <x:c r="L50" s="8" t="s">
        <x:v>5852</x:v>
      </x:c>
      <x:c r="M50" s="3">
        <x:v>46323</x:v>
      </x:c>
      <x:c r="N50" s="8" t="s">
        <x:v>5853</x:v>
      </x:c>
    </x:row>
    <x:row r="51" ht="75.94999694824219" customHeight="1">
      <x:c r="A51" s="1" t="s">
        <x:v>2112</x:v>
      </x:c>
      <x:c r="B51" s="8" t="s">
        <x:v>73</x:v>
      </x:c>
      <x:c r="C51" s="1" t="s">
        <x:v>2119</x:v>
      </x:c>
      <x:c r="D51" s="8">
        <x:v>4</x:v>
      </x:c>
      <x:c r="E51" s="1"/>
      <x:c r="F51" s="8" t="s">
        <x:v>77</x:v>
      </x:c>
      <x:c r="G51" s="1" t="s">
        <x:v>5850</x:v>
      </x:c>
      <x:c r="H51" s="8" t="s">
        <x:v>76</x:v>
      </x:c>
      <x:c r="I51" s="1" t="s">
        <x:v>95</x:v>
      </x:c>
      <x:c r="J51" s="8" t="s">
        <x:v>2123</x:v>
      </x:c>
      <x:c r="K51" s="1" t="s">
        <x:v>5884</x:v>
      </x:c>
      <x:c r="L51" s="8" t="s">
        <x:v>5852</x:v>
      </x:c>
      <x:c r="M51" s="3">
        <x:v>46323</x:v>
      </x:c>
      <x:c r="N51" s="8" t="s">
        <x:v>5853</x:v>
      </x:c>
    </x:row>
    <x:row r="52" ht="75.94999694824219" customHeight="1">
      <x:c r="A52" s="1" t="s">
        <x:v>5694</x:v>
      </x:c>
      <x:c r="B52" s="8" t="s">
        <x:v>4910</x:v>
      </x:c>
      <x:c r="C52" s="1" t="s">
        <x:v>5681</x:v>
      </x:c>
      <x:c r="D52" s="8">
        <x:v>56</x:v>
      </x:c>
      <x:c r="E52" s="1" t="s">
        <x:v>2308</x:v>
      </x:c>
      <x:c r="F52" s="8" t="s">
        <x:v>5702</x:v>
      </x:c>
      <x:c r="G52" s="1" t="s">
        <x:v>5850</x:v>
      </x:c>
      <x:c r="H52" s="8" t="s">
        <x:v>76</x:v>
      </x:c>
      <x:c r="I52" s="1" t="s">
        <x:v>95</x:v>
      </x:c>
      <x:c r="J52" s="8" t="s">
        <x:v>5703</x:v>
      </x:c>
      <x:c r="K52" s="1" t="s">
        <x:v>5851</x:v>
      </x:c>
      <x:c r="L52" s="8" t="s">
        <x:v>5852</x:v>
      </x:c>
      <x:c r="M52" s="3">
        <x:v>46323</x:v>
      </x:c>
      <x:c r="N52" s="8" t="s">
        <x:v>5853</x:v>
      </x:c>
    </x:row>
    <x:row r="53" ht="75.94999694824219" customHeight="1">
      <x:c r="A53" s="1" t="s">
        <x:v>2061</x:v>
      </x:c>
      <x:c r="B53" s="8" t="s">
        <x:v>73</x:v>
      </x:c>
      <x:c r="C53" s="1" t="s">
        <x:v>2069</x:v>
      </x:c>
      <x:c r="D53" s="8">
        <x:v>7</x:v>
      </x:c>
      <x:c r="E53" s="1"/>
      <x:c r="F53" s="8" t="s">
        <x:v>77</x:v>
      </x:c>
      <x:c r="G53" s="1" t="s">
        <x:v>5850</x:v>
      </x:c>
      <x:c r="H53" s="8" t="s">
        <x:v>76</x:v>
      </x:c>
      <x:c r="I53" s="1" t="s">
        <x:v>95</x:v>
      </x:c>
      <x:c r="J53" s="8" t="s">
        <x:v>2072</x:v>
      </x:c>
      <x:c r="K53" s="1" t="s">
        <x:v>5851</x:v>
      </x:c>
      <x:c r="L53" s="8" t="s">
        <x:v>5852</x:v>
      </x:c>
      <x:c r="M53" s="3">
        <x:v>46323</x:v>
      </x:c>
      <x:c r="N53" s="8" t="s">
        <x:v>5853</x:v>
      </x:c>
    </x:row>
    <x:row r="54" ht="75.94999694824219" customHeight="1">
      <x:c r="A54" s="1" t="s">
        <x:v>5738</x:v>
      </x:c>
      <x:c r="B54" s="8" t="s">
        <x:v>4910</x:v>
      </x:c>
      <x:c r="C54" s="1" t="s">
        <x:v>5745</x:v>
      </x:c>
      <x:c r="D54" s="8">
        <x:v>72</x:v>
      </x:c>
      <x:c r="E54" s="1" t="s">
        <x:v>5747</x:v>
      </x:c>
      <x:c r="F54" s="8" t="s">
        <x:v>5748</x:v>
      </x:c>
      <x:c r="G54" s="1" t="s">
        <x:v>5850</x:v>
      </x:c>
      <x:c r="H54" s="8" t="s">
        <x:v>76</x:v>
      </x:c>
      <x:c r="I54" s="1" t="s">
        <x:v>95</x:v>
      </x:c>
      <x:c r="J54" s="8" t="s">
        <x:v>5749</x:v>
      </x:c>
      <x:c r="K54" s="1" t="s">
        <x:v>5885</x:v>
      </x:c>
      <x:c r="L54" s="8" t="s">
        <x:v>5852</x:v>
      </x:c>
      <x:c r="M54" s="3">
        <x:v>46323</x:v>
      </x:c>
      <x:c r="N54" s="8" t="s">
        <x:v>5853</x:v>
      </x:c>
    </x:row>
    <x:row r="55" ht="75.94999694824219" customHeight="1">
      <x:c r="A55" s="1" t="s">
        <x:v>3534</x:v>
      </x:c>
      <x:c r="B55" s="8" t="s">
        <x:v>73</x:v>
      </x:c>
      <x:c r="C55" s="1" t="s">
        <x:v>3540</x:v>
      </x:c>
      <x:c r="D55" s="8">
        <x:v>33</x:v>
      </x:c>
      <x:c r="E55" s="1"/>
      <x:c r="F55" s="8" t="s">
        <x:v>77</x:v>
      </x:c>
      <x:c r="G55" s="1" t="s">
        <x:v>5850</x:v>
      </x:c>
      <x:c r="H55" s="8" t="s">
        <x:v>76</x:v>
      </x:c>
      <x:c r="I55" s="1" t="s">
        <x:v>95</x:v>
      </x:c>
      <x:c r="J55" s="8" t="s">
        <x:v>3544</x:v>
      </x:c>
      <x:c r="K55" s="1" t="s">
        <x:v>5851</x:v>
      </x:c>
      <x:c r="L55" s="8" t="s">
        <x:v>5852</x:v>
      </x:c>
      <x:c r="M55" s="3">
        <x:v>46323</x:v>
      </x:c>
      <x:c r="N55" s="8" t="s">
        <x:v>5853</x:v>
      </x:c>
    </x:row>
    <x:row r="56" ht="75.94999694824219" customHeight="1">
      <x:c r="A56" s="1" t="s">
        <x:v>5796</x:v>
      </x:c>
      <x:c r="B56" s="8" t="s">
        <x:v>4910</x:v>
      </x:c>
      <x:c r="C56" s="1" t="s">
        <x:v>5804</x:v>
      </x:c>
      <x:c r="D56" s="8">
        <x:v>111</x:v>
      </x:c>
      <x:c r="E56" s="1" t="s">
        <x:v>1915</x:v>
      </x:c>
      <x:c r="F56" s="8" t="s">
        <x:v>5806</x:v>
      </x:c>
      <x:c r="G56" s="1" t="s">
        <x:v>5850</x:v>
      </x:c>
      <x:c r="H56" s="8" t="s">
        <x:v>76</x:v>
      </x:c>
      <x:c r="I56" s="1" t="s">
        <x:v>95</x:v>
      </x:c>
      <x:c r="J56" s="8" t="s">
        <x:v>5807</x:v>
      </x:c>
      <x:c r="K56" s="1" t="s">
        <x:v>5886</x:v>
      </x:c>
      <x:c r="L56" s="8" t="s">
        <x:v>5852</x:v>
      </x:c>
      <x:c r="M56" s="3">
        <x:v>46323</x:v>
      </x:c>
      <x:c r="N56" s="8" t="s">
        <x:v>5853</x:v>
      </x:c>
    </x:row>
    <x:row r="57" ht="75.94999694824219" customHeight="1">
      <x:c r="A57" s="1" t="s">
        <x:v>579</x:v>
      </x:c>
      <x:c r="B57" s="8" t="s">
        <x:v>73</x:v>
      </x:c>
      <x:c r="C57" s="1" t="s">
        <x:v>587</x:v>
      </x:c>
      <x:c r="D57" s="8">
        <x:v>8</x:v>
      </x:c>
      <x:c r="E57" s="1"/>
      <x:c r="F57" s="8" t="s">
        <x:v>77</x:v>
      </x:c>
      <x:c r="G57" s="1" t="s">
        <x:v>5850</x:v>
      </x:c>
      <x:c r="H57" s="8" t="s">
        <x:v>54</x:v>
      </x:c>
      <x:c r="I57" s="1" t="s">
        <x:v>75</x:v>
      </x:c>
      <x:c r="J57" s="8" t="s">
        <x:v>596</x:v>
      </x:c>
      <x:c r="K57" s="1" t="s">
        <x:v>5887</x:v>
      </x:c>
      <x:c r="L57" s="8" t="s">
        <x:v>5852</x:v>
      </x:c>
      <x:c r="M57" s="3">
        <x:v>46323</x:v>
      </x:c>
      <x:c r="N57" s="8" t="s">
        <x:v>5853</x:v>
      </x:c>
    </x:row>
    <x:row r="58" ht="75.94999694824219" customHeight="1">
      <x:c r="A58" s="1" t="s">
        <x:v>2372</x:v>
      </x:c>
      <x:c r="B58" s="8" t="s">
        <x:v>73</x:v>
      </x:c>
      <x:c r="C58" s="1" t="s">
        <x:v>2342</x:v>
      </x:c>
      <x:c r="D58" s="8">
        <x:v>15</x:v>
      </x:c>
      <x:c r="E58" s="1"/>
      <x:c r="F58" s="8" t="s">
        <x:v>77</x:v>
      </x:c>
      <x:c r="G58" s="1" t="s">
        <x:v>5850</x:v>
      </x:c>
      <x:c r="H58" s="8" t="s">
        <x:v>54</x:v>
      </x:c>
      <x:c r="I58" s="1" t="s">
        <x:v>75</x:v>
      </x:c>
      <x:c r="J58" s="8" t="s">
        <x:v>2384</x:v>
      </x:c>
      <x:c r="K58" s="1" t="s">
        <x:v>5888</x:v>
      </x:c>
      <x:c r="L58" s="8" t="s">
        <x:v>5852</x:v>
      </x:c>
      <x:c r="M58" s="3">
        <x:v>46323</x:v>
      </x:c>
      <x:c r="N58" s="8" t="s">
        <x:v>5853</x:v>
      </x:c>
    </x:row>
    <x:row r="59" ht="75.94999694824219" customHeight="1">
      <x:c r="A59" s="1" t="s">
        <x:v>5073</x:v>
      </x:c>
      <x:c r="B59" s="8" t="s">
        <x:v>4910</x:v>
      </x:c>
      <x:c r="C59" s="1" t="s">
        <x:v>5020</x:v>
      </x:c>
      <x:c r="D59" s="8">
        <x:v>27</x:v>
      </x:c>
      <x:c r="E59" s="1" t="s">
        <x:v>5021</x:v>
      </x:c>
      <x:c r="F59" s="8" t="s">
        <x:v>5080</x:v>
      </x:c>
      <x:c r="G59" s="1" t="s">
        <x:v>5850</x:v>
      </x:c>
      <x:c r="H59" s="8" t="s">
        <x:v>76</x:v>
      </x:c>
      <x:c r="I59" s="1" t="s">
        <x:v>95</x:v>
      </x:c>
      <x:c r="J59" s="8" t="s">
        <x:v>5081</x:v>
      </x:c>
      <x:c r="K59" s="1" t="s">
        <x:v>5869</x:v>
      </x:c>
      <x:c r="L59" s="8" t="s">
        <x:v>5852</x:v>
      </x:c>
      <x:c r="M59" s="3">
        <x:v>46323</x:v>
      </x:c>
      <x:c r="N59" s="8" t="s">
        <x:v>5853</x:v>
      </x:c>
    </x:row>
    <x:row r="60" ht="75.94999694824219" customHeight="1">
      <x:c r="A60" s="1" t="s">
        <x:v>4926</x:v>
      </x:c>
      <x:c r="B60" s="8" t="s">
        <x:v>4910</x:v>
      </x:c>
      <x:c r="C60" s="1" t="s">
        <x:v>4906</x:v>
      </x:c>
      <x:c r="D60" s="8">
        <x:v>3</x:v>
      </x:c>
      <x:c r="E60" s="1" t="s">
        <x:v>4912</x:v>
      </x:c>
      <x:c r="F60" s="8" t="s">
        <x:v>4934</x:v>
      </x:c>
      <x:c r="G60" s="1" t="s">
        <x:v>5850</x:v>
      </x:c>
      <x:c r="H60" s="8" t="s">
        <x:v>76</x:v>
      </x:c>
      <x:c r="I60" s="1" t="s">
        <x:v>95</x:v>
      </x:c>
      <x:c r="J60" s="8" t="s">
        <x:v>4935</x:v>
      </x:c>
      <x:c r="K60" s="1" t="s">
        <x:v>5851</x:v>
      </x:c>
      <x:c r="L60" s="8" t="s">
        <x:v>5852</x:v>
      </x:c>
      <x:c r="M60" s="3">
        <x:v>46323</x:v>
      </x:c>
      <x:c r="N60" s="8" t="s">
        <x:v>5853</x:v>
      </x:c>
    </x:row>
    <x:row r="61" ht="75.94999694824219" customHeight="1">
      <x:c r="A61" s="1" t="s">
        <x:v>1523</x:v>
      </x:c>
      <x:c r="B61" s="8" t="s">
        <x:v>73</x:v>
      </x:c>
      <x:c r="C61" s="1" t="s">
        <x:v>1530</x:v>
      </x:c>
      <x:c r="D61" s="8">
        <x:v>2</x:v>
      </x:c>
      <x:c r="E61" s="1"/>
      <x:c r="F61" s="8" t="s">
        <x:v>77</x:v>
      </x:c>
      <x:c r="G61" s="1" t="s">
        <x:v>5850</x:v>
      </x:c>
      <x:c r="H61" s="8" t="s">
        <x:v>76</x:v>
      </x:c>
      <x:c r="I61" s="1" t="s">
        <x:v>95</x:v>
      </x:c>
      <x:c r="J61" s="8" t="s">
        <x:v>1533</x:v>
      </x:c>
      <x:c r="K61" s="1" t="s">
        <x:v>5851</x:v>
      </x:c>
      <x:c r="L61" s="8" t="s">
        <x:v>5852</x:v>
      </x:c>
      <x:c r="M61" s="3">
        <x:v>46323</x:v>
      </x:c>
      <x:c r="N61" s="8" t="s">
        <x:v>5853</x:v>
      </x:c>
    </x:row>
    <x:row r="62" ht="75.94999694824219" customHeight="1">
      <x:c r="A62" s="1" t="s">
        <x:v>5082</x:v>
      </x:c>
      <x:c r="B62" s="8" t="s">
        <x:v>4910</x:v>
      </x:c>
      <x:c r="C62" s="1" t="s">
        <x:v>5020</x:v>
      </x:c>
      <x:c r="D62" s="8">
        <x:v>29</x:v>
      </x:c>
      <x:c r="E62" s="1" t="s">
        <x:v>5021</x:v>
      </x:c>
      <x:c r="F62" s="8" t="s">
        <x:v>5088</x:v>
      </x:c>
      <x:c r="G62" s="1" t="s">
        <x:v>5850</x:v>
      </x:c>
      <x:c r="H62" s="8" t="s">
        <x:v>76</x:v>
      </x:c>
      <x:c r="I62" s="1" t="s">
        <x:v>95</x:v>
      </x:c>
      <x:c r="J62" s="8" t="s">
        <x:v>5089</x:v>
      </x:c>
      <x:c r="K62" s="1" t="s">
        <x:v>5889</x:v>
      </x:c>
      <x:c r="L62" s="8" t="s">
        <x:v>5852</x:v>
      </x:c>
      <x:c r="M62" s="3">
        <x:v>46323</x:v>
      </x:c>
      <x:c r="N62" s="8" t="s">
        <x:v>5853</x:v>
      </x:c>
    </x:row>
    <x:row r="63" ht="75.94999694824219" customHeight="1">
      <x:c r="A63" s="1" t="s">
        <x:v>1080</x:v>
      </x:c>
      <x:c r="B63" s="8" t="s">
        <x:v>73</x:v>
      </x:c>
      <x:c r="C63" s="1" t="s">
        <x:v>1030</x:v>
      </x:c>
      <x:c r="D63" s="8">
        <x:v>13</x:v>
      </x:c>
      <x:c r="E63" s="1"/>
      <x:c r="F63" s="8" t="s">
        <x:v>77</x:v>
      </x:c>
      <x:c r="G63" s="1" t="s">
        <x:v>5850</x:v>
      </x:c>
      <x:c r="H63" s="8" t="s">
        <x:v>76</x:v>
      </x:c>
      <x:c r="I63" s="1" t="s">
        <x:v>95</x:v>
      </x:c>
      <x:c r="J63" s="8" t="s">
        <x:v>1088</x:v>
      </x:c>
      <x:c r="K63" s="1" t="s">
        <x:v>5851</x:v>
      </x:c>
      <x:c r="L63" s="8" t="s">
        <x:v>5852</x:v>
      </x:c>
      <x:c r="M63" s="3">
        <x:v>46323</x:v>
      </x:c>
      <x:c r="N63" s="8" t="s">
        <x:v>5853</x:v>
      </x:c>
    </x:row>
    <x:row r="64" ht="75.94999694824219" customHeight="1">
      <x:c r="A64" s="1" t="s">
        <x:v>5818</x:v>
      </x:c>
      <x:c r="B64" s="8" t="s">
        <x:v>5325</x:v>
      </x:c>
      <x:c r="C64" s="1" t="s">
        <x:v>5664</x:v>
      </x:c>
      <x:c r="D64" s="8">
        <x:v>126</x:v>
      </x:c>
      <x:c r="E64" s="1" t="s">
        <x:v>5665</x:v>
      </x:c>
      <x:c r="F64" s="8" t="s">
        <x:v>5825</x:v>
      </x:c>
      <x:c r="G64" s="1" t="s">
        <x:v>5850</x:v>
      </x:c>
      <x:c r="H64" s="8" t="s">
        <x:v>76</x:v>
      </x:c>
      <x:c r="I64" s="1" t="s">
        <x:v>95</x:v>
      </x:c>
      <x:c r="J64" s="8" t="s">
        <x:v>5826</x:v>
      </x:c>
      <x:c r="K64" s="1" t="s">
        <x:v>5851</x:v>
      </x:c>
      <x:c r="L64" s="8" t="s">
        <x:v>5852</x:v>
      </x:c>
      <x:c r="M64" s="3">
        <x:v>46323</x:v>
      </x:c>
      <x:c r="N64" s="8" t="s">
        <x:v>5853</x:v>
      </x:c>
    </x:row>
    <x:row r="65" ht="75.94999694824219" customHeight="1">
      <x:c r="A65" s="1" t="s">
        <x:v>735</x:v>
      </x:c>
      <x:c r="B65" s="8" t="s">
        <x:v>73</x:v>
      </x:c>
      <x:c r="C65" s="1" t="s">
        <x:v>714</x:v>
      </x:c>
      <x:c r="D65" s="8">
        <x:v>10</x:v>
      </x:c>
      <x:c r="E65" s="1"/>
      <x:c r="F65" s="8" t="s">
        <x:v>77</x:v>
      </x:c>
      <x:c r="G65" s="1" t="s">
        <x:v>5850</x:v>
      </x:c>
      <x:c r="H65" s="8" t="s">
        <x:v>54</x:v>
      </x:c>
      <x:c r="I65" s="1" t="s">
        <x:v>75</x:v>
      </x:c>
      <x:c r="J65" s="8" t="s">
        <x:v>748</x:v>
      </x:c>
      <x:c r="K65" s="1" t="s">
        <x:v>5855</x:v>
      </x:c>
      <x:c r="L65" s="8" t="s">
        <x:v>5852</x:v>
      </x:c>
      <x:c r="M65" s="3">
        <x:v>46323</x:v>
      </x:c>
      <x:c r="N65" s="8" t="s">
        <x:v>5853</x:v>
      </x:c>
    </x:row>
    <x:row r="66" ht="75.94999694824219" customHeight="1">
      <x:c r="A66" s="1" t="s">
        <x:v>4157</x:v>
      </x:c>
      <x:c r="B66" s="8" t="s">
        <x:v>73</x:v>
      </x:c>
      <x:c r="C66" s="1" t="s">
        <x:v>4138</x:v>
      </x:c>
      <x:c r="D66" s="8">
        <x:v>15</x:v>
      </x:c>
      <x:c r="E66" s="1"/>
      <x:c r="F66" s="8" t="s">
        <x:v>77</x:v>
      </x:c>
      <x:c r="G66" s="1" t="s">
        <x:v>5850</x:v>
      </x:c>
      <x:c r="H66" s="8" t="s">
        <x:v>76</x:v>
      </x:c>
      <x:c r="I66" s="1" t="s">
        <x:v>95</x:v>
      </x:c>
      <x:c r="J66" s="8" t="s">
        <x:v>4164</x:v>
      </x:c>
      <x:c r="K66" s="1" t="s">
        <x:v>5851</x:v>
      </x:c>
      <x:c r="L66" s="8" t="s">
        <x:v>5852</x:v>
      </x:c>
      <x:c r="M66" s="3">
        <x:v>46323</x:v>
      </x:c>
      <x:c r="N66" s="8" t="s">
        <x:v>5853</x:v>
      </x:c>
    </x:row>
    <x:row r="67" ht="75.94999694824219" customHeight="1">
      <x:c r="A67" s="1" t="s">
        <x:v>4674</x:v>
      </x:c>
      <x:c r="B67" s="8" t="s">
        <x:v>73</x:v>
      </x:c>
      <x:c r="C67" s="1" t="s">
        <x:v>4681</x:v>
      </x:c>
      <x:c r="D67" s="8">
        <x:v>18</x:v>
      </x:c>
      <x:c r="E67" s="1"/>
      <x:c r="F67" s="8" t="s">
        <x:v>77</x:v>
      </x:c>
      <x:c r="G67" s="1" t="s">
        <x:v>5850</x:v>
      </x:c>
      <x:c r="H67" s="8" t="s">
        <x:v>54</x:v>
      </x:c>
      <x:c r="I67" s="1" t="s">
        <x:v>75</x:v>
      </x:c>
      <x:c r="J67" s="8" t="s">
        <x:v>4689</x:v>
      </x:c>
      <x:c r="K67" s="1" t="s">
        <x:v>5855</x:v>
      </x:c>
      <x:c r="L67" s="8" t="s">
        <x:v>5852</x:v>
      </x:c>
      <x:c r="M67" s="3">
        <x:v>46323</x:v>
      </x:c>
      <x:c r="N67" s="8" t="s">
        <x:v>5853</x:v>
      </x:c>
    </x:row>
    <x:row r="68" ht="75.94999694824219" customHeight="1">
      <x:c r="A68" s="1" t="s">
        <x:v>3806</x:v>
      </x:c>
      <x:c r="B68" s="8" t="s">
        <x:v>73</x:v>
      </x:c>
      <x:c r="C68" s="1" t="s">
        <x:v>3798</x:v>
      </x:c>
      <x:c r="D68" s="8">
        <x:v>6</x:v>
      </x:c>
      <x:c r="E68" s="1"/>
      <x:c r="F68" s="8" t="s">
        <x:v>77</x:v>
      </x:c>
      <x:c r="G68" s="1" t="s">
        <x:v>5850</x:v>
      </x:c>
      <x:c r="H68" s="8" t="s">
        <x:v>76</x:v>
      </x:c>
      <x:c r="I68" s="1" t="s">
        <x:v>95</x:v>
      </x:c>
      <x:c r="J68" s="8" t="s">
        <x:v>3814</x:v>
      </x:c>
      <x:c r="K68" s="1" t="s">
        <x:v>5851</x:v>
      </x:c>
      <x:c r="L68" s="8" t="s">
        <x:v>5852</x:v>
      </x:c>
      <x:c r="M68" s="3">
        <x:v>46323</x:v>
      </x:c>
      <x:c r="N68" s="8" t="s">
        <x:v>5853</x:v>
      </x:c>
    </x:row>
    <x:row r="69" ht="75.94999694824219" customHeight="1">
      <x:c r="A69" s="1" t="s">
        <x:v>5243</x:v>
      </x:c>
      <x:c r="B69" s="8" t="s">
        <x:v>4910</x:v>
      </x:c>
      <x:c r="C69" s="1" t="s">
        <x:v>5207</x:v>
      </x:c>
      <x:c r="D69" s="8">
        <x:v>8</x:v>
      </x:c>
      <x:c r="E69" s="1" t="s">
        <x:v>1783</x:v>
      </x:c>
      <x:c r="F69" s="8" t="s">
        <x:v>5253</x:v>
      </x:c>
      <x:c r="G69" s="1" t="s">
        <x:v>5850</x:v>
      </x:c>
      <x:c r="H69" s="8" t="s">
        <x:v>76</x:v>
      </x:c>
      <x:c r="I69" s="1" t="s">
        <x:v>95</x:v>
      </x:c>
      <x:c r="J69" s="8" t="s">
        <x:v>5254</x:v>
      </x:c>
      <x:c r="K69" s="1" t="s">
        <x:v>5890</x:v>
      </x:c>
      <x:c r="L69" s="8" t="s">
        <x:v>5852</x:v>
      </x:c>
      <x:c r="M69" s="3">
        <x:v>46323</x:v>
      </x:c>
      <x:c r="N69" s="8" t="s">
        <x:v>5853</x:v>
      </x:c>
    </x:row>
    <x:row r="70" ht="75.94999694824219" customHeight="1">
      <x:c r="A70" s="1" t="s">
        <x:v>1763</x:v>
      </x:c>
      <x:c r="B70" s="8" t="s">
        <x:v>73</x:v>
      </x:c>
      <x:c r="C70" s="1" t="s">
        <x:v>1755</x:v>
      </x:c>
      <x:c r="D70" s="8">
        <x:v>19</x:v>
      </x:c>
      <x:c r="E70" s="1"/>
      <x:c r="F70" s="8" t="s">
        <x:v>77</x:v>
      </x:c>
      <x:c r="G70" s="1" t="s">
        <x:v>5850</x:v>
      </x:c>
      <x:c r="H70" s="8" t="s">
        <x:v>54</x:v>
      </x:c>
      <x:c r="I70" s="1" t="s">
        <x:v>75</x:v>
      </x:c>
      <x:c r="J70" s="8" t="s">
        <x:v>1776</x:v>
      </x:c>
      <x:c r="K70" s="1" t="s">
        <x:v>5855</x:v>
      </x:c>
      <x:c r="L70" s="8" t="s">
        <x:v>5852</x:v>
      </x:c>
      <x:c r="M70" s="3">
        <x:v>46323</x:v>
      </x:c>
      <x:c r="N70" s="8" t="s">
        <x:v>5853</x:v>
      </x:c>
    </x:row>
    <x:row r="71" ht="75.94999694824219" customHeight="1">
      <x:c r="A71" s="1" t="s">
        <x:v>5376</x:v>
      </x:c>
      <x:c r="B71" s="8" t="s">
        <x:v>5325</x:v>
      </x:c>
      <x:c r="C71" s="1" t="s">
        <x:v>5384</x:v>
      </x:c>
      <x:c r="D71" s="8">
        <x:v>29</x:v>
      </x:c>
      <x:c r="E71" s="1" t="s">
        <x:v>5385</x:v>
      </x:c>
      <x:c r="F71" s="8" t="s">
        <x:v>5386</x:v>
      </x:c>
      <x:c r="G71" s="1" t="s">
        <x:v>5850</x:v>
      </x:c>
      <x:c r="H71" s="8" t="s">
        <x:v>76</x:v>
      </x:c>
      <x:c r="I71" s="1" t="s">
        <x:v>95</x:v>
      </x:c>
      <x:c r="J71" s="8" t="s">
        <x:v>5387</x:v>
      </x:c>
      <x:c r="K71" s="1" t="s">
        <x:v>5851</x:v>
      </x:c>
      <x:c r="L71" s="8" t="s">
        <x:v>5852</x:v>
      </x:c>
      <x:c r="M71" s="3">
        <x:v>46323</x:v>
      </x:c>
      <x:c r="N71" s="8" t="s">
        <x:v>5853</x:v>
      </x:c>
    </x:row>
    <x:row r="72" ht="75.94999694824219" customHeight="1">
      <x:c r="A72" s="1" t="s">
        <x:v>5619</x:v>
      </x:c>
      <x:c r="B72" s="8" t="s">
        <x:v>5325</x:v>
      </x:c>
      <x:c r="C72" s="1" t="s">
        <x:v>5625</x:v>
      </x:c>
      <x:c r="D72" s="8">
        <x:v>114</x:v>
      </x:c>
      <x:c r="E72" s="1" t="s">
        <x:v>5626</x:v>
      </x:c>
      <x:c r="F72" s="8" t="s">
        <x:v>5627</x:v>
      </x:c>
      <x:c r="G72" s="1" t="s">
        <x:v>5850</x:v>
      </x:c>
      <x:c r="H72" s="8" t="s">
        <x:v>76</x:v>
      </x:c>
      <x:c r="I72" s="1" t="s">
        <x:v>95</x:v>
      </x:c>
      <x:c r="J72" s="8" t="s">
        <x:v>5628</x:v>
      </x:c>
      <x:c r="K72" s="1" t="s">
        <x:v>5851</x:v>
      </x:c>
      <x:c r="L72" s="8" t="s">
        <x:v>5852</x:v>
      </x:c>
      <x:c r="M72" s="3">
        <x:v>46323</x:v>
      </x:c>
      <x:c r="N72" s="8" t="s">
        <x:v>5853</x:v>
      </x:c>
    </x:row>
    <x:row r="73" ht="75.94999694824219" customHeight="1">
      <x:c r="A73" s="1" t="s">
        <x:v>5827</x:v>
      </x:c>
      <x:c r="B73" s="8" t="s">
        <x:v>5325</x:v>
      </x:c>
      <x:c r="C73" s="1" t="s">
        <x:v>5664</x:v>
      </x:c>
      <x:c r="D73" s="8">
        <x:v>131</x:v>
      </x:c>
      <x:c r="E73" s="1" t="s">
        <x:v>5665</x:v>
      </x:c>
      <x:c r="F73" s="8" t="s">
        <x:v>5836</x:v>
      </x:c>
      <x:c r="G73" s="1" t="s">
        <x:v>5850</x:v>
      </x:c>
      <x:c r="H73" s="8" t="s">
        <x:v>76</x:v>
      </x:c>
      <x:c r="I73" s="1" t="s">
        <x:v>95</x:v>
      </x:c>
      <x:c r="J73" s="8" t="s">
        <x:v>5837</x:v>
      </x:c>
      <x:c r="K73" s="1" t="s">
        <x:v>5891</x:v>
      </x:c>
      <x:c r="L73" s="8" t="s">
        <x:v>5852</x:v>
      </x:c>
      <x:c r="M73" s="3">
        <x:v>46323</x:v>
      </x:c>
      <x:c r="N73" s="8" t="s">
        <x:v>5853</x:v>
      </x:c>
    </x:row>
    <x:row r="74" ht="75.94999694824219" customHeight="1">
      <x:c r="A74" s="1" t="s">
        <x:v>5099</x:v>
      </x:c>
      <x:c r="B74" s="8" t="s">
        <x:v>4910</x:v>
      </x:c>
      <x:c r="C74" s="1" t="s">
        <x:v>5104</x:v>
      </x:c>
      <x:c r="D74" s="8">
        <x:v>32</x:v>
      </x:c>
      <x:c r="E74" s="1" t="s">
        <x:v>5106</x:v>
      </x:c>
      <x:c r="F74" s="8" t="s">
        <x:v>5107</x:v>
      </x:c>
      <x:c r="G74" s="1" t="s">
        <x:v>5850</x:v>
      </x:c>
      <x:c r="H74" s="8" t="s">
        <x:v>76</x:v>
      </x:c>
      <x:c r="I74" s="1" t="s">
        <x:v>95</x:v>
      </x:c>
      <x:c r="J74" s="8" t="s">
        <x:v>5108</x:v>
      </x:c>
      <x:c r="K74" s="1" t="s">
        <x:v>5892</x:v>
      </x:c>
      <x:c r="L74" s="8" t="s">
        <x:v>5852</x:v>
      </x:c>
      <x:c r="M74" s="3">
        <x:v>46323</x:v>
      </x:c>
      <x:c r="N74" s="8" t="s">
        <x:v>5853</x:v>
      </x:c>
    </x:row>
    <x:row r="75" ht="75.94999694824219" customHeight="1">
      <x:c r="A75" s="1" t="s">
        <x:v>5055</x:v>
      </x:c>
      <x:c r="B75" s="8" t="s">
        <x:v>4910</x:v>
      </x:c>
      <x:c r="C75" s="1" t="s">
        <x:v>5020</x:v>
      </x:c>
      <x:c r="D75" s="8">
        <x:v>25</x:v>
      </x:c>
      <x:c r="E75" s="1" t="s">
        <x:v>5021</x:v>
      </x:c>
      <x:c r="F75" s="8" t="s">
        <x:v>5064</x:v>
      </x:c>
      <x:c r="G75" s="1" t="s">
        <x:v>5850</x:v>
      </x:c>
      <x:c r="H75" s="8" t="s">
        <x:v>76</x:v>
      </x:c>
      <x:c r="I75" s="1" t="s">
        <x:v>95</x:v>
      </x:c>
      <x:c r="J75" s="8" t="s">
        <x:v>5065</x:v>
      </x:c>
      <x:c r="K75" s="1" t="s">
        <x:v>5851</x:v>
      </x:c>
      <x:c r="L75" s="8" t="s">
        <x:v>5852</x:v>
      </x:c>
      <x:c r="M75" s="3">
        <x:v>46323</x:v>
      </x:c>
      <x:c r="N75" s="8" t="s">
        <x:v>5853</x:v>
      </x:c>
    </x:row>
    <x:row r="76" ht="75.94999694824219" customHeight="1">
      <x:c r="A76" s="1" t="s">
        <x:v>220</x:v>
      </x:c>
      <x:c r="B76" s="8" t="s">
        <x:v>73</x:v>
      </x:c>
      <x:c r="C76" s="1" t="s">
        <x:v>228</x:v>
      </x:c>
      <x:c r="D76" s="8">
        <x:v>9</x:v>
      </x:c>
      <x:c r="E76" s="1"/>
      <x:c r="F76" s="8" t="s">
        <x:v>77</x:v>
      </x:c>
      <x:c r="G76" s="1" t="s">
        <x:v>5850</x:v>
      </x:c>
      <x:c r="H76" s="8" t="s">
        <x:v>76</x:v>
      </x:c>
      <x:c r="I76" s="1" t="s">
        <x:v>95</x:v>
      </x:c>
      <x:c r="J76" s="8" t="s">
        <x:v>232</x:v>
      </x:c>
      <x:c r="K76" s="1" t="s">
        <x:v>5851</x:v>
      </x:c>
      <x:c r="L76" s="8" t="s">
        <x:v>5852</x:v>
      </x:c>
      <x:c r="M76" s="3">
        <x:v>46323</x:v>
      </x:c>
      <x:c r="N76" s="8" t="s">
        <x:v>5853</x:v>
      </x:c>
    </x:row>
    <x:row r="77" ht="75.94999694824219" customHeight="1">
      <x:c r="A77" s="1" t="s">
        <x:v>1098</x:v>
      </x:c>
      <x:c r="B77" s="8" t="s">
        <x:v>73</x:v>
      </x:c>
      <x:c r="C77" s="1" t="s">
        <x:v>1106</x:v>
      </x:c>
      <x:c r="D77" s="8">
        <x:v>1</x:v>
      </x:c>
      <x:c r="E77" s="1"/>
      <x:c r="F77" s="8" t="s">
        <x:v>77</x:v>
      </x:c>
      <x:c r="G77" s="1" t="s">
        <x:v>5850</x:v>
      </x:c>
      <x:c r="H77" s="8" t="s">
        <x:v>54</x:v>
      </x:c>
      <x:c r="I77" s="1" t="s">
        <x:v>75</x:v>
      </x:c>
      <x:c r="J77" s="8" t="s">
        <x:v>1114</x:v>
      </x:c>
      <x:c r="K77" s="1" t="s">
        <x:v>5855</x:v>
      </x:c>
      <x:c r="L77" s="8" t="s">
        <x:v>5852</x:v>
      </x:c>
      <x:c r="M77" s="3">
        <x:v>46323</x:v>
      </x:c>
      <x:c r="N77" s="8" t="s">
        <x:v>5853</x:v>
      </x:c>
    </x:row>
    <x:row r="78" ht="75.94999694824219" customHeight="1">
      <x:c r="A78" s="1" t="s">
        <x:v>5788</x:v>
      </x:c>
      <x:c r="B78" s="8" t="s">
        <x:v>4910</x:v>
      </x:c>
      <x:c r="C78" s="1" t="s">
        <x:v>5745</x:v>
      </x:c>
      <x:c r="D78" s="8">
        <x:v>80</x:v>
      </x:c>
      <x:c r="E78" s="1" t="s">
        <x:v>5747</x:v>
      </x:c>
      <x:c r="F78" s="8" t="s">
        <x:v>5794</x:v>
      </x:c>
      <x:c r="G78" s="1" t="s">
        <x:v>5850</x:v>
      </x:c>
      <x:c r="H78" s="8" t="s">
        <x:v>76</x:v>
      </x:c>
      <x:c r="I78" s="1" t="s">
        <x:v>95</x:v>
      </x:c>
      <x:c r="J78" s="8" t="s">
        <x:v>5795</x:v>
      </x:c>
      <x:c r="K78" s="1" t="s">
        <x:v>5851</x:v>
      </x:c>
      <x:c r="L78" s="8" t="s">
        <x:v>5852</x:v>
      </x:c>
      <x:c r="M78" s="3">
        <x:v>46323</x:v>
      </x:c>
      <x:c r="N78" s="8" t="s">
        <x:v>5853</x:v>
      </x:c>
    </x:row>
    <x:row r="79" ht="75.94999694824219" customHeight="1">
      <x:c r="A79" s="1" t="s">
        <x:v>5109</x:v>
      </x:c>
      <x:c r="B79" s="8" t="s">
        <x:v>4910</x:v>
      </x:c>
      <x:c r="C79" s="1" t="s">
        <x:v>5104</x:v>
      </x:c>
      <x:c r="D79" s="8">
        <x:v>33</x:v>
      </x:c>
      <x:c r="E79" s="1" t="s">
        <x:v>5106</x:v>
      </x:c>
      <x:c r="F79" s="8" t="s">
        <x:v>5115</x:v>
      </x:c>
      <x:c r="G79" s="1" t="s">
        <x:v>5850</x:v>
      </x:c>
      <x:c r="H79" s="8" t="s">
        <x:v>76</x:v>
      </x:c>
      <x:c r="I79" s="1" t="s">
        <x:v>95</x:v>
      </x:c>
      <x:c r="J79" s="8" t="s">
        <x:v>5116</x:v>
      </x:c>
      <x:c r="K79" s="1" t="s">
        <x:v>5869</x:v>
      </x:c>
      <x:c r="L79" s="8" t="s">
        <x:v>5852</x:v>
      </x:c>
      <x:c r="M79" s="3">
        <x:v>46323</x:v>
      </x:c>
      <x:c r="N79" s="8" t="s">
        <x:v>5853</x:v>
      </x:c>
    </x:row>
    <x:row r="80" ht="75.94999694824219" customHeight="1">
      <x:c r="A80" s="1" t="s">
        <x:v>5262</x:v>
      </x:c>
      <x:c r="B80" s="8" t="s">
        <x:v>4910</x:v>
      </x:c>
      <x:c r="C80" s="1" t="s">
        <x:v>5207</x:v>
      </x:c>
      <x:c r="D80" s="8">
        <x:v>11</x:v>
      </x:c>
      <x:c r="E80" s="1" t="s">
        <x:v>1783</x:v>
      </x:c>
      <x:c r="F80" s="8" t="s">
        <x:v>5268</x:v>
      </x:c>
      <x:c r="G80" s="1" t="s">
        <x:v>5850</x:v>
      </x:c>
      <x:c r="H80" s="8" t="s">
        <x:v>76</x:v>
      </x:c>
      <x:c r="I80" s="1" t="s">
        <x:v>95</x:v>
      </x:c>
      <x:c r="J80" s="8" t="s">
        <x:v>5269</x:v>
      </x:c>
      <x:c r="K80" s="1" t="s">
        <x:v>5893</x:v>
      </x:c>
      <x:c r="L80" s="8" t="s">
        <x:v>5852</x:v>
      </x:c>
      <x:c r="M80" s="3">
        <x:v>46323</x:v>
      </x:c>
      <x:c r="N80" s="8" t="s">
        <x:v>5853</x:v>
      </x:c>
    </x:row>
    <x:row r="81" ht="75.94999694824219" customHeight="1">
      <x:c r="A81" s="1" t="s">
        <x:v>5675</x:v>
      </x:c>
      <x:c r="B81" s="8" t="s">
        <x:v>4910</x:v>
      </x:c>
      <x:c r="C81" s="1" t="s">
        <x:v>5681</x:v>
      </x:c>
      <x:c r="D81" s="8">
        <x:v>46</x:v>
      </x:c>
      <x:c r="E81" s="1" t="s">
        <x:v>2308</x:v>
      </x:c>
      <x:c r="F81" s="8" t="s">
        <x:v>5683</x:v>
      </x:c>
      <x:c r="G81" s="1" t="s">
        <x:v>5850</x:v>
      </x:c>
      <x:c r="H81" s="8" t="s">
        <x:v>76</x:v>
      </x:c>
      <x:c r="I81" s="1" t="s">
        <x:v>95</x:v>
      </x:c>
      <x:c r="J81" s="8" t="s">
        <x:v>5685</x:v>
      </x:c>
      <x:c r="K81" s="1" t="s">
        <x:v>5894</x:v>
      </x:c>
      <x:c r="L81" s="8" t="s">
        <x:v>5852</x:v>
      </x:c>
      <x:c r="M81" s="3">
        <x:v>46323</x:v>
      </x:c>
      <x:c r="N81" s="8" t="s">
        <x:v>5853</x:v>
      </x:c>
    </x:row>
    <x:row r="82" ht="75.94999694824219" customHeight="1">
      <x:c r="A82" s="1" t="s">
        <x:v>859</x:v>
      </x:c>
      <x:c r="B82" s="8" t="s">
        <x:v>73</x:v>
      </x:c>
      <x:c r="C82" s="1" t="s">
        <x:v>840</x:v>
      </x:c>
      <x:c r="D82" s="8">
        <x:v>11</x:v>
      </x:c>
      <x:c r="E82" s="1"/>
      <x:c r="F82" s="8" t="s">
        <x:v>77</x:v>
      </x:c>
      <x:c r="G82" s="1" t="s">
        <x:v>5850</x:v>
      </x:c>
      <x:c r="H82" s="8" t="s">
        <x:v>54</x:v>
      </x:c>
      <x:c r="I82" s="1" t="s">
        <x:v>75</x:v>
      </x:c>
      <x:c r="J82" s="8" t="s">
        <x:v>873</x:v>
      </x:c>
      <x:c r="K82" s="1" t="s">
        <x:v>5855</x:v>
      </x:c>
      <x:c r="L82" s="8" t="s">
        <x:v>5852</x:v>
      </x:c>
      <x:c r="M82" s="3">
        <x:v>46323</x:v>
      </x:c>
      <x:c r="N82" s="8" t="s">
        <x:v>5853</x:v>
      </x:c>
    </x:row>
    <x:row r="83" ht="75.94999694824219" customHeight="1">
      <x:c r="A83" s="1" t="s">
        <x:v>3981</x:v>
      </x:c>
      <x:c r="B83" s="8" t="s">
        <x:v>73</x:v>
      </x:c>
      <x:c r="C83" s="1" t="s">
        <x:v>3989</x:v>
      </x:c>
      <x:c r="D83" s="8">
        <x:v>7</x:v>
      </x:c>
      <x:c r="E83" s="1"/>
      <x:c r="F83" s="8" t="s">
        <x:v>77</x:v>
      </x:c>
      <x:c r="G83" s="1" t="s">
        <x:v>5850</x:v>
      </x:c>
      <x:c r="H83" s="8" t="s">
        <x:v>54</x:v>
      </x:c>
      <x:c r="I83" s="1" t="s">
        <x:v>75</x:v>
      </x:c>
      <x:c r="J83" s="8" t="s">
        <x:v>3997</x:v>
      </x:c>
      <x:c r="K83" s="1" t="s">
        <x:v>5855</x:v>
      </x:c>
      <x:c r="L83" s="8" t="s">
        <x:v>5852</x:v>
      </x:c>
      <x:c r="M83" s="3">
        <x:v>46323</x:v>
      </x:c>
      <x:c r="N83" s="8" t="s">
        <x:v>5853</x:v>
      </x:c>
    </x:row>
    <x:row r="84" ht="75.94999694824219" customHeight="1">
      <x:c r="A84" s="1" t="s">
        <x:v>5629</x:v>
      </x:c>
      <x:c r="B84" s="8" t="s">
        <x:v>5325</x:v>
      </x:c>
      <x:c r="C84" s="1" t="s">
        <x:v>5625</x:v>
      </x:c>
      <x:c r="D84" s="8">
        <x:v>115</x:v>
      </x:c>
      <x:c r="E84" s="1" t="s">
        <x:v>5626</x:v>
      </x:c>
      <x:c r="F84" s="8" t="s">
        <x:v>5637</x:v>
      </x:c>
      <x:c r="G84" s="1" t="s">
        <x:v>5850</x:v>
      </x:c>
      <x:c r="H84" s="8" t="s">
        <x:v>76</x:v>
      </x:c>
      <x:c r="I84" s="1" t="s">
        <x:v>95</x:v>
      </x:c>
      <x:c r="J84" s="8" t="s">
        <x:v>5638</x:v>
      </x:c>
      <x:c r="K84" s="1" t="s">
        <x:v>5895</x:v>
      </x:c>
      <x:c r="L84" s="8" t="s">
        <x:v>5852</x:v>
      </x:c>
      <x:c r="M84" s="3">
        <x:v>46323</x:v>
      </x:c>
      <x:c r="N84" s="8" t="s">
        <x:v>5853</x:v>
      </x:c>
    </x:row>
    <x:row r="85" ht="75.94999694824219" customHeight="1">
      <x:c r="A85" s="1" t="s">
        <x:v>325</x:v>
      </x:c>
      <x:c r="B85" s="8" t="s">
        <x:v>73</x:v>
      </x:c>
      <x:c r="C85" s="1" t="s">
        <x:v>318</x:v>
      </x:c>
      <x:c r="D85" s="8">
        <x:v>7</x:v>
      </x:c>
      <x:c r="E85" s="1"/>
      <x:c r="F85" s="8" t="s">
        <x:v>77</x:v>
      </x:c>
      <x:c r="G85" s="1" t="s">
        <x:v>5850</x:v>
      </x:c>
      <x:c r="H85" s="8" t="s">
        <x:v>76</x:v>
      </x:c>
      <x:c r="I85" s="1" t="s">
        <x:v>95</x:v>
      </x:c>
      <x:c r="J85" s="8" t="s">
        <x:v>333</x:v>
      </x:c>
      <x:c r="K85" s="1" t="s">
        <x:v>5851</x:v>
      </x:c>
      <x:c r="L85" s="8" t="s">
        <x:v>5852</x:v>
      </x:c>
      <x:c r="M85" s="3">
        <x:v>46323</x:v>
      </x:c>
      <x:c r="N85" s="8" t="s">
        <x:v>5853</x:v>
      </x:c>
    </x:row>
    <x:row r="86" ht="75.94999694824219" customHeight="1">
      <x:c r="A86" s="1" t="s">
        <x:v>4916</x:v>
      </x:c>
      <x:c r="B86" s="8" t="s">
        <x:v>4910</x:v>
      </x:c>
      <x:c r="C86" s="1" t="s">
        <x:v>4906</x:v>
      </x:c>
      <x:c r="D86" s="8">
        <x:v>2</x:v>
      </x:c>
      <x:c r="E86" s="1" t="s">
        <x:v>4912</x:v>
      </x:c>
      <x:c r="F86" s="8" t="s">
        <x:v>4924</x:v>
      </x:c>
      <x:c r="G86" s="1" t="s">
        <x:v>5850</x:v>
      </x:c>
      <x:c r="H86" s="8" t="s">
        <x:v>76</x:v>
      </x:c>
      <x:c r="I86" s="1" t="s">
        <x:v>95</x:v>
      </x:c>
      <x:c r="J86" s="8" t="s">
        <x:v>4925</x:v>
      </x:c>
      <x:c r="K86" s="1" t="s">
        <x:v>5896</x:v>
      </x:c>
      <x:c r="L86" s="8" t="s">
        <x:v>5852</x:v>
      </x:c>
      <x:c r="M86" s="3">
        <x:v>46323</x:v>
      </x:c>
      <x:c r="N86" s="8" t="s">
        <x:v>5853</x:v>
      </x:c>
    </x:row>
    <x:row r="87" ht="75.94999694824219" customHeight="1">
      <x:c r="A87" s="1" t="s">
        <x:v>5443</x:v>
      </x:c>
      <x:c r="B87" s="8" t="s">
        <x:v>5325</x:v>
      </x:c>
      <x:c r="C87" s="1" t="s">
        <x:v>5425</x:v>
      </x:c>
      <x:c r="D87" s="8">
        <x:v>39</x:v>
      </x:c>
      <x:c r="E87" s="1" t="s">
        <x:v>5426</x:v>
      </x:c>
      <x:c r="F87" s="8" t="s">
        <x:v>5450</x:v>
      </x:c>
      <x:c r="G87" s="1" t="s">
        <x:v>5850</x:v>
      </x:c>
      <x:c r="H87" s="8" t="s">
        <x:v>76</x:v>
      </x:c>
      <x:c r="I87" s="1" t="s">
        <x:v>95</x:v>
      </x:c>
      <x:c r="J87" s="8" t="s">
        <x:v>5451</x:v>
      </x:c>
      <x:c r="K87" s="1" t="s">
        <x:v>5897</x:v>
      </x:c>
      <x:c r="L87" s="8" t="s">
        <x:v>5852</x:v>
      </x:c>
      <x:c r="M87" s="3">
        <x:v>46323</x:v>
      </x:c>
      <x:c r="N87" s="8" t="s">
        <x:v>5853</x:v>
      </x:c>
    </x:row>
    <x:row r="88" ht="75.94999694824219" customHeight="1">
      <x:c r="A88" s="1" t="s">
        <x:v>5479</x:v>
      </x:c>
      <x:c r="B88" s="8" t="s">
        <x:v>5325</x:v>
      </x:c>
      <x:c r="C88" s="1" t="s">
        <x:v>5467</x:v>
      </x:c>
      <x:c r="D88" s="8">
        <x:v>43</x:v>
      </x:c>
      <x:c r="E88" s="1" t="s">
        <x:v>5468</x:v>
      </x:c>
      <x:c r="F88" s="8" t="s">
        <x:v>5487</x:v>
      </x:c>
      <x:c r="G88" s="1" t="s">
        <x:v>5850</x:v>
      </x:c>
      <x:c r="H88" s="8" t="s">
        <x:v>76</x:v>
      </x:c>
      <x:c r="I88" s="1" t="s">
        <x:v>95</x:v>
      </x:c>
      <x:c r="J88" s="8" t="s">
        <x:v>5488</x:v>
      </x:c>
      <x:c r="K88" s="1" t="s">
        <x:v>5898</x:v>
      </x:c>
      <x:c r="L88" s="8" t="s">
        <x:v>5852</x:v>
      </x:c>
      <x:c r="M88" s="3">
        <x:v>46323</x:v>
      </x:c>
      <x:c r="N88" s="8" t="s">
        <x:v>5853</x:v>
      </x:c>
    </x:row>
    <x:row r="89" ht="75.94999694824219" customHeight="1">
      <x:c r="A89" s="1" t="s">
        <x:v>5126</x:v>
      </x:c>
      <x:c r="B89" s="8" t="s">
        <x:v>4910</x:v>
      </x:c>
      <x:c r="C89" s="1" t="s">
        <x:v>5104</x:v>
      </x:c>
      <x:c r="D89" s="8">
        <x:v>35</x:v>
      </x:c>
      <x:c r="E89" s="1" t="s">
        <x:v>5106</x:v>
      </x:c>
      <x:c r="F89" s="8" t="s">
        <x:v>5133</x:v>
      </x:c>
      <x:c r="G89" s="1" t="s">
        <x:v>5850</x:v>
      </x:c>
      <x:c r="H89" s="8" t="s">
        <x:v>76</x:v>
      </x:c>
      <x:c r="I89" s="1" t="s">
        <x:v>95</x:v>
      </x:c>
      <x:c r="J89" s="8" t="s">
        <x:v>5134</x:v>
      </x:c>
      <x:c r="K89" s="1" t="s">
        <x:v>5851</x:v>
      </x:c>
      <x:c r="L89" s="8" t="s">
        <x:v>5852</x:v>
      </x:c>
      <x:c r="M89" s="3">
        <x:v>46323</x:v>
      </x:c>
      <x:c r="N89" s="8" t="s">
        <x:v>5853</x:v>
      </x:c>
    </x:row>
    <x:row r="90" ht="75.94999694824219" customHeight="1">
      <x:c r="A90" s="1" t="s">
        <x:v>3350</x:v>
      </x:c>
      <x:c r="B90" s="8" t="s">
        <x:v>73</x:v>
      </x:c>
      <x:c r="C90" s="1" t="s">
        <x:v>3314</x:v>
      </x:c>
      <x:c r="D90" s="8">
        <x:v>33</x:v>
      </x:c>
      <x:c r="E90" s="1"/>
      <x:c r="F90" s="8" t="s">
        <x:v>77</x:v>
      </x:c>
      <x:c r="G90" s="1" t="s">
        <x:v>5850</x:v>
      </x:c>
      <x:c r="H90" s="8" t="s">
        <x:v>54</x:v>
      </x:c>
      <x:c r="I90" s="1" t="s">
        <x:v>75</x:v>
      </x:c>
      <x:c r="J90" s="8" t="s">
        <x:v>3362</x:v>
      </x:c>
      <x:c r="K90" s="1" t="s">
        <x:v>5855</x:v>
      </x:c>
      <x:c r="L90" s="8" t="s">
        <x:v>5852</x:v>
      </x:c>
      <x:c r="M90" s="3">
        <x:v>46323</x:v>
      </x:c>
      <x:c r="N90" s="8" t="s">
        <x:v>5853</x:v>
      </x:c>
    </x:row>
    <x:row r="91" ht="75.94999694824219" customHeight="1">
      <x:c r="A91" s="1" t="s">
        <x:v>3472</x:v>
      </x:c>
      <x:c r="B91" s="8" t="s">
        <x:v>73</x:v>
      </x:c>
      <x:c r="C91" s="1" t="s">
        <x:v>3464</x:v>
      </x:c>
      <x:c r="D91" s="8">
        <x:v>7</x:v>
      </x:c>
      <x:c r="E91" s="1"/>
      <x:c r="F91" s="8" t="s">
        <x:v>77</x:v>
      </x:c>
      <x:c r="G91" s="1" t="s">
        <x:v>5850</x:v>
      </x:c>
      <x:c r="H91" s="8" t="s">
        <x:v>54</x:v>
      </x:c>
      <x:c r="I91" s="1" t="s">
        <x:v>75</x:v>
      </x:c>
      <x:c r="J91" s="8" t="s">
        <x:v>3484</x:v>
      </x:c>
      <x:c r="K91" s="1" t="s">
        <x:v>5855</x:v>
      </x:c>
      <x:c r="L91" s="8" t="s">
        <x:v>5852</x:v>
      </x:c>
      <x:c r="M91" s="3">
        <x:v>46323</x:v>
      </x:c>
      <x:c r="N91" s="8" t="s">
        <x:v>5853</x:v>
      </x:c>
    </x:row>
    <x:row r="92" ht="75.94999694824219" customHeight="1">
      <x:c r="A92" s="1" t="s">
        <x:v>5395</x:v>
      </x:c>
      <x:c r="B92" s="8" t="s">
        <x:v>5325</x:v>
      </x:c>
      <x:c r="C92" s="1" t="s">
        <x:v>5384</x:v>
      </x:c>
      <x:c r="D92" s="8">
        <x:v>32</x:v>
      </x:c>
      <x:c r="E92" s="1" t="s">
        <x:v>5385</x:v>
      </x:c>
      <x:c r="F92" s="8" t="s">
        <x:v>5401</x:v>
      </x:c>
      <x:c r="G92" s="1" t="s">
        <x:v>5850</x:v>
      </x:c>
      <x:c r="H92" s="8" t="s">
        <x:v>76</x:v>
      </x:c>
      <x:c r="I92" s="1" t="s">
        <x:v>95</x:v>
      </x:c>
      <x:c r="J92" s="8" t="s">
        <x:v>5402</x:v>
      </x:c>
      <x:c r="K92" s="1" t="s">
        <x:v>5899</x:v>
      </x:c>
      <x:c r="L92" s="8" t="s">
        <x:v>5852</x:v>
      </x:c>
      <x:c r="M92" s="3">
        <x:v>46323</x:v>
      </x:c>
      <x:c r="N92" s="8" t="s">
        <x:v>5853</x:v>
      </x:c>
    </x:row>
    <x:row r="93" ht="75.94999694824219" customHeight="1">
      <x:c r="A93" s="1" t="s">
        <x:v>3593</x:v>
      </x:c>
      <x:c r="B93" s="8" t="s">
        <x:v>73</x:v>
      </x:c>
      <x:c r="C93" s="1" t="s">
        <x:v>3588</x:v>
      </x:c>
      <x:c r="D93" s="8">
        <x:v>7</x:v>
      </x:c>
      <x:c r="E93" s="1"/>
      <x:c r="F93" s="8" t="s">
        <x:v>77</x:v>
      </x:c>
      <x:c r="G93" s="1" t="s">
        <x:v>5850</x:v>
      </x:c>
      <x:c r="H93" s="8" t="s">
        <x:v>76</x:v>
      </x:c>
      <x:c r="I93" s="1" t="s">
        <x:v>95</x:v>
      </x:c>
      <x:c r="J93" s="8" t="s">
        <x:v>3602</x:v>
      </x:c>
      <x:c r="K93" s="1" t="s">
        <x:v>5851</x:v>
      </x:c>
      <x:c r="L93" s="8" t="s">
        <x:v>5852</x:v>
      </x:c>
      <x:c r="M93" s="3">
        <x:v>46323</x:v>
      </x:c>
      <x:c r="N93" s="8" t="s">
        <x:v>5853</x:v>
      </x:c>
    </x:row>
    <x:row r="94" ht="75.94999694824219" customHeight="1">
      <x:c r="A94" s="1" t="s">
        <x:v>5154</x:v>
      </x:c>
      <x:c r="B94" s="8" t="s">
        <x:v>4910</x:v>
      </x:c>
      <x:c r="C94" s="1" t="s">
        <x:v>5104</x:v>
      </x:c>
      <x:c r="D94" s="8">
        <x:v>38</x:v>
      </x:c>
      <x:c r="E94" s="1" t="s">
        <x:v>5106</x:v>
      </x:c>
      <x:c r="F94" s="8" t="s">
        <x:v>5162</x:v>
      </x:c>
      <x:c r="G94" s="1" t="s">
        <x:v>5900</x:v>
      </x:c>
      <x:c r="H94" s="8" t="s">
        <x:v>76</x:v>
      </x:c>
      <x:c r="I94" s="1" t="s">
        <x:v>95</x:v>
      </x:c>
      <x:c r="J94" s="8" t="s">
        <x:v>5163</x:v>
      </x:c>
      <x:c r="K94" s="1" t="s">
        <x:v>5901</x:v>
      </x:c>
      <x:c r="L94" s="8" t="s">
        <x:v>5852</x:v>
      </x:c>
      <x:c r="M94" s="3">
        <x:v>46323</x:v>
      </x:c>
      <x:c r="N94" s="8" t="s">
        <x:v>5902</x:v>
      </x:c>
    </x:row>
    <x:row r="95" ht="75.94999694824219" customHeight="1">
      <x:c r="A95" s="1" t="s">
        <x:v>5193</x:v>
      </x:c>
      <x:c r="B95" s="8" t="s">
        <x:v>4910</x:v>
      </x:c>
      <x:c r="C95" s="1" t="s">
        <x:v>5104</x:v>
      </x:c>
      <x:c r="D95" s="8">
        <x:v>44</x:v>
      </x:c>
      <x:c r="E95" s="1" t="s">
        <x:v>5106</x:v>
      </x:c>
      <x:c r="F95" s="8" t="s">
        <x:v>5200</x:v>
      </x:c>
      <x:c r="G95" s="1" t="s">
        <x:v>5850</x:v>
      </x:c>
      <x:c r="H95" s="8" t="s">
        <x:v>76</x:v>
      </x:c>
      <x:c r="I95" s="1" t="s">
        <x:v>95</x:v>
      </x:c>
      <x:c r="J95" s="8" t="s">
        <x:v>5201</x:v>
      </x:c>
      <x:c r="K95" s="1" t="s">
        <x:v>5851</x:v>
      </x:c>
      <x:c r="L95" s="8" t="s">
        <x:v>5852</x:v>
      </x:c>
      <x:c r="M95" s="3">
        <x:v>46323</x:v>
      </x:c>
      <x:c r="N95" s="8" t="s">
        <x:v>5853</x:v>
      </x:c>
    </x:row>
    <x:row r="96" ht="75.94999694824219" customHeight="1">
      <x:c r="A96" s="1" t="s">
        <x:v>233</x:v>
      </x:c>
      <x:c r="B96" s="8" t="s">
        <x:v>73</x:v>
      </x:c>
      <x:c r="C96" s="1" t="s">
        <x:v>228</x:v>
      </x:c>
      <x:c r="D96" s="8">
        <x:v>14</x:v>
      </x:c>
      <x:c r="E96" s="1"/>
      <x:c r="F96" s="8" t="s">
        <x:v>77</x:v>
      </x:c>
      <x:c r="G96" s="1" t="s">
        <x:v>5850</x:v>
      </x:c>
      <x:c r="H96" s="8" t="s">
        <x:v>54</x:v>
      </x:c>
      <x:c r="I96" s="1" t="s">
        <x:v>75</x:v>
      </x:c>
      <x:c r="J96" s="8" t="s">
        <x:v>248</x:v>
      </x:c>
      <x:c r="K96" s="1" t="s">
        <x:v>5855</x:v>
      </x:c>
      <x:c r="L96" s="8" t="s">
        <x:v>5852</x:v>
      </x:c>
      <x:c r="M96" s="3">
        <x:v>46323</x:v>
      </x:c>
      <x:c r="N96" s="8" t="s">
        <x:v>5853</x:v>
      </x:c>
    </x:row>
    <x:row r="97" ht="75.94999694824219" customHeight="1">
      <x:c r="A97" s="1" t="s">
        <x:v>5185</x:v>
      </x:c>
      <x:c r="B97" s="8" t="s">
        <x:v>4910</x:v>
      </x:c>
      <x:c r="C97" s="1" t="s">
        <x:v>5104</x:v>
      </x:c>
      <x:c r="D97" s="8">
        <x:v>43</x:v>
      </x:c>
      <x:c r="E97" s="1" t="s">
        <x:v>5106</x:v>
      </x:c>
      <x:c r="F97" s="8" t="s">
        <x:v>5191</x:v>
      </x:c>
      <x:c r="G97" s="1" t="s">
        <x:v>5850</x:v>
      </x:c>
      <x:c r="H97" s="8" t="s">
        <x:v>76</x:v>
      </x:c>
      <x:c r="I97" s="1" t="s">
        <x:v>95</x:v>
      </x:c>
      <x:c r="J97" s="8" t="s">
        <x:v>5192</x:v>
      </x:c>
      <x:c r="K97" s="1" t="s">
        <x:v>5851</x:v>
      </x:c>
      <x:c r="L97" s="8" t="s">
        <x:v>5852</x:v>
      </x:c>
      <x:c r="M97" s="3">
        <x:v>46323</x:v>
      </x:c>
      <x:c r="N97" s="8" t="s">
        <x:v>5853</x:v>
      </x:c>
    </x:row>
    <x:row r="98" ht="75.94999694824219" customHeight="1">
      <x:c r="A98" s="1" t="s">
        <x:v>5667</x:v>
      </x:c>
      <x:c r="B98" s="8" t="s">
        <x:v>5325</x:v>
      </x:c>
      <x:c r="C98" s="1" t="s">
        <x:v>5664</x:v>
      </x:c>
      <x:c r="D98" s="8">
        <x:v>125</x:v>
      </x:c>
      <x:c r="E98" s="1" t="s">
        <x:v>5665</x:v>
      </x:c>
      <x:c r="F98" s="8" t="s">
        <x:v>5673</x:v>
      </x:c>
      <x:c r="G98" s="1" t="s">
        <x:v>5850</x:v>
      </x:c>
      <x:c r="H98" s="8" t="s">
        <x:v>76</x:v>
      </x:c>
      <x:c r="I98" s="1" t="s">
        <x:v>95</x:v>
      </x:c>
      <x:c r="J98" s="8" t="s">
        <x:v>5674</x:v>
      </x:c>
      <x:c r="K98" s="1" t="s">
        <x:v>5903</x:v>
      </x:c>
      <x:c r="L98" s="8" t="s">
        <x:v>5852</x:v>
      </x:c>
      <x:c r="M98" s="3">
        <x:v>46323</x:v>
      </x:c>
      <x:c r="N98" s="8" t="s">
        <x:v>5853</x:v>
      </x:c>
    </x:row>
    <x:row r="99" ht="75.94999694824219" customHeight="1">
      <x:c r="A99" s="1" t="s">
        <x:v>5226</x:v>
      </x:c>
      <x:c r="B99" s="8" t="s">
        <x:v>4910</x:v>
      </x:c>
      <x:c r="C99" s="1" t="s">
        <x:v>5207</x:v>
      </x:c>
      <x:c r="D99" s="8">
        <x:v>6</x:v>
      </x:c>
      <x:c r="E99" s="1" t="s">
        <x:v>1783</x:v>
      </x:c>
      <x:c r="F99" s="8" t="s">
        <x:v>5233</x:v>
      </x:c>
      <x:c r="G99" s="1" t="s">
        <x:v>5850</x:v>
      </x:c>
      <x:c r="H99" s="8" t="s">
        <x:v>76</x:v>
      </x:c>
      <x:c r="I99" s="1" t="s">
        <x:v>95</x:v>
      </x:c>
      <x:c r="J99" s="8" t="s">
        <x:v>5234</x:v>
      </x:c>
      <x:c r="K99" s="1" t="s">
        <x:v>5851</x:v>
      </x:c>
      <x:c r="L99" s="8" t="s">
        <x:v>5852</x:v>
      </x:c>
      <x:c r="M99" s="3">
        <x:v>46323</x:v>
      </x:c>
      <x:c r="N99" s="8" t="s">
        <x:v>5853</x:v>
      </x:c>
    </x:row>
    <x:row r="100" ht="75.94999694824219" customHeight="1">
      <x:c r="A100" s="1" t="s">
        <x:v>3119</x:v>
      </x:c>
      <x:c r="B100" s="8" t="s">
        <x:v>73</x:v>
      </x:c>
      <x:c r="C100" s="1" t="s">
        <x:v>3104</x:v>
      </x:c>
      <x:c r="D100" s="8">
        <x:v>15</x:v>
      </x:c>
      <x:c r="E100" s="1"/>
      <x:c r="F100" s="8" t="s">
        <x:v>77</x:v>
      </x:c>
      <x:c r="G100" s="1" t="s">
        <x:v>5850</x:v>
      </x:c>
      <x:c r="H100" s="8" t="s">
        <x:v>54</x:v>
      </x:c>
      <x:c r="I100" s="1" t="s">
        <x:v>75</x:v>
      </x:c>
      <x:c r="J100" s="8" t="s">
        <x:v>3133</x:v>
      </x:c>
      <x:c r="K100" s="1" t="s">
        <x:v>5855</x:v>
      </x:c>
      <x:c r="L100" s="8" t="s">
        <x:v>5852</x:v>
      </x:c>
      <x:c r="M100" s="3">
        <x:v>46323</x:v>
      </x:c>
      <x:c r="N100" s="8" t="s">
        <x:v>5853</x:v>
      </x:c>
    </x:row>
    <x:row r="101" ht="75.94999694824219" customHeight="1">
      <x:c r="A101" s="1" t="s">
        <x:v>5611</x:v>
      </x:c>
      <x:c r="B101" s="9" t="s">
        <x:v>5325</x:v>
      </x:c>
      <x:c r="C101" s="1" t="s">
        <x:v>5600</x:v>
      </x:c>
      <x:c r="D101" s="9">
        <x:v>109</x:v>
      </x:c>
      <x:c r="E101" s="1" t="s">
        <x:v>5601</x:v>
      </x:c>
      <x:c r="F101" s="9" t="s">
        <x:v>5617</x:v>
      </x:c>
      <x:c r="G101" s="1" t="s">
        <x:v>5850</x:v>
      </x:c>
      <x:c r="H101" s="9" t="s">
        <x:v>76</x:v>
      </x:c>
      <x:c r="I101" s="1" t="s">
        <x:v>95</x:v>
      </x:c>
      <x:c r="J101" s="9" t="s">
        <x:v>5618</x:v>
      </x:c>
      <x:c r="K101" s="1" t="s">
        <x:v>5851</x:v>
      </x:c>
      <x:c r="L101" s="9" t="s">
        <x:v>5852</x:v>
      </x:c>
      <x:c r="M101" s="3">
        <x:v>46323</x:v>
      </x:c>
      <x:c r="N101" s="9" t="s">
        <x:v>5853</x:v>
      </x:c>
    </x:row>
  </x:sheetData>
  <x:pageMargins left="0.7" right="0.7" top="0.75" bottom="0.75" header="0.3" footer="0.3"/>
  <x:tableParts count="1">
    <x:tablePart xmlns:r="http://schemas.openxmlformats.org/officeDocument/2006/relationships" r:id="R5570bd90f44e4a94"/>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4.25"/>
  <x:cols>
    <x:col min="1" max="1" width="15" customWidth="1"/>
    <x:col min="2" max="3" width="90" customWidth="1"/>
    <x:col min="4" max="4" width="75" customWidth="1"/>
    <x:col min="5" max="5" width="16" customWidth="1"/>
    <x:col min="6" max="6" width="18" customWidth="1"/>
    <x:col min="7" max="7" width="80" customWidth="1"/>
  </x:cols>
  <x:sheetData>
    <x:row r="1" ht="63.95000076293945" customHeight="1">
      <x:c r="A1" s="2" t="s">
        <x:v>5904</x:v>
      </x:c>
      <x:c r="B1" s="11" t="s">
        <x:v>5905</x:v>
      </x:c>
      <x:c r="C1" s="2" t="s">
        <x:v>5906</x:v>
      </x:c>
      <x:c r="D1" s="2" t="s">
        <x:v>5907</x:v>
      </x:c>
      <x:c r="E1" s="2" t="s">
        <x:v>5840</x:v>
      </x:c>
      <x:c r="F1" s="2" t="s">
        <x:v>37</x:v>
      </x:c>
      <x:c r="G1" s="2" t="s">
        <x:v>5908</x:v>
      </x:c>
    </x:row>
    <x:row r="2" ht="84" customHeight="1">
      <x:c r="A2" s="1" t="s">
        <x:v>5909</x:v>
      </x:c>
      <x:c r="B2" s="10" t="str">
        <x:v>Недостаточно подтверждённых реквизитов для воспроизводимого эталона оформления: Неполные данные: нужна подтверждённая дата обращения</x:v>
      </x:c>
      <x:c r="C2" s="1" t="s">
        <x:v>5910</x:v>
      </x:c>
      <x:c r="D2" s="10" t="s">
        <x:v>4906</x:v>
      </x:c>
      <x:c r="E2" s="1">
        <x:v>4</x:v>
      </x:c>
      <x:c r="F2" s="10" t="s">
        <x:v>4912</x:v>
      </x:c>
      <x:c r="G2" s="1"/>
    </x:row>
    <x:row r="3" ht="84" customHeight="1">
      <x:c r="A3" s="1" t="s">
        <x:v>5911</x:v>
      </x:c>
      <x:c r="B3" s="8" t="str">
        <x:v>Недостаточно подтверждённых реквизитов для воспроизводимого эталона оформления: Неполные данные: нужна подтверждённая дата обращения</x:v>
      </x:c>
      <x:c r="C3" s="1" t="s">
        <x:v>5912</x:v>
      </x:c>
      <x:c r="D3" s="8" t="s">
        <x:v>4906</x:v>
      </x:c>
      <x:c r="E3" s="1">
        <x:v>5</x:v>
      </x:c>
      <x:c r="F3" s="8" t="s">
        <x:v>4912</x:v>
      </x:c>
      <x:c r="G3" s="1"/>
    </x:row>
    <x:row r="4" ht="84" customHeight="1">
      <x:c r="A4" s="1" t="s">
        <x:v>5913</x:v>
      </x:c>
      <x:c r="B4" s="8" t="str">
        <x:v>Недостаточно подтверждённых реквизитов для воспроизводимого эталона оформления: Неполные данные: нужна подтверждённая дата обращения</x:v>
      </x:c>
      <x:c r="C4" s="1" t="s">
        <x:v>5914</x:v>
      </x:c>
      <x:c r="D4" s="8" t="s">
        <x:v>4906</x:v>
      </x:c>
      <x:c r="E4" s="1">
        <x:v>10</x:v>
      </x:c>
      <x:c r="F4" s="8" t="s">
        <x:v>4912</x:v>
      </x:c>
      <x:c r="G4" s="1"/>
    </x:row>
    <x:row r="5" ht="84" customHeight="1">
      <x:c r="A5" s="1" t="s">
        <x:v>5915</x:v>
      </x:c>
      <x:c r="B5" s="8" t="str">
        <x:v>Недостаточно подтверждённых реквизитов для воспроизводимого эталона оформления: Неполные данные: нужна подтверждённая дата обращения</x:v>
      </x:c>
      <x:c r="C5" s="1" t="s">
        <x:v>5916</x:v>
      </x:c>
      <x:c r="D5" s="8" t="s">
        <x:v>5020</x:v>
      </x:c>
      <x:c r="E5" s="1">
        <x:v>15</x:v>
      </x:c>
      <x:c r="F5" s="8" t="s">
        <x:v>5021</x:v>
      </x:c>
      <x:c r="G5" s="1"/>
    </x:row>
    <x:row r="6" ht="84" customHeight="1">
      <x:c r="A6" s="1" t="s">
        <x:v>5917</x:v>
      </x:c>
      <x:c r="B6" s="8" t="str">
        <x:v>Недостаточно подтверждённых реквизитов для воспроизводимого эталона оформления: Неполные данные: нужна подтверждённая дата обращения</x:v>
      </x:c>
      <x:c r="C6" s="1" t="s">
        <x:v>5918</x:v>
      </x:c>
      <x:c r="D6" s="8" t="s">
        <x:v>5020</x:v>
      </x:c>
      <x:c r="E6" s="1">
        <x:v>16</x:v>
      </x:c>
      <x:c r="F6" s="8" t="s">
        <x:v>5021</x:v>
      </x:c>
      <x:c r="G6" s="1"/>
    </x:row>
    <x:row r="7" ht="84" customHeight="1">
      <x:c r="A7" s="1" t="s">
        <x:v>5919</x:v>
      </x:c>
      <x:c r="B7" s="8" t="str">
        <x:v>Недостаточно подтверждённых реквизитов для воспроизводимого эталона оформления: Неполные данные: нужна подтверждённая дата обращения</x:v>
      </x:c>
      <x:c r="C7" s="1" t="s">
        <x:v>5920</x:v>
      </x:c>
      <x:c r="D7" s="8" t="s">
        <x:v>5020</x:v>
      </x:c>
      <x:c r="E7" s="1">
        <x:v>18</x:v>
      </x:c>
      <x:c r="F7" s="8" t="s">
        <x:v>5021</x:v>
      </x:c>
      <x:c r="G7" s="1"/>
    </x:row>
    <x:row r="8" ht="84" customHeight="1">
      <x:c r="A8" s="1" t="s">
        <x:v>5921</x:v>
      </x:c>
      <x:c r="B8" s="8" t="str">
        <x:v>Недостаточно подтверждённых реквизитов для воспроизводимого эталона оформления: Неполные данные: нужна подтверждённая дата обращения</x:v>
      </x:c>
      <x:c r="C8" s="1" t="s">
        <x:v>5922</x:v>
      </x:c>
      <x:c r="D8" s="8" t="s">
        <x:v>5020</x:v>
      </x:c>
      <x:c r="E8" s="1">
        <x:v>20</x:v>
      </x:c>
      <x:c r="F8" s="8" t="s">
        <x:v>5021</x:v>
      </x:c>
      <x:c r="G8" s="1"/>
    </x:row>
    <x:row r="9" ht="84" customHeight="1">
      <x:c r="A9" s="1" t="s">
        <x:v>5923</x:v>
      </x:c>
      <x:c r="B9" s="8" t="str">
        <x:v>Недостаточно подтверждённых реквизитов для воспроизводимого эталона оформления: Неполные данные: нужна подтверждённая дата обращения</x:v>
      </x:c>
      <x:c r="C9" s="1" t="s">
        <x:v>5924</x:v>
      </x:c>
      <x:c r="D9" s="8" t="s">
        <x:v>5020</x:v>
      </x:c>
      <x:c r="E9" s="1">
        <x:v>28</x:v>
      </x:c>
      <x:c r="F9" s="8" t="s">
        <x:v>5021</x:v>
      </x:c>
      <x:c r="G9" s="1"/>
    </x:row>
    <x:row r="10" ht="84" customHeight="1">
      <x:c r="A10" s="1" t="s">
        <x:v>5925</x:v>
      </x:c>
      <x:c r="B10" s="8" t="str">
        <x:v>Недостаточно подтверждённых реквизитов для воспроизводимого эталона оформления: Неполные данные: нужна подтверждённая дата обращения</x:v>
      </x:c>
      <x:c r="C10" s="1" t="s">
        <x:v>5926</x:v>
      </x:c>
      <x:c r="D10" s="8" t="s">
        <x:v>5104</x:v>
      </x:c>
      <x:c r="E10" s="1">
        <x:v>31</x:v>
      </x:c>
      <x:c r="F10" s="8" t="s">
        <x:v>5106</x:v>
      </x:c>
      <x:c r="G10" s="1"/>
    </x:row>
    <x:row r="11" ht="84" customHeight="1">
      <x:c r="A11" s="1" t="s">
        <x:v>5927</x:v>
      </x:c>
      <x:c r="B11" s="8" t="s">
        <x:v>5928</x:v>
      </x:c>
      <x:c r="C11" s="1" t="s">
        <x:v>5929</x:v>
      </x:c>
      <x:c r="D11" s="8" t="s">
        <x:v>5207</x:v>
      </x:c>
      <x:c r="E11" s="1">
        <x:v>1</x:v>
      </x:c>
      <x:c r="F11" s="8" t="s">
        <x:v>1783</x:v>
      </x:c>
      <x:c r="G11" s="1"/>
    </x:row>
    <x:row r="12" ht="84" customHeight="1">
      <x:c r="A12" s="1" t="s">
        <x:v>5930</x:v>
      </x:c>
      <x:c r="B12" s="8" t="s">
        <x:v>5928</x:v>
      </x:c>
      <x:c r="C12" s="1" t="s">
        <x:v>5931</x:v>
      </x:c>
      <x:c r="D12" s="8" t="s">
        <x:v>5207</x:v>
      </x:c>
      <x:c r="E12" s="1">
        <x:v>5</x:v>
      </x:c>
      <x:c r="F12" s="8" t="s">
        <x:v>1783</x:v>
      </x:c>
      <x:c r="G12" s="1"/>
    </x:row>
    <x:row r="13" ht="84" customHeight="1">
      <x:c r="A13" s="1" t="s">
        <x:v>5932</x:v>
      </x:c>
      <x:c r="B13" s="8" t="s">
        <x:v>5928</x:v>
      </x:c>
      <x:c r="C13" s="1" t="s">
        <x:v>5933</x:v>
      </x:c>
      <x:c r="D13" s="8" t="s">
        <x:v>5207</x:v>
      </x:c>
      <x:c r="E13" s="1">
        <x:v>12</x:v>
      </x:c>
      <x:c r="F13" s="8" t="s">
        <x:v>1783</x:v>
      </x:c>
      <x:c r="G13" s="1"/>
    </x:row>
    <x:row r="14" ht="84" customHeight="1">
      <x:c r="A14" s="1" t="s">
        <x:v>5934</x:v>
      </x:c>
      <x:c r="B14" s="8" t="s">
        <x:v>5928</x:v>
      </x:c>
      <x:c r="C14" s="1" t="s">
        <x:v>5935</x:v>
      </x:c>
      <x:c r="D14" s="8" t="s">
        <x:v>5207</x:v>
      </x:c>
      <x:c r="E14" s="1">
        <x:v>13</x:v>
      </x:c>
      <x:c r="F14" s="8" t="s">
        <x:v>1783</x:v>
      </x:c>
      <x:c r="G14" s="1"/>
    </x:row>
    <x:row r="15" ht="84" customHeight="1">
      <x:c r="A15" s="1" t="s">
        <x:v>5936</x:v>
      </x:c>
      <x:c r="B15" s="8" t="str">
        <x:v>Недостаточно подтверждённых реквизитов для воспроизводимого эталона оформления: Неполные данные: нужна подтверждённая дата обращения</x:v>
      </x:c>
      <x:c r="C15" s="1" t="s">
        <x:v>5937</x:v>
      </x:c>
      <x:c r="D15" s="8" t="s">
        <x:v>5275</x:v>
      </x:c>
      <x:c r="E15" s="1">
        <x:v>17</x:v>
      </x:c>
      <x:c r="F15" s="8" t="s">
        <x:v>5277</x:v>
      </x:c>
      <x:c r="G15" s="1"/>
    </x:row>
    <x:row r="16" ht="84" customHeight="1">
      <x:c r="A16" s="1" t="s">
        <x:v>5938</x:v>
      </x:c>
      <x:c r="B16" s="8" t="s">
        <x:v>5939</x:v>
      </x:c>
      <x:c r="C16" s="1" t="s">
        <x:v>5940</x:v>
      </x:c>
      <x:c r="D16" s="8"/>
      <x:c r="E16" s="1"/>
      <x:c r="F16" s="8"/>
      <x:c r="G16" s="1"/>
    </x:row>
    <x:row r="17" ht="84" customHeight="1">
      <x:c r="A17" s="1" t="s">
        <x:v>5941</x:v>
      </x:c>
      <x:c r="B17" s="9" t="s">
        <x:v>5942</x:v>
      </x:c>
      <x:c r="C17" s="1" t="s">
        <x:v>5943</x:v>
      </x:c>
      <x:c r="D17" s="9" t="s">
        <x:v>5944</x:v>
      </x:c>
      <x:c r="E17" s="1">
        <x:v>9</x:v>
      </x:c>
      <x:c r="F17" s="9"/>
      <x:c r="G17" s="1" t="s">
        <x:v>5945</x:v>
      </x:c>
    </x:row>
  </x:sheetData>
  <x:pageMargins left="0.7" right="0.7" top="0.75" bottom="0.75" header="0.3" footer="0.3"/>
  <x:tableParts count="1">
    <x:tablePart xmlns:r="http://schemas.openxmlformats.org/officeDocument/2006/relationships" r:id="R7d407ae8c7ab4ac9"/>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4.25"/>
  <x:cols>
    <x:col min="1" max="1" width="34" customWidth="1"/>
    <x:col min="2" max="2" width="130" style="22" customWidth="1"/>
    <x:col min="4" max="4" width="44" style="22" customWidth="1"/>
    <x:col min="5" max="5" width="20" customWidth="1"/>
  </x:cols>
  <x:sheetData>
    <x:row r="1" ht="63.95000076293945" customHeight="1">
      <x:c r="A1" s="2" t="s">
        <x:v>5946</x:v>
      </x:c>
      <x:c r="B1" s="7" t="s">
        <x:v>5947</x:v>
      </x:c>
      <x:c r="D1" s="25" t="s">
        <x:v>5948</x:v>
      </x:c>
      <x:c r="E1" s="5" t="s">
        <x:v>5949</x:v>
      </x:c>
    </x:row>
    <x:row r="2" ht="44.099998474121094" customHeight="1">
      <x:c r="A2" s="1" t="s">
        <x:v>5950</x:v>
      </x:c>
      <x:c r="B2" s="8" t="s">
        <x:v>5951</x:v>
      </x:c>
      <x:c r="D2" s="26" t="s">
        <x:v>5952</x:v>
      </x:c>
      <x:c r="E2" s="23" t="n">
        <x:f>COUNTA(Датасет!A2:A501)</x:f>
        <x:v>500</x:v>
      </x:c>
    </x:row>
    <x:row r="3" ht="44.099998474121094" customHeight="1">
      <x:c r="A3" s="1" t="s">
        <x:v>5953</x:v>
      </x:c>
      <x:c r="B3" s="8" t="s">
        <x:v>5954</x:v>
      </x:c>
      <x:c r="D3" s="26" t="s">
        <x:v>5955</x:v>
      </x:c>
      <x:c r="E3" s="23" t="n">
        <x:f>COUNTIF(Датасет!AK2:AK501,"ВКР")</x:f>
        <x:v>60</x:v>
      </x:c>
    </x:row>
    <x:row r="4" ht="44.099998474121094" customHeight="1">
      <x:c r="A4" s="1" t="s">
        <x:v>5956</x:v>
      </x:c>
      <x:c r="B4" s="8" t="s">
        <x:v>5957</x:v>
      </x:c>
      <x:c r="D4" s="26" t="s">
        <x:v>5958</x:v>
      </x:c>
      <x:c r="E4" s="23" t="n">
        <x:f>COUNTIF(Датасет!AK2:AK501,"Диссертация")</x:f>
        <x:v>42</x:v>
      </x:c>
    </x:row>
    <x:row r="5" ht="44.099998474121094" customHeight="1">
      <x:c r="A5" s="1" t="s">
        <x:v>5959</x:v>
      </x:c>
      <x:c r="B5" s="8" t="s">
        <x:v>5960</x:v>
      </x:c>
      <x:c r="D5" s="26" t="s">
        <x:v>5961</x:v>
      </x:c>
      <x:c r="E5" s="23" t="n">
        <x:f>COUNTIF(Датасет!E2:E501,"ГОСТ Р 7.0.108–2022")</x:f>
        <x:v>207</x:v>
      </x:c>
    </x:row>
    <x:row r="6" ht="44.099998474121094" customHeight="1">
      <x:c r="A6" s="1" t="s">
        <x:v>5962</x:v>
      </x:c>
      <x:c r="B6" s="8" t="s">
        <x:v>5963</x:v>
      </x:c>
      <x:c r="D6" s="26" t="s">
        <x:v>5964</x:v>
      </x:c>
      <x:c r="E6" s="23" t="n">
        <x:f>COUNTIF(Датасет!E2:E501,"ГОСТ Р 7.0.5–2008")</x:f>
        <x:v>293</x:v>
      </x:c>
    </x:row>
    <x:row r="7" ht="44.099998474121094" customHeight="1">
      <x:c r="A7" s="1" t="s">
        <x:v>5965</x:v>
      </x:c>
      <x:c r="B7" s="8" t="s">
        <x:v>5966</x:v>
      </x:c>
      <x:c r="D7" s="26" t="s">
        <x:v>71</x:v>
      </x:c>
      <x:c r="E7" s="23" t="n">
        <x:f>COUNTIF(Датасет!AF2:AF501,"dev")</x:f>
        <x:v>92</x:v>
      </x:c>
    </x:row>
    <x:row r="8" ht="44.099998474121094" customHeight="1">
      <x:c r="A8" s="1" t="s">
        <x:v>5967</x:v>
      </x:c>
      <x:c r="B8" s="8" t="s">
        <x:v>5968</x:v>
      </x:c>
      <x:c r="D8" s="26" t="s">
        <x:v>118</x:v>
      </x:c>
      <x:c r="E8" s="23" t="n">
        <x:f>COUNTIF(Датасет!AF2:AF501,"test")</x:f>
        <x:v>408</x:v>
      </x:c>
    </x:row>
    <x:row r="9" ht="44.099998474121094" customHeight="1">
      <x:c r="A9" s="1" t="s">
        <x:v>5969</x:v>
      </x:c>
      <x:c r="B9" s="8" t="s">
        <x:v>5970</x:v>
      </x:c>
      <x:c r="D9" s="26" t="s">
        <x:v>5971</x:v>
      </x:c>
      <x:c r="E9" s="23" t="n">
        <x:f>COUNTA(Контроль100!A2:A101)</x:f>
        <x:v>100</x:v>
      </x:c>
    </x:row>
    <x:row r="10" ht="110.0999984741211" customHeight="1">
      <x:c r="A10" s="1" t="s">
        <x:v>5972</x:v>
      </x:c>
      <x:c r="B10" s="8" t="s">
        <x:v>5973</x:v>
      </x:c>
      <x:c r="D10" s="26" t="str">
        <x:v>Дополнительно проверено вторым разметчиком</x:v>
      </x:c>
      <x:c r="E10" s="24">
        <x:v>100</x:v>
      </x:c>
    </x:row>
    <x:row r="11" ht="81.94999694824219" customHeight="1">
      <x:c r="A11" s="1" t="s">
        <x:v>5974</x:v>
      </x:c>
      <x:c r="B11" s="8" t="s">
        <x:v>5975</x:v>
      </x:c>
      <x:c r="D11" s="27" t="s">
        <x:v>5976</x:v>
      </x:c>
      <x:c r="E11">
        <x:v>855</x:v>
      </x:c>
    </x:row>
    <x:row r="12" ht="81.94999694824219" customHeight="1">
      <x:c r="A12" s="1" t="s">
        <x:v>5977</x:v>
      </x:c>
      <x:c r="B12" s="8" t="str">
        <x:v>Все 500 строк проверены автором исследования Никитой Каштановым. Проверка включает сопоставление исходного текста с источником и размеченными полями. Дополнительная выборка из 100 записей (50 журнальных, 35 из ВКР, 15 из диссертации; seed 20261027) проверена вторым разметчиком Михаилом Саяпиным. Источники, основания решений и ограничения указаны в строках набора и на листе «Контроль100».</x:v>
      </x:c>
      <x:c r="D12" s="27" t="s">
        <x:v>5978</x:v>
      </x:c>
      <x:c r="E12">
        <x:v>880</x:v>
      </x:c>
    </x:row>
    <x:row r="13" ht="81.94999694824219" customHeight="1">
      <x:c r="A13" s="1" t="s">
        <x:v>5979</x:v>
      </x:c>
      <x:c r="B13" s="8" t="s">
        <x:v>5980</x:v>
      </x:c>
      <x:c r="D13" s="27" t="s">
        <x:v>5981</x:v>
      </x:c>
      <x:c r="E13" s="6" t="n">
        <x:f>E11/E12</x:f>
        <x:v>0.9715909090909091</x:v>
      </x:c>
    </x:row>
    <x:row r="14" ht="68.0999984741211" customHeight="1">
      <x:c r="A14" s="1" t="s">
        <x:v>5982</x:v>
      </x:c>
      <x:c r="B14" s="8" t="s">
        <x:v>5983</x:v>
      </x:c>
      <x:c r="D14" s="27" t="s">
        <x:v>5984</x:v>
      </x:c>
      <x:c r="E14">
        <x:v>9</x:v>
      </x:c>
    </x:row>
    <x:row r="15" ht="81.94999694824219" customHeight="1">
      <x:c r="A15" s="1" t="s">
        <x:v>5985</x:v>
      </x:c>
      <x:c r="B15" s="8" t="s">
        <x:v>5986</x:v>
      </x:c>
      <x:c r="D15" s="27" t="s">
        <x:v>5987</x:v>
      </x:c>
      <x:c r="E15">
        <x:v>25</x:v>
      </x:c>
    </x:row>
    <x:row r="16" ht="68.0999984741211" customHeight="1">
      <x:c r="A16" s="1" t="s">
        <x:v>5988</x:v>
      </x:c>
      <x:c r="B16" s="8" t="str">
        <x:v>Автор исследования Никита Каштанов проверил все 500 строк. Второй разметчик Михаил Саяпин дополнительно проверил 100 строк на двух листах и подтвердил 34 решения 28.10.2026. Первичные ответы сохранены отдельно до обсуждения; согласие рассчитано по ним. Объём дополнительной проверки не распространяется на весь набор. Внешние подтверждения и оставшиеся неоднозначности отражены в комментариях.</x:v>
      </x:c>
      <x:c r="D16" s="27" t="s">
        <x:v>5989</x:v>
      </x:c>
      <x:c r="E16">
        <x:v>76</x:v>
      </x:c>
    </x:row>
    <x:row r="17" ht="81.94999694824219" customHeight="1">
      <x:c r="A17" s="1" t="s">
        <x:v>5990</x:v>
      </x:c>
      <x:c r="B17" s="8" t="s">
        <x:v>5991</x:v>
      </x:c>
      <x:c r="D17" s="27" t="s">
        <x:v>5992</x:v>
      </x:c>
      <x:c r="E17">
        <x:v>7</x:v>
      </x:c>
    </x:row>
    <x:row r="18" ht="68.0999984741211" customHeight="1">
      <x:c r="A18" s="1" t="s">
        <x:v>5993</x:v>
      </x:c>
      <x:c r="B18" s="8" t="s">
        <x:v>5994</x:v>
      </x:c>
      <x:c r="D18" s="27" t="s">
        <x:v>5995</x:v>
      </x:c>
      <x:c r="E18">
        <x:v>6</x:v>
      </x:c>
    </x:row>
    <x:row r="19" ht="54" customHeight="1">
      <x:c r="A19" s="1" t="s">
        <x:v>5996</x:v>
      </x:c>
      <x:c r="B19" s="8" t="s">
        <x:v>5997</x:v>
      </x:c>
      <x:c r="D19" s="27" t="s">
        <x:v>5998</x:v>
      </x:c>
      <x:c r="E19">
        <x:v>34</x:v>
      </x:c>
    </x:row>
    <x:row r="20" ht="68.0999984741211" customHeight="1">
      <x:c r="A20" s="29" t="s">
        <x:v>5999</x:v>
      </x:c>
      <x:c r="B20" s="8" t="s">
        <x:v>6000</x:v>
      </x:c>
      <x:c r="D20" s="27" t="str">
        <x:v>Проверено автором исследования</x:v>
      </x:c>
      <x:c r="E20" t="n">
        <x:v>500</x:v>
      </x:c>
    </x:row>
    <x:row r="21" ht="96" customHeight="1">
      <x:c r="A21" s="1" t="s">
        <x:v>6001</x:v>
      </x:c>
      <x:c r="B21" s="8" t="s">
        <x:v>6002</x:v>
      </x:c>
      <x:c r="D21" s="15"/>
    </x:row>
    <x:row r="22" ht="81.94999694824219" customHeight="1">
      <x:c r="A22" s="1" t="s">
        <x:v>6003</x:v>
      </x:c>
      <x:c r="B22" s="9" t="s">
        <x:v>6004</x:v>
      </x:c>
      <x:c r="D22" s="28"/>
    </x:row>
  </x:sheetData>
  <x:pageMargins left="0.7" right="0.7" top="0.75" bottom="0.75" header="0.3" footer="0.3"/>
  <x:tableParts count="1">
    <x:tablePart xmlns:r="http://schemas.openxmlformats.org/officeDocument/2006/relationships" r:id="R1c1d8b693f844f2d"/>
  </x:tableParts>
</x:worksheet>
</file>